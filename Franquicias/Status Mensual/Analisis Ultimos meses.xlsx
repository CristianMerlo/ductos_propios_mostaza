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mc:AlternateContent xmlns:mc="http://schemas.openxmlformats.org/markup-compatibility/2006">
    <mc:Choice Requires="x15">
      <x15ac:absPath xmlns:x15ac="http://schemas.microsoft.com/office/spreadsheetml/2010/11/ac" url="https://d.docs.live.net/31f759059393d5b2/Documentos/"/>
    </mc:Choice>
  </mc:AlternateContent>
  <xr:revisionPtr revIDLastSave="106" documentId="8_{FB7BECC6-B43A-104A-8440-1BF54AB9A97D}" xr6:coauthVersionLast="47" xr6:coauthVersionMax="47" xr10:uidLastSave="{6393DA33-2568-704C-89AB-8404D7F432F7}"/>
  <bookViews>
    <workbookView xWindow="700" yWindow="1020" windowWidth="27940" windowHeight="15600" activeTab="1" xr2:uid="{C5FA0C50-B003-4151-B81B-D6DCAA7CD053}"/>
  </bookViews>
  <sheets>
    <sheet name="Horas Franquicia" sheetId="3" r:id="rId1"/>
    <sheet name="Hoja1"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7" i="3" l="1"/>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3" i="3"/>
  <c r="U4" i="3"/>
  <c r="U5" i="3"/>
  <c r="U6" i="3"/>
  <c r="U7" i="3"/>
  <c r="U8" i="3"/>
  <c r="U9" i="3"/>
  <c r="U10" i="3"/>
  <c r="U11" i="3"/>
  <c r="U12" i="3"/>
  <c r="U13" i="3"/>
  <c r="U14" i="3"/>
  <c r="U15" i="3"/>
  <c r="U2" i="3"/>
  <c r="U167" i="3" l="1"/>
  <c r="R170" i="3" s="1"/>
</calcChain>
</file>

<file path=xl/sharedStrings.xml><?xml version="1.0" encoding="utf-8"?>
<sst xmlns="http://schemas.openxmlformats.org/spreadsheetml/2006/main" count="2305" uniqueCount="974">
  <si>
    <t>Local</t>
  </si>
  <si>
    <t>Pieza perdida o rota</t>
  </si>
  <si>
    <t>ER 021  y 022 - Anomalía en movimiento de las muelas</t>
  </si>
  <si>
    <t>Otras fallas, indicar número de falla</t>
  </si>
  <si>
    <t>ER 033 y 034 - Falla de válvula, revisar según error</t>
  </si>
  <si>
    <t>ER 062 a 065 - Calibrar equipo, filtros obstruidos o falla sensor, según error</t>
  </si>
  <si>
    <t>No genera hielo</t>
  </si>
  <si>
    <t>ER 003 - Cámara fuera de posición, maquina bloqueada</t>
  </si>
  <si>
    <t>Equipo salta el disyuntor o térmica</t>
  </si>
  <si>
    <t>ER 037 y 038 - Falla en sensor, revisar según error</t>
  </si>
  <si>
    <t>Perdida de agua</t>
  </si>
  <si>
    <t>ER 008 - Timeout manipulación grupo, falla en bloque mecanico</t>
  </si>
  <si>
    <t>ER 051 a 054 - Falla en sensor, revisar según error</t>
  </si>
  <si>
    <t xml:space="preserve">ER 066 y 067 - Falta de agua </t>
  </si>
  <si>
    <t>FMQCA-Quilmes Peatonal</t>
  </si>
  <si>
    <t>ER 056 - Falla en sensor de temperatura</t>
  </si>
  <si>
    <t>ER 058 - Falla en sonda de nivel</t>
  </si>
  <si>
    <t>Falla en molido de café, equipo inoperativo</t>
  </si>
  <si>
    <t>FMBER-Berazategui</t>
  </si>
  <si>
    <t>ER 025 a 032 - Cableado defectuoso, revisar según error</t>
  </si>
  <si>
    <t>FMBOE-Boedo</t>
  </si>
  <si>
    <t>FMPRI-Primera Junta</t>
  </si>
  <si>
    <t>FPMPI-Palmas Del Pilar</t>
  </si>
  <si>
    <t>FCABI-Cabildo</t>
  </si>
  <si>
    <t>ER 050 - Baja presión de agua</t>
  </si>
  <si>
    <t>FCFQU-Carr Quilmes</t>
  </si>
  <si>
    <t>FMPYA-Pompeya</t>
  </si>
  <si>
    <t>FPROS-Portal Rosario</t>
  </si>
  <si>
    <t>ER 041 - Sobrecalentamiento de motor de bomba de leche</t>
  </si>
  <si>
    <t>FMONC-Once</t>
  </si>
  <si>
    <t>FMPCH-Parque Chacabuco</t>
  </si>
  <si>
    <t>FMCNT-Constitución</t>
  </si>
  <si>
    <t>FMLAC-Lanus 2</t>
  </si>
  <si>
    <t>FMCYC-Callao</t>
  </si>
  <si>
    <t>FSAF-San Fernando</t>
  </si>
  <si>
    <t>FLINR-Liniers</t>
  </si>
  <si>
    <t>FORO-Rosario Oroño</t>
  </si>
  <si>
    <t>FCSJ3-San Justo 3</t>
  </si>
  <si>
    <t>FVDP-Villa del Parque</t>
  </si>
  <si>
    <t>FSM3-San Miguel 3</t>
  </si>
  <si>
    <t>FMSVP-San Martín peatonal</t>
  </si>
  <si>
    <t>FMVCP-Carlos Paz</t>
  </si>
  <si>
    <t>FROG-Rotonda Gutierrez</t>
  </si>
  <si>
    <t>FMSIS-San Isidro</t>
  </si>
  <si>
    <t>FFLOR-Flores</t>
  </si>
  <si>
    <t>FMURQ-Urquiza</t>
  </si>
  <si>
    <t>FMWVP-Wilde</t>
  </si>
  <si>
    <t>FMCAN-Canning</t>
  </si>
  <si>
    <t>FMROS-Rosario Pellegrini</t>
  </si>
  <si>
    <t>FMJUN-Junin Auto</t>
  </si>
  <si>
    <t>FM9JU-9 De Julio</t>
  </si>
  <si>
    <t>FGUE-Guemes</t>
  </si>
  <si>
    <t>FAVE-Avellaneda</t>
  </si>
  <si>
    <t>FGRBG-Grand Bourg</t>
  </si>
  <si>
    <t>FMJCP-Jose C Paz</t>
  </si>
  <si>
    <t>FMMRE-Moreno</t>
  </si>
  <si>
    <t>FLOA-Lomas Auto</t>
  </si>
  <si>
    <t>FRPNI-Rep De Los Niños</t>
  </si>
  <si>
    <t>FRSM-Rosario Sur</t>
  </si>
  <si>
    <t>FLF2-Laferrere 2</t>
  </si>
  <si>
    <t>FRGRD-Rio Grande</t>
  </si>
  <si>
    <t>FMERL-Merlo</t>
  </si>
  <si>
    <t>FMRVP-La Rioja</t>
  </si>
  <si>
    <t>FMGRA-Monte Grande</t>
  </si>
  <si>
    <t>FMCYM-Cabildo 2</t>
  </si>
  <si>
    <t>FMTU4-Tucuman 4</t>
  </si>
  <si>
    <t>FGONN-Gonnet</t>
  </si>
  <si>
    <t>FMSNI-San Nicolas</t>
  </si>
  <si>
    <t>FMZAR-Zárate</t>
  </si>
  <si>
    <t>Código</t>
  </si>
  <si>
    <t>Incidencia</t>
  </si>
  <si>
    <t>Descripción</t>
  </si>
  <si>
    <t>Prioridad</t>
  </si>
  <si>
    <t>Última Respuesta</t>
  </si>
  <si>
    <t>Responde</t>
  </si>
  <si>
    <t>Fecha Respuesta</t>
  </si>
  <si>
    <t>Cód. de Sucursal</t>
  </si>
  <si>
    <t>Sucursal</t>
  </si>
  <si>
    <t>Estado</t>
  </si>
  <si>
    <t>Última Actualización</t>
  </si>
  <si>
    <t>Resuelto por</t>
  </si>
  <si>
    <t>Fecha de Resolución</t>
  </si>
  <si>
    <t>Mensaje de Resolución</t>
  </si>
  <si>
    <t>Categoría</t>
  </si>
  <si>
    <t>Inicio</t>
  </si>
  <si>
    <t>Fecha creación</t>
  </si>
  <si>
    <t>Urgente</t>
  </si>
  <si>
    <t>FPMPI</t>
  </si>
  <si>
    <t>Palmas del Pilar</t>
  </si>
  <si>
    <t>2025-12-31 13:33:29</t>
  </si>
  <si>
    <t/>
  </si>
  <si>
    <t>EQUIPOS;CAFETERAS CIMBALI</t>
  </si>
  <si>
    <t>2025-12-31 10:47:46</t>
  </si>
  <si>
    <t>Normal</t>
  </si>
  <si>
    <t>FMMRE</t>
  </si>
  <si>
    <t>Moreno</t>
  </si>
  <si>
    <t>Resuelto</t>
  </si>
  <si>
    <t>Lucas Ale</t>
  </si>
  <si>
    <t>FMBOE</t>
  </si>
  <si>
    <t>Boedo</t>
  </si>
  <si>
    <t>Nicolas Franco</t>
  </si>
  <si>
    <t>FMQCA</t>
  </si>
  <si>
    <t>Quilmes Peatonal</t>
  </si>
  <si>
    <t>Mauro Husak</t>
  </si>
  <si>
    <t>FLINR</t>
  </si>
  <si>
    <t>Liniers</t>
  </si>
  <si>
    <t>FVDP</t>
  </si>
  <si>
    <t>Villa del Parque</t>
  </si>
  <si>
    <t>Precisamos colocar la bomba de leche nueva</t>
  </si>
  <si>
    <t>Baja</t>
  </si>
  <si>
    <t>FORO</t>
  </si>
  <si>
    <t>Rosario Oroño</t>
  </si>
  <si>
    <t>2025-12-31 14:01:17</t>
  </si>
  <si>
    <t>2025-12-30 15:04:19</t>
  </si>
  <si>
    <t>Buenas tardes, precisamos colocar la bomba de leche.</t>
  </si>
  <si>
    <t>FMROS</t>
  </si>
  <si>
    <t>Rosario Pellegrini</t>
  </si>
  <si>
    <t>2025-12-31 14:01:22</t>
  </si>
  <si>
    <t>2025-12-30 14:58:29</t>
  </si>
  <si>
    <t>Nahuel Loubiere</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</si>
  <si>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</si>
  <si>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</si>
  <si>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2025-12-30 08:26:31</t>
  </si>
  <si>
    <t>FMVCP</t>
  </si>
  <si>
    <t>Carlos Paz</t>
  </si>
  <si>
    <t>2025-12-30 08:26:09</t>
  </si>
  <si>
    <t>2025-12-30 08:09:21</t>
  </si>
  <si>
    <t>FSAF</t>
  </si>
  <si>
    <t>San Fernando</t>
  </si>
  <si>
    <t>FMBER</t>
  </si>
  <si>
    <t>Berazategui</t>
  </si>
  <si>
    <t>Bruno Leyes</t>
  </si>
  <si>
    <t>FMJUN</t>
  </si>
  <si>
    <t>Junin Auto</t>
  </si>
  <si>
    <t>FMCNT</t>
  </si>
  <si>
    <t>Constitución</t>
  </si>
  <si>
    <t>FMCAN</t>
  </si>
  <si>
    <t>Canning</t>
  </si>
  <si>
    <t>Cimballi sin funcionar, falta repuesto</t>
  </si>
  <si>
    <t>FMONC</t>
  </si>
  <si>
    <t>Once</t>
  </si>
  <si>
    <t>2025-12-26 15:36:42</t>
  </si>
  <si>
    <t>Estimados, 
Deben solicitar los repuestos a Deposito. Una vez que tengan los mismos en el local, generan el ticket para que vayamos a instalarlos.
Saludos.</t>
  </si>
  <si>
    <t>2025-12-26 15:04:04</t>
  </si>
  <si>
    <t>Cerrado</t>
  </si>
  <si>
    <t>2025-12-31 01:00:05</t>
  </si>
  <si>
    <t>FMLAC</t>
  </si>
  <si>
    <t>Lanus 2</t>
  </si>
  <si>
    <t>FPROS</t>
  </si>
  <si>
    <t>Portal Rosario</t>
  </si>
  <si>
    <t>Ambas cafeteras no suben temperatura</t>
  </si>
  <si>
    <t>2025-12-26 12:46:12</t>
  </si>
  <si>
    <t>Cafetera quilmes 
N*de ticket:105226
Horas realizadas: 40m
Cafetera 1;
Se calibró el café de las dos moliendas.
Cafetera operando.
Cafetera 2
Cafetera no llega a temperatura.
se reinició el térmico de la caldera. 
Cafetera operando</t>
  </si>
  <si>
    <t>2025-12-26 10:13:53</t>
  </si>
  <si>
    <t>Buen día. Molienda 2 está trabada y no puedo sacar cafés</t>
  </si>
  <si>
    <t>2025-12-26 11:16:43</t>
  </si>
  <si>
    <t>Cafetera boedo
N*de ticket;
Horas realizadas: 1h:30m
Se encontró con pedazo de ramas en la mm2.
Se le hizo puesta 0 y calibración de dicha molienda.
Se calibró espuma ya sale correctamente
Se hizo un “filtrado” de lo que quedaba de la bolsa de café y se encontró otra pedazo de rama para que no haya un futuro problema.
Se recomienda cambiar tapa de la tolva mm2 ya que la que tienen está rota y también se recomienda cambiar la tapa cobertora de las 2 tolvas.
Cafetera operando.</t>
  </si>
  <si>
    <t>2025-12-26 07:10:00</t>
  </si>
  <si>
    <t>Buenas, la cafetera dejó de salir leche, no sale en ningún café, el filtro está limpio y la manguera sin obstrucciones, el agua de la cafetera sale fría también, necesito que alguien venga a revisarla por favor</t>
  </si>
  <si>
    <t>2025-12-26 16:24:36</t>
  </si>
  <si>
    <t>Berazategui 
Cafetera queda operando 
Duración de trabajo 4 horas
Se hace limpieza de caldera 
Se hace limpieza de circuito de leche
Repuestos : tuerca para puerta trasera de cimballi rota</t>
  </si>
  <si>
    <t>2025-12-25 17:35:45</t>
  </si>
  <si>
    <t>Buenas tardes, tengo problemas con la cimbali. Molienda izquierda no saca cafe.</t>
  </si>
  <si>
    <t>FMPRI</t>
  </si>
  <si>
    <t>Primera Junta</t>
  </si>
  <si>
    <t>2025-12-25 20:03:58</t>
  </si>
  <si>
    <t>2025-12-30 01:00:05</t>
  </si>
  <si>
    <t>Molienda destrabada 
Cafetera queda operando
1 hora de trabajo</t>
  </si>
  <si>
    <t>2025-12-25 16:10:05</t>
  </si>
  <si>
    <t>Buenos días, me comunico con ustedes ya que de la cimbali no sale café con leche, sino café por un lado, y leche por otro.</t>
  </si>
  <si>
    <t>2025-12-24 14:43:32</t>
  </si>
  <si>
    <t>2025-12-29 01:00:05</t>
  </si>
  <si>
    <t>Estimados, buenas tardes.
El funcionamiento así como lo mencionan, es correcto. Hay dos canales independientes, uno para el café y el otro para la leche. No es que sale todo junto por un mismo pico.
Saludos</t>
  </si>
  <si>
    <t>2025-12-24 11:06:34</t>
  </si>
  <si>
    <t>No se puede calibrar
No pueden cargar receta</t>
  </si>
  <si>
    <t>FM9JU</t>
  </si>
  <si>
    <t>9 de Julio</t>
  </si>
  <si>
    <t>2025-12-25 17:58:26</t>
  </si>
  <si>
    <t>9 de julio
Cafetera operando
 .Se realizo limpieza de circuito de leche
.Se limpio moliendas y se calibraron
Repuestos: .Falta tobogán de matcha
.Cambio de moliendas mm1 y mm2 
.Falta válvula ev de vapor 
.Falta válvula elf3 de leche</t>
  </si>
  <si>
    <t>2025-12-24 10:23:30</t>
  </si>
  <si>
    <t>2025-12-25 17:54:39</t>
  </si>
  <si>
    <t>9 de julio
Cafetera operando
 .Se realizo limpieza de circuito de leche
.Se limpio moliendas y se calibraron
Repuestos: .Falta tobogán de matcha
.Cambio de moliendas mm1 y mm2 (gastadas)
.Falta válvula ev de vapor 
.Falta válvula elf3 de leche</t>
  </si>
  <si>
    <t>2025-12-24 10:22:12</t>
  </si>
  <si>
    <t>Hola buenas tardes! No me sale cafe de ninguna de las dos cafeteras</t>
  </si>
  <si>
    <t>2025-12-23 20:33:46</t>
  </si>
  <si>
    <t>Tk duplicado</t>
  </si>
  <si>
    <t>2025-12-23 17:27:14</t>
  </si>
  <si>
    <t>2025-12-28 01:00:05</t>
  </si>
  <si>
    <t>Hola buenas tardes! no me sale cafe de ninguna de las dos cafeteras</t>
  </si>
  <si>
    <t>2025-12-24 12:11:04</t>
  </si>
  <si>
    <t>Cafetera constitución 
N* de ticket:105043
Horas realizadas: 2h
Cafetera 1
Se encontró pedazos de maderas en la mm1.
Se le hizo puesta a 0 y calibración de dicha molienda.
Se recomiendan cambiar las moliendas ya que estas desgastadas.
Repuestos ;kit de moliendas
Cafetera operando.
Cafetera 2
Se encontró pedazos de rama en la mm1.
Se le hizo puesta a 0 y calibración de dicha molienda.
Cafetera operando.</t>
  </si>
  <si>
    <t>2025-12-23 17:25:34</t>
  </si>
  <si>
    <t>Buenas tardes, 
Al encender la cafetera larga vapor dentro del equipo .. podrn venir a revisarla ?</t>
  </si>
  <si>
    <t>FMURQ</t>
  </si>
  <si>
    <t>Urquiza</t>
  </si>
  <si>
    <t>2025-12-24 10:01:09</t>
  </si>
  <si>
    <t>Estimados, buenos dias. 
Por favor, solicitar al deposito una Valvula de Sobrepresion. Una vez que tengan dicho repuestos, nos realizan el ticket asi vamos a instalarlo y dejar el equipo operativo.
Saludos.</t>
  </si>
  <si>
    <t>2025-12-23 14:05:56</t>
  </si>
  <si>
    <t>moliendo 1 trabada no sale café</t>
  </si>
  <si>
    <t>2025-12-24 21:00:40</t>
  </si>
  <si>
    <t>1 hora de trabajo 
Destrabaron ellos las moliendas se le realizó puesta cero y calibración la cafetera quedó operando
Observaciones: siguen con problemas de entrada de agua al equipo, y hay q hacer cambio de muelas</t>
  </si>
  <si>
    <t>2025-12-23 13:36:15</t>
  </si>
  <si>
    <t>Buenas tardes molienda 1 sin funcionamiento, no muele cafe.</t>
  </si>
  <si>
    <t>2025-12-24 21:00:21</t>
  </si>
  <si>
    <t>3 horas de trabajo
Se encontró muelas empastadas con café húmedo se cambió café, puesta cero y calibración, limpieza de grupo, se encontró el pistón inferior muy bajo se regulo, el equipo empezó a tirar error 66 debido a la acumulación de residuos del café en la cámara del pistón inferior, se desarmo y limpio quedó operando
Observaciones: cambiar kit de orings de grupo ya q está muy gastado y a punto de cortarse afectando al producto final, se realizó lavado y se encontró q no hay filtro de leche ,y q la válvula Ev está rota hay q pedir una para poder usar la lanza de vapor
Pedidos de repuestos:
Filtro de leche 
Válvula Ev 
Kit de orings de grupo( kit E1 )
Saludos.</t>
  </si>
  <si>
    <t>2025-12-23 13:13:12</t>
  </si>
  <si>
    <t>Buenas el freezer de carnes no me llega a temperatura</t>
  </si>
  <si>
    <t>FLOA</t>
  </si>
  <si>
    <t>Lomas Auto</t>
  </si>
  <si>
    <t>2025-12-23 14:15:08</t>
  </si>
  <si>
    <t>Estimados,
Esto fue resuelto por Bruno Leyes.
Saludos</t>
  </si>
  <si>
    <t>EQUIPOS;MAQUINA DE HIELO</t>
  </si>
  <si>
    <t>2025-12-23 10:38:02</t>
  </si>
  <si>
    <t>Solicito asistencia urgente, no me muele cafe la cafetera.</t>
  </si>
  <si>
    <t>2025-12-23 13:30:21</t>
  </si>
  <si>
    <t>Cafetera quilmes peatonal
N*ticket;104968
Horas realizadas; 30m
Se encontró con las 2 cafeteras funcionando.
Igualmente se revisaron ambas cafeteras y salen todos los cafés correctamente y de calidad.
Cafeteras operando.</t>
  </si>
  <si>
    <t>2025-12-23 10:01:31</t>
  </si>
  <si>
    <t>2025-12-23 13:45:29</t>
  </si>
  <si>
    <t>Cafetera operando correctamente 
Duración de trabajo 1 hora 
Se necesita hacer cambio de muelas de mm1 y mm2, ya que al estar gastadas no salen con mucha espuma los expressos</t>
  </si>
  <si>
    <t>2025-12-23 09:45:35</t>
  </si>
  <si>
    <t>Molienda 1 trabada, no muele</t>
  </si>
  <si>
    <t>2025-12-22 23:14:25</t>
  </si>
  <si>
    <t>2025-12-27 01:00:04</t>
  </si>
  <si>
    <t>Cafetera Lanús este
N*de ticket;104856
Horas realizadas: 30m
Se destrabo moliendas.
No se pudo hacer puesta 0 ni calibración ya que el local no disponían de energía eléctrica
Cafetera en observación.</t>
  </si>
  <si>
    <t>2025-12-22 10:26:54</t>
  </si>
  <si>
    <t>Cafetera 2 no funcionan moliendas, no me sale cafe.</t>
  </si>
  <si>
    <t>2025-12-22 15:30:46</t>
  </si>
  <si>
    <t>Cafetera operativa. 
Se encontró pedacito de plástico dentro de la molienda, se destrabo y calibro molienda. Tiempo de servicio :50 min</t>
  </si>
  <si>
    <t>2025-12-22 09:44:49</t>
  </si>
  <si>
    <t>Buenas, hacemos este tk porque tenemos fallas en la conexión de la plancha, tiene fuga de gas</t>
  </si>
  <si>
    <t>2025-12-23 06:28:03</t>
  </si>
  <si>
    <t>Cristian Merlo</t>
  </si>
  <si>
    <t>La Plancha fue reparada durante la tarde - noche de ayer, quedando operativa.
Trabajo 3 hs.</t>
  </si>
  <si>
    <t>2025-12-22 09:14:24</t>
  </si>
  <si>
    <t>2025-12-27 06:30:04</t>
  </si>
  <si>
    <t>Buen dia, no sale cafe de la maquina las molinedan no suenan tampoco 
Aguardo visita</t>
  </si>
  <si>
    <t>2025-12-22 11:49:45</t>
  </si>
  <si>
    <t>Moliendas destrabadas y problema de leche solucionado, se saco leche manualmente para observar donde estaba el problema y salió correctamente. Tiempo de servicio: 40 minutos</t>
  </si>
  <si>
    <t>2025-12-22 08:31:27</t>
  </si>
  <si>
    <t>melita no muele café</t>
  </si>
  <si>
    <t>2025-12-22 11:36:42</t>
  </si>
  <si>
    <t>Cafetera once
N*de ticket;104789
Horas realizadas:1h
Se sustrajo la molienda y se encontró un pedazo de plástico , se solicitó a la gerenta que haga el reclamo correspondiente.
Cuando se llegó al local la leche salía correctamente.
Cafetera operando.</t>
  </si>
  <si>
    <t>EQUIPOS;CAFETERAS MELITA</t>
  </si>
  <si>
    <t>2025-12-21 17:20:48</t>
  </si>
  <si>
    <t>Buen dia, no sale leche de la cafetera aguardo visita</t>
  </si>
  <si>
    <t>2025-12-23 06:42:41</t>
  </si>
  <si>
    <t>2025-12-27 06:45:05</t>
  </si>
  <si>
    <t>Solucionado por tecnico Bruno leyes. Tiempo de trabajo 2hs</t>
  </si>
  <si>
    <t>2025-12-21 10:53:16</t>
  </si>
  <si>
    <t>No funciona valvula, sw cambio lavula eb pero el técnico dice que tiene otro problema.  Sale humo</t>
  </si>
  <si>
    <t>Se debe reemplazar valvula de seguridad de caldera,placa triac y relevos térmicos de caldera grande.
Solicitar presupuesto a depósito</t>
  </si>
  <si>
    <t>Pablo Aviles</t>
  </si>
  <si>
    <t>2025-12-21 17:39:29</t>
  </si>
  <si>
    <t>2025-12-23 14:23:51</t>
  </si>
  <si>
    <t>Estimados, 
Se debe reemplazar valvula de seguridad de caldera, placa triac y relevos termicos de caldera grande. Solicitar presupuesto a deposito. Una vez que lleguen los repuestos, hacer el ticket correspondiente para avanzar con la reparacion.
Saludos.</t>
  </si>
  <si>
    <t>2025-12-21 10:10:21</t>
  </si>
  <si>
    <t>Las moliendas de las 2 cimbali están trabadas</t>
  </si>
  <si>
    <t>FMSVP</t>
  </si>
  <si>
    <t>San Martín peatonal</t>
  </si>
  <si>
    <t>2025-12-21 10:56:59</t>
  </si>
  <si>
    <t>Cafetera 1 trabada con pedazo de madera
Se limpian y calibran moliendas
Cafetera 2
Se limpian y calibran moliendas
Se recomienda cambiar orring de grupo entero, ya que al estar gastados, hacen que la pastilla salga aguado</t>
  </si>
  <si>
    <t>2025-12-20 21:24:00</t>
  </si>
  <si>
    <t>2025-12-26 01:00:04</t>
  </si>
  <si>
    <t>Molienda 2 trabada no sale cafe</t>
  </si>
  <si>
    <t>2025-12-21 14:44:45</t>
  </si>
  <si>
    <t>Cafetera operativa. Se encontraron trozos de madera dentro de las moliendas, y los sensores de las tolvas repletas de café. También se observo el borde de uno de los encastre de la tolva partido, por lo que se recomienda cambiarlo. Se destrabaron, calibraron y se realizo puesta a 0 en ambas moliendas. Tiempo de servicio: 1:30hrs</t>
  </si>
  <si>
    <t>2025-12-20 18:48:55</t>
  </si>
  <si>
    <t>leche no sale con espuma</t>
  </si>
  <si>
    <t>2025-12-23 09:22:37</t>
  </si>
  <si>
    <t>Se regula espuma de leche queda operando correctamente</t>
  </si>
  <si>
    <t>2025-12-20 18:32:53</t>
  </si>
  <si>
    <t>FCABI</t>
  </si>
  <si>
    <t>Cabildo</t>
  </si>
  <si>
    <t>2025-12-21 15:07:10</t>
  </si>
  <si>
    <t>Cafetera 2 cabildo
Tiket #104553 (2 horas de trabajo)
Se encontró con guía de barredora de pastilla rota lo q ocscionaba q la misma no barra por completo la pastilla vieja haciendo q se empaste todo el grupo con café ya usado y cada vez más con el uso del equipo, se le pudo un tornillo para completar el recorrido de la pista para no dejar al local sin cafetera, se recomienda cambiarla lo más pronto posible antes de q salga el tornillo y vuelva a lo mismo , se le realizó una limpieza al grupo y puesta cero, se encontró con muelas muy desgastadas sensor y resistencia de grupo cortadas pedo de puede seguir usando , la máquina quedó operando 
Repuestos q cambiar
Resistencia de grupo 
Sensor de temperatura de grupo 
Kit de muelas 
Placa solapa 932014040(guía de barredora del grupo)</t>
  </si>
  <si>
    <t>2025-12-20 08:27:37</t>
  </si>
  <si>
    <t>Buen día, la cafetera no tiene temperatura</t>
  </si>
  <si>
    <t>2025-12-22 14:23:28</t>
  </si>
  <si>
    <t>Cafetera operando
Se calibran muelas y se cambia repuesto de resorte de la parte inferior de grupo 
Queda pendiente repuestos que no llegaron: moliendas y válvula de leche</t>
  </si>
  <si>
    <t>2025-12-20 06:28:42</t>
  </si>
  <si>
    <t>Buenas tardes, realizó el siguiente tk debido a que estamos utilizando la cafetera de mostaza, ya que nuestra cafetera la llevaron a reparar, necesitamos que vengan a revisar la cafetera en lo posible hoy o mañana para ya poder pedir los repuestos y ya poder estar operativos, gracias</t>
  </si>
  <si>
    <t>2025-12-20 14:45:23</t>
  </si>
  <si>
    <t>Se realizo una revisión de la cafetera y se encontraba con un térmico de cafetera afectado el cual quedo okey. Se realizo limpieza de grupo y de bomba de agua. Maquina operativa</t>
  </si>
  <si>
    <t>2025-12-19 16:33:50</t>
  </si>
  <si>
    <t>2025-12-25 01:00:04</t>
  </si>
  <si>
    <t>Buen día! La cimbali está sacando la leche fría, y solo sale de un solo pico, solicito visita urgente</t>
  </si>
  <si>
    <t>FLF2</t>
  </si>
  <si>
    <t>Laferrere 2</t>
  </si>
  <si>
    <t>2025-12-20 16:20:24</t>
  </si>
  <si>
    <t>Cafetera laferrere 2 
N*de ticket;104503
Horas realizadas 1h
Se sacó y se limpió difusor de leche todo lleno de leche cortada /condensada, se encontró roto el difusor de café se recomienda cambiarlo.
Leche ya sale en temperatura y su respectiva calidad.
Repuestos: difusor de café.
Cafetera operando.</t>
  </si>
  <si>
    <t>2025-12-19 12:08:46</t>
  </si>
  <si>
    <t>Buenos días solicitamos por favor servicio de mantenimiento para el equipo ya que, al seleccionar café se apaga y no permite sacar ningún tipo de cafe. Aguardamos respuesta, muchas gracias</t>
  </si>
  <si>
    <t>FMPCH</t>
  </si>
  <si>
    <t>Parque Chacabuco</t>
  </si>
  <si>
    <t>2025-12-20 13:03:51</t>
  </si>
  <si>
    <t>Cafetera parque Chacabuco 
N*de ticket;104488
Horas realizadas 2h
Se encontró con la cafetera apagada y no prendía la pantalla
Se desconectó el conector de la resistencia de temperatura de grupo ya que está en corto y eso hace que se apague o no prenda.
En pantalla tira error 55 que es lo mencionado arriba.(no afecta su funcionamiento).
Se solicita cambiar bomba de leche ya que no tiene fuerza al estar la lechera en el frezzer bajo mesada es mucho el recorrido.
Se recomienda colocar una heladeríta al costado de la cafetera.
Se recomienda manguera de leche de 60cm ya que la que tiene se dividen en varias partes y no es lo ideal.
Se le avisó a la gerenta que si pueden conseguir una jarrita para que puedan hacer la leche manual así no pierden venta hasta que llegue el repuesto.
Repuestos; bomba de leche,resistencia de grupo, manguera de leche 60cm
Cafetera operando.</t>
  </si>
  <si>
    <t>2025-12-19 10:24:25</t>
  </si>
  <si>
    <t>Mm1 de la cafetera 1 no muele el café.</t>
  </si>
  <si>
    <t>2025-12-20 14:34:39</t>
  </si>
  <si>
    <t>Cafetera operando
Duración de trabajo 1hs 
Molienda se destraba, se calibran y limpian las dos muelas</t>
  </si>
  <si>
    <t>2025-12-19 09:28:37</t>
  </si>
  <si>
    <t>Pastillas de cafe líquidas traba el cafe demora y termina saliendo o agua en el cafe o nada</t>
  </si>
  <si>
    <t>FAVE</t>
  </si>
  <si>
    <t>Avellaneda</t>
  </si>
  <si>
    <t>2025-12-20 14:38:04</t>
  </si>
  <si>
    <t>Cafetera operando
Duración de trabajo 1hs
.Se limpian y calibran moliendas.
.Se revisa grupo de cafetera, piston superior se necesita cambio de orring, al estar estos gastados larga más agua de lo debido y hace que salga más aguado la pastilla.
Repuesto: kit de orring pistón superior de grupo</t>
  </si>
  <si>
    <t>2025-12-19 09:16:46</t>
  </si>
  <si>
    <t>Cambio de valvula eb</t>
  </si>
  <si>
    <t>2025-12-19 18:24:32</t>
  </si>
  <si>
    <t>Once
Duración de trabajo 3 horas
Inoperativa
Se cambia válvula ev
Se revisa válvula de seguridad, se revisan térmicos, se revisa triac en corto
Repuestos: térmicos de caldera, triac y válvula de seguridad de caldera</t>
  </si>
  <si>
    <t>2025-12-19 08:43:56</t>
  </si>
  <si>
    <t>2025-12-24 01:00:05</t>
  </si>
  <si>
    <t>Hola, no funciona el café</t>
  </si>
  <si>
    <t>2025-12-20 14:30:55</t>
  </si>
  <si>
    <t>Cafetera operativa. Se le realizo una limpieza profunda de grupo y Cafetera, se reviso calderas y bomba de agua, se soluciono error 52 producto de la activación de un térmico de caldera y se encontró cable suelto en la triack el cual hacia masa y saltaba el disyuntor. Tiempo de servicio: 3hrs</t>
  </si>
  <si>
    <t>2025-12-19 08:12:43</t>
  </si>
  <si>
    <t>Buen día tenemos la cafetera con falla para tomar temperatura</t>
  </si>
  <si>
    <t>Caldera quemada deben pedir repuesto</t>
  </si>
  <si>
    <t>2025-12-20 14:03:07</t>
  </si>
  <si>
    <t>FFLOR</t>
  </si>
  <si>
    <t>Flores</t>
  </si>
  <si>
    <t>2025-12-20 14:03:25</t>
  </si>
  <si>
    <t>Falta repuesto</t>
  </si>
  <si>
    <t>2025-12-19 08:11:46</t>
  </si>
  <si>
    <t>buenas la máquina hace un ruido raro y no pica café</t>
  </si>
  <si>
    <t>2025-12-20 14:41:05</t>
  </si>
  <si>
    <t>Se realizo cambio de cafetera</t>
  </si>
  <si>
    <t>2025-12-18 20:09:22</t>
  </si>
  <si>
    <t>No muelen ninguna de las dos moliendas</t>
  </si>
  <si>
    <t>Ticket cerrado. El bloqueo de las muelas fue causado por una madera dentro de los granos de café, lo que recalentó y trabó ambos motores. Se procedió a destrabar, realizar puesta a cero y calibrar manualmente el equipo.
Nota: La máquina queda funcionando, pero se deja constancia de que necesita un service preventivo urgente para cambio de O-rings y limpieza profunda de circuitos (leche/agua) para evitar futuras fallas, ya que el estado general del equipo es regular. Tiempo empelado 2 hs.</t>
  </si>
  <si>
    <t>2025-12-19 23:01:10</t>
  </si>
  <si>
    <t>2025-12-19 23:01:19</t>
  </si>
  <si>
    <t>2025-12-18 18:09:29</t>
  </si>
  <si>
    <t>Buenos días,
Solicitamos mantenimiento en General. Gracias</t>
  </si>
  <si>
    <t>2025-12-19 20:18:03</t>
  </si>
  <si>
    <t>Buenas tardes.
Para mantenimiento general solicitarlo vía mail a Cristian merlo,y que es conveniente mover la máquina al taller para poder inspeccionar que componentes se deben reemplazar y para poder disponer de espacio para trabajar en la máquina</t>
  </si>
  <si>
    <t>2025-12-18 11:31:05</t>
  </si>
  <si>
    <t>2025-12-23 14:13:58</t>
  </si>
  <si>
    <t>Cafés fríos salen correctamente 
Se hace limpieza circuito de leche 
Repuesto:falta válvula elf3 ,que facilita el circuito de leche</t>
  </si>
  <si>
    <t>2025-12-18 11:07:37</t>
  </si>
  <si>
    <t>Molienda mm1 sin funcionamiento y manguera de leche no absorbe correctamente la leche</t>
  </si>
  <si>
    <t>Necesito reabrir el ticket ya que ambas moliendas me dejaron de funcionar nuevamente.</t>
  </si>
  <si>
    <t>Sucursal SAN FERNANDO</t>
  </si>
  <si>
    <t>2025-12-19 20:35:08</t>
  </si>
  <si>
    <t>2025-12-20 23:09:43</t>
  </si>
  <si>
    <t>Se revisa equipo 
Se encuentran ambas moliendas trabadas con maderas.
Se destraban y queda operativo nuevamente.
Tiempo de servicio 1 hora</t>
  </si>
  <si>
    <t>2025-12-18 10:44:54</t>
  </si>
  <si>
    <t>Buenos días! La cafetera aparecía con error 58, no subía temperatura, acto seguido se apagó y no prende ahora. Recién ingreso al turno, voy a revisar las térmicas pero actualmente no prende.</t>
  </si>
  <si>
    <t>FROG</t>
  </si>
  <si>
    <t>Rotonda Gutierrez</t>
  </si>
  <si>
    <t>2025-12-19 20:20:38</t>
  </si>
  <si>
    <t>Ticket a cargo de empresa externa.
Dieron aviso desde el local que el tema lo veía alguien más</t>
  </si>
  <si>
    <t>2025-12-18 08:06:28</t>
  </si>
  <si>
    <t>ERROR 54, no se puede extraer cafe. Sale agua</t>
  </si>
  <si>
    <t>2025-12-21 15:04:54</t>
  </si>
  <si>
    <t>Cafetera 1 cabildo 
Tiket # 104329 (3horas de trabajo)
Moliendas trabadas por café húmedo debido a la pérdida de de vapor por válvula de sobrepresión y acople de la misma partido haciendo q todo el vapor q suelte vaya a las moliendas y tolvas de café, humedeciendo el mismo y afectando a la hora de moler, mm2 de encontró una rama, se realizó puesta cero y calibración , se cambió el café por uno nuevo, en cuando al acople roto se busco una solución para dejar operando el equipo mientras se pedían los repuestos pero de la cantidad de vapor q pierde se suelta y queda perdiendo cada vez más ,condensando y llevando de agua todo el interior del equipo, ocscionando fugas de corriente, se dejó a pagado el equipo para prevenir accidentes y más daños al equipo de los q ya presenta máquina sin operar 
Repuestos a pedir 
Empalme porta goma 532600700
Válvula de sobre presión de caldera(válvula seg. 2,3 1/4G) 532392700
Filtro de leche
Sensor de temperatura del grupo</t>
  </si>
  <si>
    <t>2025-12-17 18:28:52</t>
  </si>
  <si>
    <t>Buenos días, no sale espuma de la cafetera y el café sale aguado.</t>
  </si>
  <si>
    <t>2025-12-18 15:21:22</t>
  </si>
  <si>
    <t>2025-12-23 01:00:06</t>
  </si>
  <si>
    <t>Se le realizo una limpieza de grupo, donde se encontró resorte de tope inferior del pistón del grupo, lo cual no permite levantar completamente la pastilla de café dejando restos dentro del grupo y por dentro de la cafetera y el pistón superior en mal estado.
Se le hizo una limpieza completa a las moliendas, las cuales están gastadas. Tmbn se limpio bomba de leche, esm y ed ya q tenían problema de llenado de leche y espuma.
Cafeter operando correctamente.
Repuestos: muelas inferiores y superiores para mm1 y mm2. Resorte del tope inferior del grupo. Válvula elf3 (faltante). Tiempo de servicio: 4 hrs</t>
  </si>
  <si>
    <t>2025-12-17 10:56:21</t>
  </si>
  <si>
    <t>No sale cafe. Tiene una pérdida interna de agua. En el lavado no disuelve la pastilla.</t>
  </si>
  <si>
    <t>2025-12-23 06:48:31</t>
  </si>
  <si>
    <t>2025-12-27 07:00:05</t>
  </si>
  <si>
    <t>Se detecto piston partido, se indico como pedir repuestos a Deposito. Generar nuevo ticket para coordinar la visita una vez que este en el local. 2HS. Tambien se deben solicitar los 2 juegos de kits para poner a punto el equipo.</t>
  </si>
  <si>
    <t>2025-12-17 09:37:47</t>
  </si>
  <si>
    <t>Buen día me encuentro con la cafetera con este error 66 e impide que salga café correctamente de todas las recetas</t>
  </si>
  <si>
    <t>4 horas de trabajo
Se encontró con el equipo tirando error 66, impidiendo sacar cualquier tipo de café, se reviso caudal de agua, bomba de agua, válvula Ev, sensor volumétrico y válvula g , y todo estaba en condiciones y funcionando, dejando el grupo y el dosificador frontal como última instancia, se reviso y limpio dosificador, se desarmo grupo encontrado con exceso de residuos de café en forma de pasta negra dentro de la cámara bajo el pistón inferior, se realizó una limpieza y se observo q el equipo no estaba tomando el lavado de café ya hace un buen tiempo, se dio aviso al local para poder hacer foco en eso ya q si el equipo no toma el lavado de café no se bloquea como el lavado de leche, se armó y calibro nuevamente el equipo quedó operando,sigue sin poderse regular la espuma por válvula em dañada
Observaciones :
 cambio de kit de orings de pistón E1
Cambio de válvula EM
cambio de válvula ELF1</t>
  </si>
  <si>
    <t>2025-12-18 08:24:47</t>
  </si>
  <si>
    <t>2025-12-18 08:25:15</t>
  </si>
  <si>
    <t>2025-12-17 09:15:05</t>
  </si>
  <si>
    <t>FMSIS</t>
  </si>
  <si>
    <t>San Isidro</t>
  </si>
  <si>
    <t>2025-12-18 17:34:10</t>
  </si>
  <si>
    <t>Se dio asistencia remoto al local y quedó resuelto</t>
  </si>
  <si>
    <t>2025-12-17 08:00:09</t>
  </si>
  <si>
    <t>cafetera lado catta sale aguada la pasilla se desarma</t>
  </si>
  <si>
    <t>2 horas de trabajo/se realizó limpieza de grupo, calibración y puesta cero de café, se limpio manualmente todo el circuito de leche y se calibro,se le hilo lavando y quedó operando con normalidad 
Observaciones:
Pistón inferior dañado hay q cambiarlo para q la pastilla no salga  tan mojada y poder brindar un café de la calidad deseada 
Persiste error 55 eso afecta a la temperatura del café ya w de debe a la resistencia del grupo
Repuestos a cambiar:
Pistón superior de grupo
Resistencia de grupo</t>
  </si>
  <si>
    <t>2025-12-17 09:28:05</t>
  </si>
  <si>
    <t>FMCYC</t>
  </si>
  <si>
    <t>Callao</t>
  </si>
  <si>
    <t>2025-12-17 09:28:12</t>
  </si>
  <si>
    <t>2025-12-22 01:00:04</t>
  </si>
  <si>
    <t>2025-12-16 22:29:47</t>
  </si>
  <si>
    <t>cafetera lado tranfer sale la leche tibia falta temperatura</t>
  </si>
  <si>
    <t>2 horas de trabajo/ se destapó desagüe, se le hizo limpieza de grupo completa ,se hizo puesta cero y calibración ,se le regulo la leche, observaciónes: 
Cambiar válvula válvula EM q no termina de abrir haciendo q la leche no llegue a la temperatura deseada
cambiar embudo de valvula esm q tiene un acople improvisado para poder seguir usando la máquina 
poner filtro de leche q falta</t>
  </si>
  <si>
    <t>2025-12-17 09:15:10</t>
  </si>
  <si>
    <t>2025-12-17 09:15:19</t>
  </si>
  <si>
    <t>2025-12-16 22:27:52</t>
  </si>
  <si>
    <t>Buenas tardes, no sale café, sale aguado, revisamos las moliendas y están ok pero igualmente no sale de calidad el café. Adjunto foto</t>
  </si>
  <si>
    <t>Prueben con limpiar el tobogán?</t>
  </si>
  <si>
    <t>2025-12-16 19:20:42</t>
  </si>
  <si>
    <t>2025-12-17 14:56:45</t>
  </si>
  <si>
    <t>Se encontraron ramas de café en la molienda, maquina ya operando. Se le realizo limpieza al grupo y una puesta a 0 a las moliendas, se pudo observar una pérdida de vapor en el codo superior de la caldera, el pistón superior del grupo dañado y la válvula eac no corta por lo que la lanza de agua gotea constantemente. Se solicitan los respectivos repuestos para una óptima operación de la cafetera. Tiempo de servicio 3 hrs</t>
  </si>
  <si>
    <t>2025-12-16 19:19:10</t>
  </si>
  <si>
    <t>Buenas tardes estimados! La cafetera se bloqueo 3 veces aun haciendo el lavado. Espero una pronta resolucion muchas gracias!</t>
  </si>
  <si>
    <t>FRPNI</t>
  </si>
  <si>
    <t>Republica de Los niños</t>
  </si>
  <si>
    <t>2025-12-17 16:39:31</t>
  </si>
  <si>
    <t>Cafetera republica de los niños 
N* ticket; 104189
Horas realizadas: 4hs
Se sustrajo la caldera grande y se limpió ya que estaba todo con sarro.
Se encontró una pequeña fuga en los 2 codos de 6mm arriba de la caldera grande. Se recomienda cambiarlos.
Se calibraron los cafés en tiempo y calidad.
Se encontró manguera de leche muy corta en base a eso el local lo solucionó con acoples y agregándole otra manguera. Se recominda una manguera de 50cm o también se recomienda que coloquen una lecherita al costado.
Se recomienda que coloquen el ablandador de agua ya que de lo contrario va pasar muy seguido lo del sarro y que la cafétera quede inoperativa.
Repuestos; codos nacionales 6mm.(dos)
Manguera de leche 50cm o lecherita.
Cafetera operando.</t>
  </si>
  <si>
    <t>2025-12-16 12:59:08</t>
  </si>
  <si>
    <t>Buenos dias,
No muelen ninguna de las dos muelas de la cafetera y la tengo en desuso- podran venir a revisarla ?</t>
  </si>
  <si>
    <t>2025-12-16 19:20:38</t>
  </si>
  <si>
    <t>Ticket a cargo de flexsol</t>
  </si>
  <si>
    <t>2025-12-16 10:27:53</t>
  </si>
  <si>
    <t>2025-12-21 01:00:05</t>
  </si>
  <si>
    <t>Cafetera no muele café molienda 1</t>
  </si>
  <si>
    <t>2025-12-16 14:19:19</t>
  </si>
  <si>
    <t>Cafetera constitución 
N*tk:104142
Horas realizadas 1h
Cafetera 1
Se destrabo moliendas y se hizo una puesta 0
Moliendas mm1 y mm2 desgastado, se recomienda cambiarlas ya que se traba seguido.
Repuestos: kit de moliendas mm1 y mm2.
Cafetera Operando.
cafetera 2
Se calibró espuma.(pedido x la ct de turno sin Tk)
Cafetera operando.</t>
  </si>
  <si>
    <t>2025-12-16 09:17:38</t>
  </si>
  <si>
    <t>Molienda 2 no muele cafe</t>
  </si>
  <si>
    <t>FSM3</t>
  </si>
  <si>
    <t>San Miguel 3</t>
  </si>
  <si>
    <t>2025-12-17 12:57:35</t>
  </si>
  <si>
    <t>Se limpian moliendas mm1 y mm2 y quedan calibradas
Duración de trabajo 1hs</t>
  </si>
  <si>
    <t>2025-12-16 09:09:21</t>
  </si>
  <si>
    <t>Buenos días, me encuentro con una cimbali sin funcionar correctamente. El problema es que al tocar opciones cafe con leche no sale leche ni cuando pones leche solo. Revise la manguera y no esta tapada</t>
  </si>
  <si>
    <t>3 horas de trabajo 
Cafetera uno se encontró con ambas moliendas trabadas con maderas, se realizó puesta cero y calibración,no se puede regular la espuma por falla en válvula EM, Y ELF1
cafetera dos se encontró con moliendas húmedas se cambió café y se realizó puesta cero y calibración, se realizó limpieza manual de todo el circuito de leche y se regulo la misma ambas quedaron operando</t>
  </si>
  <si>
    <t>2025-12-18 08:33:40</t>
  </si>
  <si>
    <t>2025-12-18 08:33:52</t>
  </si>
  <si>
    <t>2025-12-16 07:12:47</t>
  </si>
  <si>
    <t>Buenos dias me comunico por un problema en la mm1 ya que no muele el cafe, en lo posible solucionarlo lo antes posible muchas gracias</t>
  </si>
  <si>
    <t>2025-12-16 16:25:22</t>
  </si>
  <si>
    <t>Cafetera villa del parque
N*tk:104124
Horas realizadas:1h:30
Se destrabo moliendas mm1 se hizo puesta 0 y se calibró.
Los del local pasaron todas las recetas a la mm2, deben conseguir un pendrive y pasar todas las recetas nuevamente.
Cafetera operando.</t>
  </si>
  <si>
    <t>2025-12-16 06:46:21</t>
  </si>
  <si>
    <t>2025-12-23 06:50:47</t>
  </si>
  <si>
    <t>Cafeteras operativas, confirmacion realizada por externo (Flexsol). Si llegan a presentar problemas generar nuevo ticket.</t>
  </si>
  <si>
    <t>2025-12-15 17:15:02</t>
  </si>
  <si>
    <t>Instalar repuestos de címballi. Cafetera sin funcionar</t>
  </si>
  <si>
    <t>2025-12-16 13:25:56</t>
  </si>
  <si>
    <t>Se realizo el lunes 15 por la tarde / noche</t>
  </si>
  <si>
    <t>2025-12-15 14:07:16</t>
  </si>
  <si>
    <t>Buen día las cafeteras no salen con la espuma correcta</t>
  </si>
  <si>
    <t>2025-12-15 15:09:18</t>
  </si>
  <si>
    <t>2025-12-20 01:00:04</t>
  </si>
  <si>
    <t>Se solicitan válvula em y elf1 por problemas con espuma, se detectaron válvulas clavadas y sin poder activarlas manualmente. Con respecto a la otra cafetera se claibraron espumas de expreso y leche mejorando calidad de café. Tiempo de servicio 4:30hrs</t>
  </si>
  <si>
    <t>2025-12-15 07:35:43</t>
  </si>
  <si>
    <t>De la cafetera 2 sale mal la leche  escupe todo</t>
  </si>
  <si>
    <t>2025-12-23 09:18:38</t>
  </si>
  <si>
    <t>Rsuelto</t>
  </si>
  <si>
    <t>2025-12-15 00:14:54</t>
  </si>
  <si>
    <t>Buenas !! De ma cafetera 1 no sale bien el cafe y el desague esta tapado</t>
  </si>
  <si>
    <t>2025-12-17 09:29:34</t>
  </si>
  <si>
    <t>Se detallo en los otros tikets las cafeteras de forma individual</t>
  </si>
  <si>
    <t>2025-12-15 00:13:51</t>
  </si>
  <si>
    <t>No sale leche.</t>
  </si>
  <si>
    <t>2025-12-23 06:46:07</t>
  </si>
  <si>
    <t>Visita realizada, se determino que el problema es la bomba de leche del equipo. Se deja solicitado el repuesto, generar nuevo ticket una vez que este en el local para coordinar una nueva visita. 2 hs.</t>
  </si>
  <si>
    <t>2025-12-14 20:54:08</t>
  </si>
  <si>
    <t>Las moliendas no estan moliendo correctamente el cafe
No sale cafe puro , sale agua marron
Todo tipo de cafe que queremos sacar de la maquina , sale agua en vez de cafe</t>
  </si>
  <si>
    <t>2025-12-15 13:20:25</t>
  </si>
  <si>
    <t>Solucionado por Tecnico (Francisco).</t>
  </si>
  <si>
    <t>2025-12-14 19:28:12</t>
  </si>
  <si>
    <t>Cafetera 1 
Destrabar muelas de café y si por favor pueden cambiar el tornillo de las tolvas que se encuentran gastados. 
Cafetera 2 
Café aguado 
Nicolás Heredia 
1165015790</t>
  </si>
  <si>
    <t>2025-12-15 13:36:06</t>
  </si>
  <si>
    <t>Solucionado por tecnico ayer el domingo por la noche. Se estara enviando informe por mail.</t>
  </si>
  <si>
    <t>2025-12-14 18:50:25</t>
  </si>
  <si>
    <t>Buenas tardes, el problema que tenemos es en la molienda MM2 (11-16 seg) solo funcionan "Latte" el resto de cafes solo salen Agua y leche, adjunto tambien en el estado que se encuentran ambas moliendas. Se desarmaron moliendas de la superficie de arriba y se quitaron los restos de granos y persiste el problema, esperamos solucion urgente</t>
  </si>
  <si>
    <t>FGONN</t>
  </si>
  <si>
    <t>Gonnet</t>
  </si>
  <si>
    <t>2025-12-15 11:44:45</t>
  </si>
  <si>
    <t>Se limpian y calibran muelas 
Cafetera queda operando 
Duración de trabajo 1 hora</t>
  </si>
  <si>
    <t>2025-12-14 17:30:12</t>
  </si>
  <si>
    <t>La cafetera nos realiza café con mucha espuma y sale poca leche, el problema solo pasa con el latte y la lagrima</t>
  </si>
  <si>
    <t>2025-12-23 18:53:53</t>
  </si>
  <si>
    <t>Cafetera 
Se hizo limpieza circuito de leche,se necesita hacer cambio de bomba leche ya que no llena completamente los vasos
Se le hizo la calibración a las muelas 
Mm1 y mm2
Se necesita hacer cambio de orring de pistón superior e inferior ya que al estar gastados, hace que salga demasiado aguado la pastilla</t>
  </si>
  <si>
    <t>2025-12-14 12:49:41</t>
  </si>
  <si>
    <t>Hola! Molienda 1 no funciona, me figura que está el depósito vacío y sale solo agua</t>
  </si>
  <si>
    <t>FMZAR</t>
  </si>
  <si>
    <t>Zárate</t>
  </si>
  <si>
    <t>2025-12-14 11:45:59</t>
  </si>
  <si>
    <t>Buen día, los cafes que llevan leche estan saliendo por la mitad y además con mucha espuma. Porfavor esperamos se pueda solucionar. Desde ya muchas gracias.</t>
  </si>
  <si>
    <t>Siguen con el mismo problema?</t>
  </si>
  <si>
    <t>2025-12-16 08:57:01</t>
  </si>
  <si>
    <t>FMWVP</t>
  </si>
  <si>
    <t>Wilde</t>
  </si>
  <si>
    <t>2025-12-16 12:54:45</t>
  </si>
  <si>
    <t>Cafetera wilde
N*tk;103872
Horas realizadas;1h
Se calibró y se pesó la espuma correctamente y ya está en sus parámetros.
Cafetera operando.</t>
  </si>
  <si>
    <t>2025-12-14 10:05:07</t>
  </si>
  <si>
    <t>Buenos días , la máquina no llega a hacer bien los café y tarda más de 5 minutos en hacer los café</t>
  </si>
  <si>
    <t>FCFQU</t>
  </si>
  <si>
    <t>Carr Quilmes</t>
  </si>
  <si>
    <t>2025-12-16 11:46:51</t>
  </si>
  <si>
    <t>Cafetera carrefour quilmes
N* ticket;103860
Horas realizadas 1h:20m
Se hizo puesta 0 y se calibraron las dos moliendas. Ya sale café de calidad y espumoso.
Moliendas gastadas se recomiendan cambiarlas.
Repuestos;kit de moliendas para la mm1 y mm2
Tolva mm1 nueva
Cafetera operando.</t>
  </si>
  <si>
    <t>2025-12-14 08:26:19</t>
  </si>
  <si>
    <t>Buenas, cafetera 1 se trabaron las moliendas y no sale cafe, solicitamos tecnico para revisión. Muchas gracias</t>
  </si>
  <si>
    <t>2025-12-15 09:07:09</t>
  </si>
  <si>
    <t>Se destraba moliendas queda operando, pedazo de madera en las muelas
Trabajo 1hora</t>
  </si>
  <si>
    <t>2025-12-13 20:48:19</t>
  </si>
  <si>
    <t>La molienda 2 no gira y el tornillo está roto. Además, hay un problema de presión ya que la leche no sale. Actualmente solo funciona la molienda 1 de la cafetera</t>
  </si>
  <si>
    <t>Se realizó lavado y se encontró trozos de madera en molienda mm2 , sigue con problema de entrada de agua, y resorte de pistón, se recomienda realizar el arreglo del caudal ya q afecta a la vida útil de varios de los componentes de la cafetera y a la calidad del producto final (3 horas de trabajo)</t>
  </si>
  <si>
    <t>2025-12-14 23:14:47</t>
  </si>
  <si>
    <t>2025-12-14 23:14:53</t>
  </si>
  <si>
    <t>2025-12-13 19:41:09</t>
  </si>
  <si>
    <t>2025-12-19 01:00:06</t>
  </si>
  <si>
    <t>Hola buenas queria levantar tk para que vengan a ver la cafetera porque pide el lavado constantemente y estamos operando solo con una y no damos a basto! Ademas de que en ambas cafeteras salen los cafes aguados, si pueden enviar a alguien que pueda revisarlas y repararlas lo antes posible lo agradeceriamos!
Desde ya muchas gracias, saludos!</t>
  </si>
  <si>
    <t>FMERL</t>
  </si>
  <si>
    <t>Merlo</t>
  </si>
  <si>
    <t>2025-12-15 09:22:43</t>
  </si>
  <si>
    <t>Cafeteras quedan operando las dos 
.se limpia pico de de te ya que este no dejaba pasar bien el agua cuando pedía el lavado por sarro
Repuestos : se necesita cambiar filtro de agua de la cafetera, cambiar las moliendas mm1, mm2 de las dos cafeteras (ya que están gastadas), tobogán de matcha
.Quedó pendiente hacerle mantenimiento de las calderas a las dos cafeteras</t>
  </si>
  <si>
    <t>2025-12-13 12:52:40</t>
  </si>
  <si>
    <t>Moliendas trabadas</t>
  </si>
  <si>
    <t>2025-12-13 14:44:55</t>
  </si>
  <si>
    <t>2025-12-18 01:00:04</t>
  </si>
  <si>
    <t>Se encontro tolvas y cafe humedo que ocasionó que se traben las molienda. La válvula de sobrepresion de la caldera se encontraba un poco abierta con fuga de vapor, lo cual hacía que recaliente el motor de molienda y se trabe constantemente. Se solicita repuesto de válvula de sobrepresion y sensor de temperatura por error 54 
Tiempo de servicio: 1:45 hrs</t>
  </si>
  <si>
    <t>2025-12-13 11:49:10</t>
  </si>
  <si>
    <t>Estimados buen día 
En la cafetera no funciona la pieza de prensado de café por lo que pierde café y los café salen aguados porque no ingresa el café al prensado</t>
  </si>
  <si>
    <t>Buenas tardes 
Podrían compartir una foto o video de la pieza que mencionan?</t>
  </si>
  <si>
    <t>2025-12-15 12:26:43</t>
  </si>
  <si>
    <t>FMSNI</t>
  </si>
  <si>
    <t>San Nicolas</t>
  </si>
  <si>
    <t>2025-12-16 13:30:47</t>
  </si>
  <si>
    <t>Ticket resuelto
Se dio asistencia remota</t>
  </si>
  <si>
    <t>2025-12-13 10:36:17</t>
  </si>
  <si>
    <t>Buenos días! Me figura bloqueada, máquina fría y no deja hacer lavado.</t>
  </si>
  <si>
    <t>Sucursal PALMAS PILAR</t>
  </si>
  <si>
    <t>2025-12-13 10:09:57</t>
  </si>
  <si>
    <t>2025-12-13 14:40:28</t>
  </si>
  <si>
    <t>Se reviso equipo 
Al llegar ya estaba en funcionamiento 
Se regula altura de café latte solicitado por la gerente.
Queda ok
Tiempo de servicio 1 hora.</t>
  </si>
  <si>
    <t>2025-12-13 10:05:25</t>
  </si>
  <si>
    <t>Buen día. Espero se encuentren bien. 
Tengo problemas con la cafetera, no muele el café, solamente me sale latte. 
Aguardo visitas. 
Gracias. 
Saludos</t>
  </si>
  <si>
    <t>Perfecto!
Pasamos en el día de hoy!</t>
  </si>
  <si>
    <t>2025-12-13 10:10:47</t>
  </si>
  <si>
    <t>2025-12-13 11:42:44</t>
  </si>
  <si>
    <t>Se encontro pedazo de madera dentro de la molienda y sensor de la tolva de cafe obstruido y no permitia dar arranque a la molienda
Tiempo de servicio 45 min</t>
  </si>
  <si>
    <t>2025-12-13 08:42:36</t>
  </si>
  <si>
    <t>Buenas! No sale café en la máquina</t>
  </si>
  <si>
    <t>2025-12-14 09:02:32</t>
  </si>
  <si>
    <t>Rotonda primera junta
N*de Tk:103738
Se cambiaron las 8 moliendas de las dos cafeteras se hizo puesta 0 y se calibraron
Cafetera 2 se limpió circuito de leche.
Cafeteras operando.</t>
  </si>
  <si>
    <t>2025-12-12 19:14:59</t>
  </si>
  <si>
    <t>no sale café de cafetera</t>
  </si>
  <si>
    <t>Cafetera parque chacabuco
N* ticket:103726
Horas realizadas:2h
Se encuentra cafetera con bloqueo de lavado y varios errores.
Error 3 
“     “ 9
“     “ 8
“      “ 55
Los errores 3,8 y 9 sus causas posibles son que esté fallando el motoreductor , estén sucios los finales de carrera f1,f2,f3,f4 o  estén defectuosos.
Se verificó por cuadro manual.
Se sustrajo el grupo y se sacaron los sensores uno por uno dejándolo totalmente limpios.
Error 55: resistencia de temperatura de grupo(no afecta su funcionamiento)
Repuestos; motoreductor de grupo de café, sensores de finales de carrera,embudo de la ESM,válvula de sobrepresión y kit B.
Cafetera inoperativa</t>
  </si>
  <si>
    <t>2025-12-13 12:30:14</t>
  </si>
  <si>
    <t>2025-12-13 15:50:08</t>
  </si>
  <si>
    <t>Ticket cerrado
Abrir nuevo ticket cuando cuenten con los repuestos mencionados.
Gracias</t>
  </si>
  <si>
    <t>2025-12-12 18:11:38</t>
  </si>
  <si>
    <t>Solicitamos que vengan a instalar los respuestos nuevos</t>
  </si>
  <si>
    <t>2025-12-15 13:20:42</t>
  </si>
  <si>
    <t>2025-12-15 16:22:44</t>
  </si>
  <si>
    <t>Solucionado por Tecnico (Francisco)</t>
  </si>
  <si>
    <t>2025-12-12 14:37:42</t>
  </si>
  <si>
    <t>Buenos días las moliendas no accionan al activar café y ambas quedan trabadas.</t>
  </si>
  <si>
    <t>Hola si, seguimos igual, las moliendas siguen trabadas</t>
  </si>
  <si>
    <t>Sucursal Franquicia San Martin peatonal</t>
  </si>
  <si>
    <t>2025-12-13 10:11:47</t>
  </si>
  <si>
    <t>2025-12-13 15:48:05</t>
  </si>
  <si>
    <t>Se reviso equipo
Se realizó puesta 0.
Quedó funcionando ok
Tiempo de servicio 1 hora</t>
  </si>
  <si>
    <t>2025-12-12 10:26:45</t>
  </si>
  <si>
    <t>2025-12-12 18:34:51</t>
  </si>
  <si>
    <t>2025-12-17 01:00:04</t>
  </si>
  <si>
    <t>Ticket sin descripción,abrir ticket con descripción o motivo del service</t>
  </si>
  <si>
    <t>2025-12-12 09:46:28</t>
  </si>
  <si>
    <t>Buenas, Cafetera 1 se trabaron las moliendas y no sale café, solicitamos técnico para revisión, gracias</t>
  </si>
  <si>
    <t>2025-12-12 15:08:08</t>
  </si>
  <si>
    <t>Se destrabo molienda de cafetera, se realizo puesta a 0 en ambas moliendas y se calibro espuma de espreso en cafetera 1. En cafetera 2 se destapo el desague y se calibro espumade espreso</t>
  </si>
  <si>
    <t>2025-12-12 09:45:22</t>
  </si>
  <si>
    <t>Instalación de cattabriga</t>
  </si>
  <si>
    <t>Se programa para el Jueves 11. Tecnico responsable asignado: Franco Paez</t>
  </si>
  <si>
    <t>2025-12-15 13:28:57</t>
  </si>
  <si>
    <t>2025-12-15 14:45:42</t>
  </si>
  <si>
    <t>Se programa visita de instalacion para el jueves 11.</t>
  </si>
  <si>
    <t>2025-12-12 09:44:53</t>
  </si>
  <si>
    <t>h9la buen dia, la cimballi esta perdiendo agua y cafe por el poso y tmb no sale matcha</t>
  </si>
  <si>
    <t>FMPYA</t>
  </si>
  <si>
    <t>Pompeya</t>
  </si>
  <si>
    <t>2025-12-12 17:27:09</t>
  </si>
  <si>
    <t>2025-12-12 07:54:33</t>
  </si>
  <si>
    <t>Hol buen día. La máquina me pide un lavado tras otro y no arranca. En la pantalla aparece "máquina fría"</t>
  </si>
  <si>
    <t>Poco caudal de agua ingresando a la máquina ocscionando q de fuerce la bomba de más, se recomienda revisar llave de paso q no esté obstruida o en el mejor de los casos cambiarla, esto puede afectar a largo plazo ya q exije sobre esfuerzo a la bomba de agua a la hora de realizar los lavados, ocscionando a su vez q la caldera levanté presión de más, pedir repuesto de resorte inferior de grupo q se encuentra roto para poder realizar una correcta calibración de café (2 horas de trabajo)</t>
  </si>
  <si>
    <t>2025-12-12 14:04:35</t>
  </si>
  <si>
    <t>2025-12-12 14:05:22</t>
  </si>
  <si>
    <t>2025-12-12 07:25:08</t>
  </si>
  <si>
    <t>Buenas tardes, revisar puertas de entrada.</t>
  </si>
  <si>
    <t>2025-12-13 15:48:48</t>
  </si>
  <si>
    <t>Buenas tardes 
Ese trabajo deben verlo con el proveedor de las puertas</t>
  </si>
  <si>
    <t>2025-12-11 16:33:13</t>
  </si>
  <si>
    <t>hola buenas, el café está bajando seco en la bandeja de desagüe, y está perdiendo agua por abajo, también la leche rebalsa una vez que termina de hacerse el café</t>
  </si>
  <si>
    <t>2025-12-12 17:30:19</t>
  </si>
  <si>
    <t>Se realizó limpieza de grupo, destqpaciok de válvulas ya q no salía el matcha y calibración de leche y espuma, el equipo quedó operando con normalidad, se recomienda no cancelar los cafes, (1 hora de trabajo) persiste el error 54 hay w cambiar sensor de grupo</t>
  </si>
  <si>
    <t>2025-12-11 13:15:43</t>
  </si>
  <si>
    <t>Tolva 1 no muele cafe</t>
  </si>
  <si>
    <t>2025-12-12 19:19:52</t>
  </si>
  <si>
    <t>Se revisa equipo 
Se encuentra pedazo de plástico en mm1 proveniente de la bolsa de café en granos,se desarma mm1,limpia y se vuelve a armar.
Queda la máquina operativa nuevamente.
Tiempo de servicio 1 hora.</t>
  </si>
  <si>
    <t>2025-12-11 13:11:25</t>
  </si>
  <si>
    <t>Buenas tardes, no estan funcionando las moliendas de la cafetera. Podrian venir a revisarlo urgente por favor ?</t>
  </si>
  <si>
    <t>2025-12-12 12:15:16</t>
  </si>
  <si>
    <t>Resuelto por personal de propios</t>
  </si>
  <si>
    <t>2025-12-11 12:29:14</t>
  </si>
  <si>
    <t>No sale cafe</t>
  </si>
  <si>
    <t>Se destrabaron moliendas en ambas cafeteras, se calibro moliendas, se limpio circuito de leche ,ver realizó lavado completo y calibro las misma quedaron las operando con normalidad (2 horas de trabajo)</t>
  </si>
  <si>
    <t>2025-12-13 10:38:22</t>
  </si>
  <si>
    <t>FCSJ3</t>
  </si>
  <si>
    <t>San Justo 3</t>
  </si>
  <si>
    <t>2025-12-13 10:43:27</t>
  </si>
  <si>
    <t>2025-12-11 10:53:22</t>
  </si>
  <si>
    <t>Buenos dias! En la molienda 1 no sale cafe.</t>
  </si>
  <si>
    <t>2025-12-11 12:34:31</t>
  </si>
  <si>
    <t>2025-12-16 01:00:05</t>
  </si>
  <si>
    <t>Se encontro tolva mal enganchada por lo que no daba arranque a las moliendas.
Tiempon se servicio 15min</t>
  </si>
  <si>
    <t>2025-12-11 08:30:11</t>
  </si>
  <si>
    <t>Error 52, no calienta cafetera</t>
  </si>
  <si>
    <t>Se encontró con válvula Ev sin funcionar y protector termico de caldera quemado, deben ser reemplazados para dejar el equipo operando,(1hs de trabajo)</t>
  </si>
  <si>
    <t>2025-12-11 16:02:21</t>
  </si>
  <si>
    <t>2025-12-13 14:43:28</t>
  </si>
  <si>
    <t>Por favor abrir ticket cuando cuenten con los repuestos.</t>
  </si>
  <si>
    <t>2025-12-10 17:32:40</t>
  </si>
  <si>
    <t>Buenas tardes, al momento de hacer un café mediano, sea cual sea, la cafetera carga leche de más en los vasos haciendo que estos rebalsen.</t>
  </si>
  <si>
    <t>Buenas tardes.
Cierren el regulador rojo de espuma que está atrás de la pantalla,solo cerrar media vuelta y prueben si así se regula el nivel de llenado de la leche</t>
  </si>
  <si>
    <t>2025-12-10 17:53:01</t>
  </si>
  <si>
    <t>2025-12-12 17:27:38</t>
  </si>
  <si>
    <t>2025-12-10 14:22:15</t>
  </si>
  <si>
    <t>Cambiar repuestos címbali catta</t>
  </si>
  <si>
    <t>Ayer pasaron a ver la cafetera y hoy nuevamente sale sin espuma, fríos y muy cargados (rebalsa) 
Pasar a la brevedad por favor</t>
  </si>
  <si>
    <t>Mostaza Güemes</t>
  </si>
  <si>
    <t>2025-12-21 09:53:22</t>
  </si>
  <si>
    <t>FGUE</t>
  </si>
  <si>
    <t>Guemes</t>
  </si>
  <si>
    <t>2025-12-22 12:31:55</t>
  </si>
  <si>
    <t>2 horas de trabajo se limpio todo el circuito de leche, chicler de bomba de leche tapado, y se regulo la cantidad de leche y la espuma ya q al tener la nueva bomba el caudal de leche es mayor</t>
  </si>
  <si>
    <t>2025-12-10 13:35:25</t>
  </si>
  <si>
    <t>2025-12-23 07:10:54</t>
  </si>
  <si>
    <t>Buenos días, estoy teniendo problemas con ambas cimbalis. La de la izquierda no sale cafe y dice error 66 y la derecha sale poca leche.</t>
  </si>
  <si>
    <t>Buenas que local es?</t>
  </si>
  <si>
    <t>2025-12-14 09:02:59</t>
  </si>
  <si>
    <t>2025-12-14 09:03:13</t>
  </si>
  <si>
    <t>.</t>
  </si>
  <si>
    <t>2025-12-10 12:02:26</t>
  </si>
  <si>
    <t>Buenos días,Las molinedas no accionan al activar café,reiniciamos el equipo,se realizó lavado y sigue sin accionar.</t>
  </si>
  <si>
    <t>2025-12-11 11:31:43</t>
  </si>
  <si>
    <t>Cafetera san Martín peatonal
Horas realizadas ;1h
Cafetera se encuentra molienda mm2 trabada por un pedazo de rama se le hizo puesta 0 y se calibro.
También se encontró una de las salidas de café tapada. Ya sale el café correctamente
Se le avisó a la gerenta que haga el reclamo correspondiente por lo de la rama.
Cafetera operando.</t>
  </si>
  <si>
    <t>2025-12-10 11:46:38</t>
  </si>
  <si>
    <t>La cafetera lanza un error de maquina fria y no deja hacer lavados ni sacar café.</t>
  </si>
  <si>
    <t>Se enviará a taller en Bs As.</t>
  </si>
  <si>
    <t>franquiciado La Rioja</t>
  </si>
  <si>
    <t>2025-12-10 14:12:13</t>
  </si>
  <si>
    <t>FMRVP</t>
  </si>
  <si>
    <t>La Rioja</t>
  </si>
  <si>
    <t>2025-12-12 21:40:16</t>
  </si>
  <si>
    <t>2025-12-10 11:23:22</t>
  </si>
  <si>
    <t>Buenos dias, abro tk nuevamente ya que desde el dia 8/11 estamos sin cafetera en el local, nos tira error 58 y no calienta.</t>
  </si>
  <si>
    <t>Buenas tardes
Podrían pasar la dirección del local?</t>
  </si>
  <si>
    <t>2025-12-10 15:08:56</t>
  </si>
  <si>
    <t>FMTU4</t>
  </si>
  <si>
    <t>Tucuman 4</t>
  </si>
  <si>
    <t>2025-12-13 19:46:23</t>
  </si>
  <si>
    <t>Ticket a cargo de Sotelo.
Coordina la reparación de la máquina con la supervisora Rocío,ya que se debe llevar la máquina al taller.
Se dará seguimiento pero el retiro de la máquina y su reparación coordina Sotelo</t>
  </si>
  <si>
    <t>2025-12-10 10:39:25</t>
  </si>
  <si>
    <t>Buenas, se nos trabo la molienda de la primer cafetera (al lado de la heladera vertical). 
Necesitariamos si podrian venir a verla por favor. Muchas gracias</t>
  </si>
  <si>
    <t>2025-12-11 12:32:07</t>
  </si>
  <si>
    <t>Cafetera se encontraba funcionando en el momento de la visita, se calibro moliendas, espuma de espreso y compresion de pastillas de cafe y de la segunda se soluciono latte se rebalsaba
Tiempo de servicio: 40 min</t>
  </si>
  <si>
    <t>2025-12-10 10:27:23</t>
  </si>
  <si>
    <t>No me sale café en de la cafetera me comarca temperatura de 8 y pierde café y agua por  abajo</t>
  </si>
  <si>
    <t>(2 hs de trabajo) dosificador de café rajado se resolvió pegando la pieza para evitar dejar inoperable el equipo, pedir kit B, se limpiaron los sensores y scomodsron pistas, no volvió a surgir error 8 si vuelve a surgir habrá q realizarle un cambio de sensores de grupo, persiste error 55 cambiar resistencia de grupo, se note un incremento de vapor en la pérdida de la válvula de sobrepresión se recomienda cambiar antes de q termine de abrirse por completo, ablandador sigue igual sin sal y con el fondo sucio</t>
  </si>
  <si>
    <t>2025-12-11 16:10:09</t>
  </si>
  <si>
    <t>2025-12-11 16:10:21</t>
  </si>
  <si>
    <t>2 hs de trabajo) dosificador de café rajado se resolvió pegando la pieza para evitar dejar inoperable el equipo, pedir kit B, se limpiaron los sensores y scomodsron pistas, no volvió a surgir error 8 si vuelve a surgir habrá q realizarle un cambio de sensores de grupo, persiste error 55 cambiar resistencia de grupo, se note un incremento de vapor en la pérdida de la válvula de sobrepresión se recomienda cambiar antes de q termine de abrirse por completo, ablandador sigue igual sin sal y con el fondo sucio</t>
  </si>
  <si>
    <t>2025-12-10 08:52:05</t>
  </si>
  <si>
    <t>Buen día, una de más cafeteras hace el sonido del molido pero al salir el café sale solo agua</t>
  </si>
  <si>
    <t>Intentamos destapar pero ahora no nos muele directamente el café</t>
  </si>
  <si>
    <t>Constitución Gerente</t>
  </si>
  <si>
    <t>2025-12-10 10:09:20</t>
  </si>
  <si>
    <t>2025-12-12 12:46:54</t>
  </si>
  <si>
    <t>Muelas trabadas con pedazos de madera,se calibran muelas y se hace limpieza de tobogán a las dos cafeteras
Duración de trabajo 1 hora</t>
  </si>
  <si>
    <t>2025-12-10 08:45:24</t>
  </si>
  <si>
    <t>Buenas solicito que por favor pasen a revisar la cafetera para regular el gramaje de la leche</t>
  </si>
  <si>
    <t>2025-12-12 13:19:13</t>
  </si>
  <si>
    <t>Se hace limpieza de válvulas y bomba de leche
Duración de trabajo 2horas</t>
  </si>
  <si>
    <t>2025-12-09 12:21:26</t>
  </si>
  <si>
    <t>Falla valvula de leche</t>
  </si>
  <si>
    <t>2025-12-12 19:21:07</t>
  </si>
  <si>
    <t>Resuelto por técnico de rosario francisco</t>
  </si>
  <si>
    <t>2025-12-09 09:30:39</t>
  </si>
  <si>
    <t>Buenos dias, moliendas no estan funcionando y no nos sale el cafe</t>
  </si>
  <si>
    <t>Buen día 
Pueden sacar las 2 tolvas y sacar el resto del café que quedó y probar si limpiando se soluciona?</t>
  </si>
  <si>
    <t>2025-12-09 09:00:36</t>
  </si>
  <si>
    <t>2025-12-09 16:58:04</t>
  </si>
  <si>
    <t>2025-12-14 01:00:04</t>
  </si>
  <si>
    <t>Se reviso equipo
Se encontró mm2 trabada con pedacitos de madera.
Se limpia y prueba,queda operando.
Tiempo de servicio 1 hora</t>
  </si>
  <si>
    <t>2025-12-09 08:55:39</t>
  </si>
  <si>
    <t>2025-12-09 08:57:09</t>
  </si>
  <si>
    <t>2025-12-09 08:53:58</t>
  </si>
  <si>
    <t>Buenos días! Rotonda Gutiérrez 
Sin ablandador (se partió una pieza y pierde agua) el sensor debe estar lleno de sarro y por eso se bloqueó por completo, no te deja hacer ninguna operación ni tampoco terminar el lavado
Ya se tocó la térmica de la caldera pero no hay caso</t>
  </si>
  <si>
    <t>2025-12-10 13:54:15</t>
  </si>
  <si>
    <t>Cafetera rotonda Gutiérrez 
Horas realizadas 4h:30m
Se limpió filtro de bomba de agua(lleno de caucho)se sacó la caldera grande para poder limpiar el pescador ya que cuando se sustrajo estaba lleno de sarro.
Se recomienda que consigan el ablandador ya que se va a volver a seguir llenando de sarro y va volver a estar el equipo inoperativo.
Cafetera operando.</t>
  </si>
  <si>
    <t>2025-12-09 07:41:14</t>
  </si>
  <si>
    <t>2025-12-15 01:00:05</t>
  </si>
  <si>
    <t>Hola buenas noches!!
Abro un ticket ya que los vasos de café quedan súper llenos y se rebalsan, lo cual nos genera perdida</t>
  </si>
  <si>
    <t>2025-12-13 14:41:21</t>
  </si>
  <si>
    <t>Se reviso equipo.
Al llegar al local ya estaba funcionando.
Se regulo altura de café latte mediano que el gerente dice que rebalsa,se regulo y el gerente dio el ok con la altura de llenado del vaso.
Tiempo de servicio 1 hora</t>
  </si>
  <si>
    <t>2025-12-08 23:07:38</t>
  </si>
  <si>
    <t>Hola buenas noches, una de las moliendas al parecer se encuentra trabada y no muele el café y eso hace que no salga al realizar uno</t>
  </si>
  <si>
    <t>2025-12-10 09:16:09</t>
  </si>
  <si>
    <t>Ticket repetido</t>
  </si>
  <si>
    <t>2025-12-08 20:43:20</t>
  </si>
  <si>
    <t>Buenas tardes, necesito que un técnico venga a revisar la cafetera, estamos teniendo varios errores. La cafetera se traba constantemente, el cortado no tira agua, el latte no le sale café. Aguardo respuesta</t>
  </si>
  <si>
    <t>FGRBG</t>
  </si>
  <si>
    <t>Grand Bourg</t>
  </si>
  <si>
    <t>2025-12-11 13:58:54</t>
  </si>
  <si>
    <t>Cafetera grand bourg 
Horas realizadas: 2h
Error 8 se limpiaron los sensores del fc1,fc2,fc3 y fc4
Se hizo una puesta 0 y se calibraron.
Pastilla de café ya salen correctamente y directo al cajón.
Latte ya sale café , cortado y americano ya sale el agua correspondiente.
Se recomienda guardar café en tupper hermético.
Cafetera operando.</t>
  </si>
  <si>
    <t>2025-12-08 19:41:55</t>
  </si>
  <si>
    <t>Pierde agua em teflon inyector del grupo</t>
  </si>
  <si>
    <t>Pendiente de recibir repuestos para poder dejar la máquina operativa</t>
  </si>
  <si>
    <t>2025-12-10 14:05:04</t>
  </si>
  <si>
    <t>2025-12-12 19:31:23</t>
  </si>
  <si>
    <t>2025-12-08 14:38:45</t>
  </si>
  <si>
    <t>Falla número 52, dice equipo frio</t>
  </si>
  <si>
    <t>2025-12-12 18:35:53</t>
  </si>
  <si>
    <t>Se debe pedir repuesto mencionado en ticket siguiente</t>
  </si>
  <si>
    <t>2025-12-08 11:17:15</t>
  </si>
  <si>
    <t>Buen día. El volumen de los cafés es muy bajo. Debemos agregar más leche o café manual para que la gente no se queje</t>
  </si>
  <si>
    <t>2025-12-10 19:59:44</t>
  </si>
  <si>
    <t>(3horss de trabajo) se realizó limpieza de grupo, puesta cero y calibración, se encontró resorte inferior n7 roto y la pala q barre la pastilla doblada, equipo quedó operando, se recomienda cambiar resorte ya q afecta directamente a la calidad del café y al barrido de descarte de la pastilla ocscionando q se disperse para todos lados el café de descarte inclusive permaneciendo dentro del grupo para la siguiente infusión , se recomienda cambio de muelas q ya presentan bastante desgaste</t>
  </si>
  <si>
    <t>2025-12-08 09:55:00</t>
  </si>
  <si>
    <t>Buenas tardes, estamos teniendo problemas con el latte, no sale café, las moliendas no están trabadas, los demás cafés salen correctamente solo el latte no está tirando café.</t>
  </si>
  <si>
    <t>2025-12-11 13:58:22</t>
  </si>
  <si>
    <t>Informe en el otro Tk.</t>
  </si>
  <si>
    <t>2025-12-07 17:07:25</t>
  </si>
  <si>
    <t>Cafe aguado. Moliendas gastadas. Mal gramaje de cafe.</t>
  </si>
  <si>
    <t>2025-12-15 13:24:05</t>
  </si>
  <si>
    <t>2025-12-07 15:55:17</t>
  </si>
  <si>
    <t>Buenas, se nos trabo la molienda de la primer cafetera(al lado de la heladera vertical). Necesitariamos si podrian venir a verla por favor. Muchas graciad</t>
  </si>
  <si>
    <t>2025-12-08 14:22:30</t>
  </si>
  <si>
    <t>2025-12-13 01:00:05</t>
  </si>
  <si>
    <t>Se destrabo, limpio y se hizo puesta a 0 de molienda trabada tambien se calibro, cafetera operando 
Tiempo de servicio 45 min</t>
  </si>
  <si>
    <t>2025-12-07 09:07:39</t>
  </si>
  <si>
    <t>Molienda 1 no sale café está trabada</t>
  </si>
  <si>
    <t>2025-12-12 11:52:07</t>
  </si>
  <si>
    <t>Se destrabo y se hizo puesta a 0, se encontraron pedazos de ramas de cafe en el interior. Tiempo de servicio 40 min</t>
  </si>
  <si>
    <t>2025-12-06 17:15:03</t>
  </si>
  <si>
    <t>2025-12-08 13:03:59</t>
  </si>
  <si>
    <t>Tkt sin detalles</t>
  </si>
  <si>
    <t>2025-12-06 17:14:37</t>
  </si>
  <si>
    <t>Hola buenas tardes! Ya tenemos los materiales para la cafetera. Actualmente estan sin funcionar.
Gracias</t>
  </si>
  <si>
    <t>2025-12-07 12:51:10</t>
  </si>
  <si>
    <t>Ya se realizo cambio de codo de entrada de agua del grupo y kit de oring de pistontes, se calibro gramajes de cafe y leche y se limpio grupo e interior de cafetera. Tiempo de servicio: 2:30 hrs</t>
  </si>
  <si>
    <t>2025-12-06 16:16:25</t>
  </si>
  <si>
    <t>2025-12-12 01:00:05</t>
  </si>
  <si>
    <t>Estimados buenas tardes! El diyuntos salta ya fue cambiado y el equipo nos tira error, al prenderla hace ruido tratando de apagarse y no deja hacer cafe, se reinicia constantemente, tenemos videos pero no podemos adjuntarlos!</t>
  </si>
  <si>
    <t>2025-12-06 16:32:55</t>
  </si>
  <si>
    <t>2025-12-11 01:00:03</t>
  </si>
  <si>
    <t>Se reviso botón, contactora y bormera de alimentación todo en condiciones y sin falla, se cambió de toma al de la catta brida y el equipo funcionó con normalidad, el problema es el toma no el equipo, aprovechando el desarme se realizó una limpieza por exceso de café, se recomienda llamar un electricista para revisar el problema de tensión (2 horas de trabajo)</t>
  </si>
  <si>
    <t>2025-12-06 13:06:40</t>
  </si>
  <si>
    <t>buenas, ya tenemos el respuesto de la cafetera (el pescador) aguardo visita 
gracias</t>
  </si>
  <si>
    <t>2025-12-08 13:09:54</t>
  </si>
  <si>
    <t>Ya se cambio el respuesto solicitado, se calibro y se arreglo ficha de alimentacion de caldera
Tiempo de servicio 4:30 hrs</t>
  </si>
  <si>
    <t>2025-12-06 12:15:28</t>
  </si>
  <si>
    <t>Buenas, Cámara congeladora está en -17.5
No andan los condensadores del fondo</t>
  </si>
  <si>
    <t>2025-12-15 13:22:51</t>
  </si>
  <si>
    <t>Solucionado por tecnico (Bruno)</t>
  </si>
  <si>
    <t>2025-12-06 12:08:02</t>
  </si>
  <si>
    <t>Hola buen dia. Cafetera sin funcionamiento no extrae cafe</t>
  </si>
  <si>
    <t>2025-12-07 12:28:49</t>
  </si>
  <si>
    <t>Cafetera Cabildo 
Horas realizadas 2h
Cafetera moliendas trabadas y error 8 no salía americano.
Se destrabo moliendas  haciéndole puesta 0 y café calibrado.
Se sacó grupo que estaba muy sucio ,se limpió sensores y el seguer 
Repuestos: kit de moliendas y sensor de temperatura de grupo
Cafetera operando.</t>
  </si>
  <si>
    <t>2025-12-06 11:55:18</t>
  </si>
  <si>
    <t>Hola buen día me está indicando error 8 y error 55 y no me toma el lavado y hace que no me permita sacar ningún tipo de café .</t>
  </si>
  <si>
    <t>Así como en la foto</t>
  </si>
  <si>
    <t>2025-12-06 18:15:26</t>
  </si>
  <si>
    <t>2025-12-09 10:47:59</t>
  </si>
  <si>
    <t>Se realizó limpieza y ajuste de grupo completo haciendo desaparecer error 8, recipiente de matcha con grano de café dificultando el lavado, se limpio, la máquina quedó operando 
Observaciones ablandador sin sal y con mugre en el fondo, persiste error 55 se debe hacer el cambio de resistencia de grupo, y se observo un na pequeña pérdida de vapor del costado devido a la válvula de sobrepresión, realizar el pedido de una nueva para evitar dejar el equipo sin operar cuando se abra del todo( 4 horas de trabajo)</t>
  </si>
  <si>
    <t>2025-12-06 11:52:08</t>
  </si>
  <si>
    <t>Buen día, la cafetera me permite hacer solo latte y espresso corto doble. Los demás cafes salen solo con agua y no se escucha el ruido de la molienda activandose. Porfavor necesitamos que se revise lo antes posible. Muchas gracias!</t>
  </si>
  <si>
    <t>2025-12-07 16:57:25</t>
  </si>
  <si>
    <t>Cafetera wilde
Cafetera llegue y estaba operando.
Se le hizo una limpieza rápido de sensores y de grupo no hay mucho para hacer la cafetera es nueva.
Cafés todos calibrados y con espuma correspondiente.
Se le dejó avisado a la gerenta del local que si soluciona antes que avise en el ticket de la app.</t>
  </si>
  <si>
    <t>2025-12-06 11:31:34</t>
  </si>
  <si>
    <t>Cambiar repuestos , los cuales ya tenemos en el local</t>
  </si>
  <si>
    <t>2025-12-10 14:09:29</t>
  </si>
  <si>
    <t>Cafeteras 2 lado de máquina de helado se cambian repuestos.
Repuestos que faltan:
.Se necesitan cambios de orring de pistón de grupo para que la pastilla salga correctamente y no salga aguado
.barredora de café estaba doblada por lo cual no cumplía bien su trabajo, se enderezó, pero necesita un cambio
Cafetera 1
Se necesita cambio de válvula esm, ya que no va a salir correctamente la leche al estar este sin funcionar
.se necesita también cambio de moliendas ya que están gastadas</t>
  </si>
  <si>
    <t>2025-12-05 22:54:30</t>
  </si>
  <si>
    <t>No está correctamente calibrado
No sale espuma</t>
  </si>
  <si>
    <t>Sucursal FLORES</t>
  </si>
  <si>
    <t>2025-12-05 19:31:50</t>
  </si>
  <si>
    <t>2025-12-06 16:28:13</t>
  </si>
  <si>
    <t>Se limpio y calibro moliendas, se recomienda cambio de muelas ya q en las condiciones actuales tienes es descalibrsrse con más frecuencia perjudicando la calidad del café, se limpio el grupo y chasis superior q se encontraban llenos de café quedó operando con normalidad (2 horas de trabajo)</t>
  </si>
  <si>
    <t>2025-12-05 19:30:45</t>
  </si>
  <si>
    <t>Cambio de bomba</t>
  </si>
  <si>
    <t>2025-12-05 18:38:42</t>
  </si>
  <si>
    <t>2025-12-10 01:00:05</t>
  </si>
  <si>
    <t>Cafetera guemes
Horas trabajadas ;2hs
Cafetera 1 
Desagote tapado.
Se desarmó manguera ya quedó okey
Cafetera operando
Cafetera 2 
Se cambió bomba de leche pero sigue saliendo mal y entre cortado
Se limpió la esm, embudo y circuito de leche
Repuestos; esm y elf2 
Cafetera no operativa</t>
  </si>
  <si>
    <t>2025-12-05 10:12:53</t>
  </si>
  <si>
    <t>Buen día, tengo problemas con la cimbali sale aguado y sin sabor, no tiene espuma ni color. La proporción esta mal calibrada. Aguardo respuesta gracias</t>
  </si>
  <si>
    <t>Termino con un local y paso</t>
  </si>
  <si>
    <t>2025-12-05 09:27:22</t>
  </si>
  <si>
    <t>2025-12-05 19:03:06</t>
  </si>
  <si>
    <t>Cafetera 2 se calibro y se soluciono espuma en el cafe, se limpio valvula esm, elf3 y bomba de leche (se solicita cambio de muelas de ambas moliendas)
Cafetera 1 se calibro tiempony calidad de cafe, queda pendiente la espuma de la leche (se solicita tkt del mismo ya que no se especifico en el tkt ya creado)</t>
  </si>
  <si>
    <t>2025-12-05 09:23:42</t>
  </si>
  <si>
    <t>Hola buenos dias! 
La cafetera nuevamente no funciona. No sale cafe</t>
  </si>
  <si>
    <t>2025-12-05 14:37:32</t>
  </si>
  <si>
    <t>Cafetera se encontraba tapada, por otro lado se necesita cambio de oring. Y hay una perdida por el codo superior del grupo a la hora de sacar cafe, se solicita repuesto del codo y manguera de 4mm ya que queda tirantey choca contra el embudo de cafe</t>
  </si>
  <si>
    <t>2025-12-05 09:03:19</t>
  </si>
  <si>
    <t>Buen día, la máquina está bloqueada me pide el lavado constantemente, se le realiza el lavado y vuelve a reiniciarse, si podrán venir a revisarlo por favor</t>
  </si>
  <si>
    <t>2025-12-05 19:04:40</t>
  </si>
  <si>
    <t>Bloqueada por pescador tapado, el mismo se partio (se solicita repuesto para dejar la maquina operativa). Se limpio caldera llena de sarro</t>
  </si>
  <si>
    <t>2025-12-05 08:51:15</t>
  </si>
  <si>
    <t>Hola buen día, no anda el vapor, no calienta ni sale</t>
  </si>
  <si>
    <t>2025-12-14 23:10:59</t>
  </si>
  <si>
    <t>2025-12-14 23:11:28</t>
  </si>
  <si>
    <t>2025-12-05 08:47:22</t>
  </si>
  <si>
    <t>En ambas cafeteras no sale café, ya se intentó hacer varios lavados y persiste el problema. Hoy temprano vinieron a verlas y quedaron ok, hace 30 minutos dejaron de sacar cafés ambas.</t>
  </si>
  <si>
    <t>2025-12-05 12:56:03</t>
  </si>
  <si>
    <t>Cafetera Cabildo y juramento
Horas trabajas 2hs
Cafetera 1(lado catta)
Se realizó puesta a 0 y calibración de cada molienda
Grupo sucio se le hizo una buena limpieza
Se recomienda cambiar moliendas, actualmente gastadas.
Repuestos: kit de moliendas 1 y 2
Cafetera operando.
Cafetera 2;
Tobogán tapado.
Se limpió tobagan lleno de café 
Se le dio una pequeña capacitación a la gerenta del local y chicos de cafetería en estos casos que pase nuevamente.
Se recomienda que consigan filtro de leche para que no tenga problemas a futuro.
Repuestos: filtro de leche
Cafetera operando.</t>
  </si>
  <si>
    <t>2025-12-04 19:47:29</t>
  </si>
  <si>
    <t>Freezzer de carnes no llega a temperatura</t>
  </si>
  <si>
    <t>2025-12-05 11:32:07</t>
  </si>
  <si>
    <t>Se revisa equipo 
Se encuentra que la paleta del ventilador estaba trabada con el condensador y no giraba,por esa razón el equipo no llegaba a temperatura.
Se enderezó la paleta,se volvió a conectar el equipo a la red eléctrica y alcanzó la temperatura seteada correctamente.
Tiempo de servicio 1 hora</t>
  </si>
  <si>
    <t>2025-12-04 18:05:28</t>
  </si>
  <si>
    <t>buenas, ya tenemos el respuesto de la caldera en el local, así lo pueden cambiar!! gracias</t>
  </si>
  <si>
    <t>2025-12-05 19:01:09</t>
  </si>
  <si>
    <t>Se sacó caldera anterior, se colo la nueva con la sbase nueva se hizo todo el pase de repuestos, se reviso caldera en corto y se encontró exezo de zarro,se realizó una limpieza aprovechando la extracción de las calderas,se volvió a aroamr y quedó operativa, observaciones se encontró exezo de caucho al purgar el flexible de la cafetera de recomienda cambiar para evitar tapar el filtro de la bomba ocscionando q se queme la misma , u colocar acople anti retorno de 4mm q falta entre elf2 y ear para evitar q las mismas se lleven de leche haciendo imposible regular la leche, se realizó limpieza de duchas válvulas y se calibro la leche el equipo quedó operando con normalidad 5 horas</t>
  </si>
  <si>
    <t>2025-12-04 15:48:32</t>
  </si>
  <si>
    <t>Hola no nos esta saliendo café de la cafetera, se tiene que estar haciendo lavados constantes porque si no lo hacemos solo sale agua en vez de café</t>
  </si>
  <si>
    <t>FMCYM</t>
  </si>
  <si>
    <t>Cabildo 2</t>
  </si>
  <si>
    <t>2025-12-04 13:05:07</t>
  </si>
  <si>
    <t>Cafetera Cabildo 2 
Horas trabajadas; 2h
Café aguados , se hizo puesta 0 y se calibró las moliendas.
Se encontró pastillas muy húmedas eso hacía que se acumule mucho café y no pueda caer en el cajón correctamente
Se le hizo limpieza al grupo
Se recomienda coordinar un día y hacerle preventiva.mucho café dentro de la cafetera
Se acomodó manguera del match,interrumpía la caída de la pastilla al cajón de café.
Repuestos:
Se necesita kit de orring y orring del pistón 
Cafetera operando.</t>
  </si>
  <si>
    <t>2025-12-04 09:58:58</t>
  </si>
  <si>
    <t>2025-12-09 01:00:04</t>
  </si>
  <si>
    <t>Hola buenas tardes se me bloqueó la cafetera .
No me permite hacer el lavado no lo está tomando me pide una y otra vez y nada que lo toma .</t>
  </si>
  <si>
    <t>2025-12-04 15:17:04</t>
  </si>
  <si>
    <t>Cafetera operando
Trabajo realizado en 2hs 
Se limpia grupo entero, sensores, barredora, etc se calibran moliendas mm1, mm2 
Se recomienda cambiar muelas gastadas</t>
  </si>
  <si>
    <t>2025-12-04 09:47:52</t>
  </si>
  <si>
    <t>Buen día es el mismo problema, ayer pasó el técnico dejó todo ok pero se volvió a trabar y el tornillo está falseado con lo que no puedo destrabar la con facilidad 
Nicolás Heredia 
1165015790</t>
  </si>
  <si>
    <t>2025-12-04 11:30:17</t>
  </si>
  <si>
    <t>Cafetera Cabildo y juramento;
Horas realizadas; 45m
Se destrabaron las moliendas mm1 y mm2.
Se encontró café de la tolva en mal estado
Se abrió un poco más las moliendas así no está muy fino y tenga menos posibilidades de que se trabe ya que las moliendas son nuevas.
Cafetera operando</t>
  </si>
  <si>
    <t>2025-12-04 09:20:24</t>
  </si>
  <si>
    <t>Hola! Buenos dias
La cafetera no sale el cafe, sale aguado</t>
  </si>
  <si>
    <t>Se necesita pedir repuesto de kit de orring de pistón superior y la parte inferior del grupo, al estar gastados estos provocan que salga más agua de lo debido y se empaste la pastilla</t>
  </si>
  <si>
    <t>2025-12-04 09:35:47</t>
  </si>
  <si>
    <t>2025-12-04 10:44:37</t>
  </si>
  <si>
    <t>Café mm1 y mm2 
Cafetera operando</t>
  </si>
  <si>
    <t>2025-12-04 09:17:40</t>
  </si>
  <si>
    <t>Cafetera no levanta temperatura, no sale cafe ni leche</t>
  </si>
  <si>
    <t>Buen día sigue igual, supongo que debe ser por el cambio de horrings que debemos cambiar, agarra cuando quiere, deja de funcionar por algunas horas y luego vuelve, ante cualquier otro inconveniente abro tk, saludos!</t>
  </si>
  <si>
    <t>2025-12-05 09:54:47</t>
  </si>
  <si>
    <t>2025-12-05 18:53:11</t>
  </si>
  <si>
    <t>Se reviso equipo 
Se encontró con sensor de nivel sucio,se desarmo y limpio.
Vuelve a quedar operativa.
Se limpió además grupo de café y el interior de la máquina.
Se debe pedir a depósito codo de válvula EV(Lanza de vapor)para que pueda funcionar el vaporizador.
Tiempo de servicio 2 horas.</t>
  </si>
  <si>
    <t>2025-12-04 09:14:36</t>
  </si>
  <si>
    <t>Falsa en bomba de leche</t>
  </si>
  <si>
    <t>2025-12-04 11:19:33</t>
  </si>
  <si>
    <t>Resuelto por francisco</t>
  </si>
  <si>
    <t>2025-12-03 12:17:05</t>
  </si>
  <si>
    <t>Hola buen dia, me hace corto la cafetera la prendo  y se apaga todo gracias</t>
  </si>
  <si>
    <t>2025-12-03 13:45:28</t>
  </si>
  <si>
    <t>2025-12-08 01:00:05</t>
  </si>
  <si>
    <t>Cafetera inoperativa 
Caldera en corto
Se necesita hacer cambio de caldera grande 
Trabajo realizado en 2 hs</t>
  </si>
  <si>
    <t>2025-12-03 08:56:29</t>
  </si>
  <si>
    <t>2025-12-03 13:45:39</t>
  </si>
  <si>
    <t>2025-12-03 08:55:18</t>
  </si>
  <si>
    <t>Estimados, buenas tardes.
Solicito urgentemente la visita de un técnico ya que la cafetera está perdiendo una enorme cantidad de leche en la parte inferior al realizar cualquier café.
Aguardo su respuesta.</t>
  </si>
  <si>
    <t>FMJCP</t>
  </si>
  <si>
    <t>Jose C paz</t>
  </si>
  <si>
    <t>2025-12-04 11:17:40</t>
  </si>
  <si>
    <t>Se había soltado la manguera de desagüe de la máquina.
Quedó resuelto por el local</t>
  </si>
  <si>
    <t>2025-12-02 20:09:44</t>
  </si>
  <si>
    <t>Buenas, desde el dia de hoy la maquina no esta largando el nivel correcto de café.</t>
  </si>
  <si>
    <t>FRGRD</t>
  </si>
  <si>
    <t>Rio Grande</t>
  </si>
  <si>
    <t>2025-12-04 11:18:43</t>
  </si>
  <si>
    <t>Se dio soporte vía teléfono con el local.
Se debe reemplazar sensor volumétrico de agua.
Pedir repuesto a depósito.</t>
  </si>
  <si>
    <t>2025-12-02 16:31:25</t>
  </si>
  <si>
    <t>No saca café, saca agua.</t>
  </si>
  <si>
    <t>La cafetera sigue con error al sacar cafe</t>
  </si>
  <si>
    <t>Sucursal Liniers</t>
  </si>
  <si>
    <t>2025-12-03 12:39:26</t>
  </si>
  <si>
    <t>2025-12-04 09:32:34</t>
  </si>
  <si>
    <t>Cafetera operando ,trabajo realizado en 1 hs.
Se recomienda cambiar moliendas mm1 al estar gastadas les cuesta moler el cafe
Repuestos: kit de moliendas, acople de EM y Codo para la válvula de vapor, ya que se encontraban con pérdidas al estar gastadas</t>
  </si>
  <si>
    <t>2025-12-02 10:09:46</t>
  </si>
  <si>
    <t>Buenos días 
La cafetera pierde café por abajo y no llega a completar la Medida del cafe 
Molienda 1  
Molienda 2 
Sin funcionar</t>
  </si>
  <si>
    <t>2025-12-02 12:42:11</t>
  </si>
  <si>
    <t>Hora de trabajo 2 hs
Se calibran moliendas y se destapa tobogán de café, 
Se limpia desagote de cafetera tapado
Repuestos: orring de pistón superior y parte inferior.
Ya que al estar gastados generan mucha agua y hace que se empaste el café , por lo tanto se tapa
Cafetera operando</t>
  </si>
  <si>
    <t>2025-12-02 09:01:15</t>
  </si>
  <si>
    <t>2025-12-07 01:00:05</t>
  </si>
  <si>
    <t>Buenas la cafetera solo saca americano y leche sola, los demás cafés sale solo agua 
Solicito si se puede revisar gracias</t>
  </si>
  <si>
    <t>2025-12-02 14:51:40</t>
  </si>
  <si>
    <t>Cafetera Wilde
Duración trabajo 1hs
Se destraban moliendas y se calibran 
Se limpia circuito de leche
Cafetera operando</t>
  </si>
  <si>
    <t>2025-12-02 08:02:05</t>
  </si>
  <si>
    <t>Hola! Me comunico con ustedes debido a que necesitamos que realicen la instalación de 3 carteles luminosos. 
Realizo tk dentro de cafetera ya que no disponemos de otra opción.
Espero su respuesta, gracias</t>
  </si>
  <si>
    <t>Buen día 
Se coordinará visita para el próximo día lunes!</t>
  </si>
  <si>
    <t>2025-12-05 09:45:15</t>
  </si>
  <si>
    <t>2025-12-08 15:48:24</t>
  </si>
  <si>
    <t>Se coloco 2 carteles de 3 ya que uno de los carteles no vino con sus respectivos materiales y láminas de publicidad.
Se hizo en conjunto con el técnico Mauro Husak
Horas realizadas : 3h:30m.</t>
  </si>
  <si>
    <t>2025-12-01 16:22:15</t>
  </si>
  <si>
    <t>Manguera interna del café se encuentra cortada</t>
  </si>
  <si>
    <t>Pedir repuesto de manguera de grupo*</t>
  </si>
  <si>
    <t>2025-12-04 09:25:30</t>
  </si>
  <si>
    <t>FRSM</t>
  </si>
  <si>
    <t>Rosario Sur</t>
  </si>
  <si>
    <t>2025-12-04 11:20:24</t>
  </si>
  <si>
    <t>Resuelto por francisco técnico de rosario</t>
  </si>
  <si>
    <t>2025-12-01 15:01:48</t>
  </si>
  <si>
    <t>Estimados, buenas tardes.
Solicitamos con urgencia la visita de un técnico debido a una falla en el sensor de temperatura. La máquina está sirviendo la leche fría y llenando solo hasta la mitad del vaso, lo cual afecta también la preparación del resto de los cafés, ya que no se genera la espuma correctamente.
Aguardamos una pronta respuesta.
Muchas gracias.</t>
  </si>
  <si>
    <t>Estimados, buenos dias.
Tenemos en el local la nueva válvula EM para reemplazar la que no funciona. 
Quedamos a la espera del técnico para poder colocarla.</t>
  </si>
  <si>
    <t>Sucursal Jose C Paz</t>
  </si>
  <si>
    <t>2025-12-03 10:16:44</t>
  </si>
  <si>
    <t>2025-12-04 11:17:06</t>
  </si>
  <si>
    <t>Se reemplazo válvula EM de vapor.
La máquina queda operativa.
Tiempo de servicio 3 horas</t>
  </si>
  <si>
    <t>2025-12-01 14:37:23</t>
  </si>
  <si>
    <t>Cafe sale aguado</t>
  </si>
  <si>
    <t>2025-12-04 11:19:48</t>
  </si>
  <si>
    <t>2025-12-01 14:19:52</t>
  </si>
  <si>
    <t>Hola buenas tardes!  Quería solicitar la visita de un técnico ,ya que no sale cafe y se llena de café donde va la pastilla.
muchas gracias,adjunto foto</t>
  </si>
  <si>
    <t>Se realizó puesta a cero, limpieza de grupo y calibración de acuerdo al gramaje, se encontró café húmedo y grupo con exceso de café molido ovacionando error 8, se limpio y calibro todo quedó operando con normalidad
 (3 horas )</t>
  </si>
  <si>
    <t>2025-12-05 18:49:29</t>
  </si>
  <si>
    <t>FMGRA</t>
  </si>
  <si>
    <t>Monte Grande</t>
  </si>
  <si>
    <t>2025-12-05 18:49:33</t>
  </si>
  <si>
    <t>2025-12-01 13:11:37</t>
  </si>
  <si>
    <t>Buenas tardes las moliendas no accionan al activar café , reiniciamos el equipo, se realizo lavado y sigue sin funcionar.</t>
  </si>
  <si>
    <t>2025-12-01 16:51:53</t>
  </si>
  <si>
    <t>2025-12-06 01:00:04</t>
  </si>
  <si>
    <t>Se reviso equipo,se encontró mm2 trabada con pedazos de madera,se limpió y quedó operativa .
Tiempo de servicio 1 hora</t>
  </si>
  <si>
    <t>2025-12-01 12:54:25</t>
  </si>
  <si>
    <t>Hola buenas tardes en el día de de ayer dejaron funcionar las recestas correspondientes a la mm2 únicamente quedo funcionando la mm1.
Por favor enviar a un tecnico lo antes posible</t>
  </si>
  <si>
    <t>2025-12-01 14:56:50</t>
  </si>
  <si>
    <t>Se reviso equipo.
Se encuentra con pedazos de rama la mm2.
Se limpió y quedó operativa nuevamente 
Tiempo de servicio 1 hora.</t>
  </si>
  <si>
    <t>2025-12-01 12:12:06</t>
  </si>
  <si>
    <t>Buenas tardes 
Podrían compartir la ubicación del local?</t>
  </si>
  <si>
    <t>2025-12-01 12:46:30</t>
  </si>
  <si>
    <t>2025-12-02 09:35:01</t>
  </si>
  <si>
    <t>2025-12-01 11:08:55</t>
  </si>
  <si>
    <t>El café sale aguado</t>
  </si>
  <si>
    <t>2025-12-02 09:37:56</t>
  </si>
  <si>
    <t>Duración de trabajo 3horas
San justo 
Cafetera 1 salían aguados.
Se le hizo puesta 0 las dos moliendas ,se calibraron y quedaron en tiempo entre 11-16
Cafetera operando
Cafetera 2
No salían con espuma
Se limpió chicler,bomba de leche, embudo 
(Leche sale corto, bomba fallando)
Se recomienda cambiar bomba de leche
Cafetera operando</t>
  </si>
  <si>
    <t>2025-12-01 11:07:18</t>
  </si>
  <si>
    <t>2025-12-02 09:35:20</t>
  </si>
  <si>
    <t>2025-12-01 10:22:26</t>
  </si>
  <si>
    <t>Hola buen día! Abro tk nuevamente porque las moliendas no muelen, ninguna de las dos. Estamos sin poder vender cafes</t>
  </si>
  <si>
    <t>2025-12-01 12:14:50</t>
  </si>
  <si>
    <t>Se destraban moliendas mm1 y mm2
Queda operando.
NOTA:Se debe reemplazar kit completo de orrings de grupo de café,y resortes inferiores de la cámara de café,ya que se traba la pastilla de café generando que se atasque café,esto provoca iqe caiga menos café molido y salga aguado por momentos</t>
  </si>
  <si>
    <t>2025-12-01 09:22:54</t>
  </si>
  <si>
    <t>La cafetera no bombea leche.</t>
  </si>
  <si>
    <t>2025-12-03 09:02:52</t>
  </si>
  <si>
    <t>2025-12-01 09:16:23</t>
  </si>
  <si>
    <t>La cafetera no bombea leche. Hay agua y aire en la manguera.</t>
  </si>
  <si>
    <t>2025-12-04 09:24:12</t>
  </si>
  <si>
    <t>2025-12-01 09:15:46</t>
  </si>
  <si>
    <t>Buen día, estamos teniendo problemas con la salida de café, sale entrecortado y muy lento
Aguardo respuesta, gracias</t>
  </si>
  <si>
    <t>2025-12-02 09:30:07</t>
  </si>
  <si>
    <t>Cafetera 1 primera junta;
se encontró el tobogán tapado por moliendas gruesas., se le hizo puesta 0 a las dos y se calibraron.
Se sacó el café y se limpió todo el grupo,tobogán.
Le explique a la gerenta del local lo que debe hacer si no le sale café lo mismo si se le vuelve a tapar
Cafetera operando
Cafetera 2
El cortado mediado salía en en 65 segundos.
 le explique  que para que salga bien el cortado  tiene que estar entre 50 y 60 segundos ,al estar al tanto de eso me pidio que si lo podía bajar y que salga más rápido y lo deje en 45 segundos y informándole que puede salir un poco aguado.
Cafetera operando</t>
  </si>
  <si>
    <t>2025-12-01 08:09:39</t>
  </si>
  <si>
    <t>HS</t>
  </si>
  <si>
    <t>USD</t>
  </si>
  <si>
    <t>MO   Diciembre</t>
  </si>
  <si>
    <t>junio</t>
  </si>
  <si>
    <t>julio</t>
  </si>
  <si>
    <t>agosto</t>
  </si>
  <si>
    <t>septiembre</t>
  </si>
  <si>
    <t>octubre</t>
  </si>
  <si>
    <t>noviembre</t>
  </si>
  <si>
    <t>diciembre</t>
  </si>
  <si>
    <t>Tecnicos disponibles en campo</t>
  </si>
  <si>
    <t>tecnico en taller exclusivo cafeteras</t>
  </si>
  <si>
    <t>Tickets de otros equipos o tareas</t>
  </si>
  <si>
    <t>Tickets a cargo de proveedor (Flexsol)</t>
  </si>
  <si>
    <t>Atencion de Cattabriga - Taylor</t>
  </si>
  <si>
    <t>Reparacion de Planchas</t>
  </si>
  <si>
    <t>Instalacion de carteles</t>
  </si>
  <si>
    <t>adecuaciones en broilers</t>
  </si>
  <si>
    <t>pendientes edilicios especificos</t>
  </si>
  <si>
    <t>Tareas realizadas REGULARMENTE</t>
  </si>
  <si>
    <t>Reparacion de cafeteras Melitta</t>
  </si>
  <si>
    <t>Reparacion de cafeteras Cimbali</t>
  </si>
  <si>
    <t>gestion de servicios de proveedores especificos y servicios</t>
  </si>
  <si>
    <t>Instalaciones pre y post apertura</t>
  </si>
  <si>
    <t>Cobertura de garantias</t>
  </si>
  <si>
    <t>Relevamiento de equipamientos y estado por local</t>
  </si>
  <si>
    <t>Atencion de freezers</t>
  </si>
  <si>
    <t>Atencion de hornos</t>
  </si>
  <si>
    <t>Soporte remoto para provincias</t>
  </si>
  <si>
    <t>Apoyo a Propios en pendientes y emergencias</t>
  </si>
  <si>
    <t>Facturacion MO (USD)</t>
  </si>
  <si>
    <t>abril</t>
  </si>
  <si>
    <t>mayo</t>
  </si>
  <si>
    <t>Horas Tecnico MO realizadas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</si>
</sst>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amily val="2"/>
    </font>
    <font>
      <sz val="11"/>
      <name val="Calibri"/>
      <family val="2"/>
    </font>
    <font>
      <b/>
      <sz val="14"/>
      <name val="Calibri"/>
      <family val="2"/>
    </font>
    <font>
      <sz val="8"/>
      <name val="Calibri"/>
      <family val="2"/>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Alignment="1">
      <alignment wrapText="1"/>
    </xf>
    <xf numFmtId="0" fontId="2" fillId="0" borderId="0" xfId="0" applyFont="1"/>
    <xf numFmtId="0" fontId="2" fillId="0" borderId="0" xfId="0" applyFont="1" applyAlignment="1">
      <alignment horizontal="center"/>
    </xf>
    <xf numFmtId="0" fontId="2" fillId="0" borderId="0" xfId="0" applyFont="1" applyAlignment="1">
      <alignment wrapText="1"/>
    </xf>
    <xf numFmtId="0" fontId="3" fillId="2" borderId="0" xfId="0" applyFont="1" applyFill="1" applyAlignment="1">
      <alignment horizontal="center"/>
    </xf>
    <xf numFmtId="0" fontId="1" fillId="2" borderId="0" xfId="0" applyFont="1" applyFill="1" applyAlignment="1">
      <alignment horizontal="left"/>
    </xf>
    <xf numFmtId="0" fontId="2" fillId="3" borderId="0" xfId="0" applyFont="1" applyFill="1" applyAlignment="1">
      <alignment horizontal="center"/>
    </xf>
    <xf numFmtId="0" fontId="0" fillId="3" borderId="0" xfId="0" applyFill="1"/>
  </cellXfs>
  <cellStyles count="1">
    <cellStyle name="Normal" xfId="0" builtinId="0"/>
  </cellStyles>
  <dxfs count="2">
    <dxf>
      <numFmt numFmtId="19" formatCode="d/m/yy"/>
    </dxf>
    <dxf>
      <numFmt numFmtId="19" formatCode="d/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B7E316-B23D-3C44-BB0F-6E25F2F7CFBD}" name="Tabla13" displayName="Tabla13" ref="A1:T167" totalsRowCount="1">
  <autoFilter ref="A1:T166" xr:uid="{EA2DB072-4159-014E-9DFD-C097854B0165}"/>
  <sortState xmlns:xlrd2="http://schemas.microsoft.com/office/spreadsheetml/2017/richdata2" ref="A2:R166">
    <sortCondition ref="I166"/>
  </sortState>
  <tableColumns count="20">
    <tableColumn id="1" xr3:uid="{71533289-9366-0B4D-8131-DD5E215651EE}" name="Código"/>
    <tableColumn id="2" xr3:uid="{2ABF1DC8-0B80-BA4B-A848-B36D4BC976C7}" name="Incidencia"/>
    <tableColumn id="4" xr3:uid="{8CC787DE-4E8D-CA49-9A01-8B18134F2E6C}" name="Descripción"/>
    <tableColumn id="5" xr3:uid="{6CC27013-48E8-9C4F-8460-A2DC808A7CD0}" name="Prioridad"/>
    <tableColumn id="6" xr3:uid="{1574313A-331B-BC4B-B0EE-5DF3D34BDD9A}" name="Última Respuesta"/>
    <tableColumn id="7" xr3:uid="{2C38FFFF-482C-4D48-B247-20C3974ADB26}" name="Responde"/>
    <tableColumn id="8" xr3:uid="{247ABEFF-B4A6-744F-8406-C2E1F6893983}" name="Fecha Respuesta"/>
    <tableColumn id="9" xr3:uid="{2BDE1DBD-47F3-6443-B93E-DA9FF9F7CEE2}" name="Cód. de Sucursal"/>
    <tableColumn id="10" xr3:uid="{ED315F9A-6C7B-0941-9013-EA4EE80CED38}" name="Sucursal"/>
    <tableColumn id="12" xr3:uid="{D57108B0-2A45-9445-B675-216ECF7EFB55}" name="Estado"/>
    <tableColumn id="13" xr3:uid="{8CD548AF-628D-714F-9243-F07BDCC9D252}" name="Última Actualización"/>
    <tableColumn id="14" xr3:uid="{C77690B4-7CDC-9E46-A4D7-9CFB5281E69C}" name="Resuelto por"/>
    <tableColumn id="15" xr3:uid="{C8AE92F8-CAC1-B547-AA66-558C13DBD696}" name="Fecha de Resolución"/>
    <tableColumn id="16" xr3:uid="{FDC1C3C6-0084-374D-A2AB-1BE228CDDAD7}" name="Mensaje de Resolución"/>
    <tableColumn id="17" xr3:uid="{1837C2A0-3B6D-4A47-8FB6-C837E8B621AF}" name="Categoría"/>
    <tableColumn id="18" xr3:uid="{EBB89778-07B6-C744-8FA6-95EF81EB45A9}" name="Inicio"/>
    <tableColumn id="23" xr3:uid="{AFC28A8B-B8C5-2A45-B144-B8311FB46CD7}" name="Local"/>
    <tableColumn id="32" xr3:uid="{B3F51DB4-D10E-2644-9588-AE860827E1FE}" name="Fecha creación" dataDxfId="1" totalsRowDxfId="0"/>
    <tableColumn id="3" xr3:uid="{21E1CF3D-C7BC-7B40-B9F9-CAFCE3F4E7AE}" name="HS" totalsRowFunction="custom">
      <totalsRowFormula>SUM(S2:S166)</totalsRowFormula>
    </tableColumn>
    <tableColumn id="35" xr3:uid="{147F8534-BA22-B943-BAB5-5C1F54AD6F98}" name="USD"/>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62EB-5E10-1E49-A403-CBDA82DC000A}">
  <dimension ref="A1:U177"/>
  <sheetViews>
    <sheetView topLeftCell="I1" workbookViewId="0">
      <pane ySplit="1" topLeftCell="A150" activePane="bottomLeft" state="frozen"/>
      <selection activeCell="M1" sqref="M1"/>
      <selection pane="bottomLeft" activeCell="N6" sqref="N6"/>
    </sheetView>
  </sheetViews>
  <sheetFormatPr baseColWidth="10" defaultRowHeight="15" customHeight="1" x14ac:dyDescent="0.2"/>
  <cols>
    <col min="1" max="1" width="10.1640625" customWidth="1"/>
    <col min="2" max="2" width="44" customWidth="1"/>
    <col min="3" max="3" width="54" customWidth="1"/>
    <col min="4" max="4" width="11" bestFit="1" customWidth="1"/>
    <col min="5" max="5" width="11.1640625" customWidth="1"/>
    <col min="6" max="6" width="11.5" customWidth="1"/>
    <col min="7" max="7" width="17.6640625" bestFit="1" customWidth="1"/>
    <col min="8" max="8" width="16.1640625" bestFit="1" customWidth="1"/>
    <col min="9" max="9" width="18.1640625" bestFit="1" customWidth="1"/>
    <col min="10" max="10" width="11" bestFit="1" customWidth="1"/>
    <col min="11" max="11" width="19.5" bestFit="1" customWidth="1"/>
    <col min="12" max="12" width="13.5" bestFit="1" customWidth="1"/>
    <col min="13" max="13" width="19.33203125" bestFit="1" customWidth="1"/>
    <col min="14" max="14" width="28.33203125" customWidth="1"/>
    <col min="15" max="15" width="23.5" bestFit="1" customWidth="1"/>
    <col min="16" max="16" width="17.6640625" bestFit="1" customWidth="1"/>
    <col min="17" max="17" width="18.33203125" customWidth="1"/>
    <col min="18" max="18" width="12.33203125" customWidth="1"/>
  </cols>
  <sheetData>
    <row r="1" spans="1:21" ht="15" customHeight="1" x14ac:dyDescent="0.2">
      <c r="A1" t="s">
        <v>69</v>
      </c>
      <c r="B1" t="s">
        <v>70</v>
      </c>
      <c r="C1" t="s">
        <v>71</v>
      </c>
      <c r="D1" t="s">
        <v>72</v>
      </c>
      <c r="E1" t="s">
        <v>73</v>
      </c>
      <c r="F1" t="s">
        <v>74</v>
      </c>
      <c r="G1" t="s">
        <v>75</v>
      </c>
      <c r="H1" t="s">
        <v>76</v>
      </c>
      <c r="I1" t="s">
        <v>77</v>
      </c>
      <c r="J1" t="s">
        <v>78</v>
      </c>
      <c r="K1" t="s">
        <v>79</v>
      </c>
      <c r="L1" t="s">
        <v>80</v>
      </c>
      <c r="M1" t="s">
        <v>81</v>
      </c>
      <c r="N1" t="s">
        <v>82</v>
      </c>
      <c r="O1" t="s">
        <v>83</v>
      </c>
      <c r="P1" t="s">
        <v>84</v>
      </c>
      <c r="Q1" t="s">
        <v>0</v>
      </c>
      <c r="R1" t="s">
        <v>85</v>
      </c>
      <c r="S1" s="4" t="s">
        <v>940</v>
      </c>
      <c r="T1" s="4" t="s">
        <v>941</v>
      </c>
      <c r="U1" s="8" t="s">
        <v>941</v>
      </c>
    </row>
    <row r="2" spans="1:21" ht="15" customHeight="1" x14ac:dyDescent="0.2">
      <c r="A2">
        <v>105093</v>
      </c>
      <c r="B2" t="s">
        <v>5</v>
      </c>
      <c r="C2" s="2" t="s">
        <v>174</v>
      </c>
      <c r="D2" t="s">
        <v>93</v>
      </c>
      <c r="H2" t="s">
        <v>175</v>
      </c>
      <c r="I2" t="s">
        <v>176</v>
      </c>
      <c r="J2" t="s">
        <v>144</v>
      </c>
      <c r="K2" t="s">
        <v>166</v>
      </c>
      <c r="L2" t="s">
        <v>103</v>
      </c>
      <c r="M2" t="s">
        <v>177</v>
      </c>
      <c r="N2" s="2" t="s">
        <v>178</v>
      </c>
      <c r="O2" t="s">
        <v>91</v>
      </c>
      <c r="P2" t="s">
        <v>179</v>
      </c>
      <c r="Q2" t="s">
        <v>50</v>
      </c>
      <c r="R2" s="1">
        <v>46015</v>
      </c>
      <c r="S2">
        <v>5</v>
      </c>
      <c r="T2">
        <v>125</v>
      </c>
      <c r="U2" s="9">
        <f>Tabla13[[#This Row],[USD]]</f>
        <v>125</v>
      </c>
    </row>
    <row r="3" spans="1:21" ht="15" customHeight="1" x14ac:dyDescent="0.2">
      <c r="A3">
        <v>105090</v>
      </c>
      <c r="B3" t="s">
        <v>5</v>
      </c>
      <c r="D3" t="s">
        <v>93</v>
      </c>
      <c r="H3" t="s">
        <v>175</v>
      </c>
      <c r="I3" t="s">
        <v>176</v>
      </c>
      <c r="J3" t="s">
        <v>144</v>
      </c>
      <c r="K3" t="s">
        <v>166</v>
      </c>
      <c r="L3" t="s">
        <v>103</v>
      </c>
      <c r="M3" t="s">
        <v>180</v>
      </c>
      <c r="N3" s="2" t="s">
        <v>181</v>
      </c>
      <c r="O3" t="s">
        <v>91</v>
      </c>
      <c r="P3" t="s">
        <v>182</v>
      </c>
      <c r="Q3" t="s">
        <v>50</v>
      </c>
      <c r="R3" s="1">
        <v>46015</v>
      </c>
      <c r="S3">
        <v>0</v>
      </c>
      <c r="T3">
        <v>0</v>
      </c>
      <c r="U3" s="9">
        <f>Tabla13[[#This Row],[USD]]</f>
        <v>0</v>
      </c>
    </row>
    <row r="4" spans="1:21" ht="15" customHeight="1" x14ac:dyDescent="0.2">
      <c r="A4">
        <v>104481</v>
      </c>
      <c r="B4" t="s">
        <v>2</v>
      </c>
      <c r="C4" t="s">
        <v>301</v>
      </c>
      <c r="D4" t="s">
        <v>86</v>
      </c>
      <c r="H4" t="s">
        <v>302</v>
      </c>
      <c r="I4" t="s">
        <v>303</v>
      </c>
      <c r="J4" t="s">
        <v>144</v>
      </c>
      <c r="K4" t="s">
        <v>284</v>
      </c>
      <c r="L4" t="s">
        <v>103</v>
      </c>
      <c r="M4" t="s">
        <v>304</v>
      </c>
      <c r="N4" s="2" t="s">
        <v>305</v>
      </c>
      <c r="O4" t="s">
        <v>91</v>
      </c>
      <c r="P4" t="s">
        <v>306</v>
      </c>
      <c r="Q4" s="3" t="s">
        <v>52</v>
      </c>
      <c r="R4" s="1">
        <v>46010</v>
      </c>
      <c r="S4">
        <v>4</v>
      </c>
      <c r="T4">
        <v>100</v>
      </c>
      <c r="U4" s="9">
        <f>Tabla13[[#This Row],[USD]]</f>
        <v>100</v>
      </c>
    </row>
    <row r="5" spans="1:21" ht="15" customHeight="1" x14ac:dyDescent="0.2">
      <c r="A5">
        <v>103759</v>
      </c>
      <c r="B5" t="s">
        <v>2</v>
      </c>
      <c r="C5" s="2" t="s">
        <v>521</v>
      </c>
      <c r="D5" t="s">
        <v>86</v>
      </c>
      <c r="E5" s="2" t="s">
        <v>522</v>
      </c>
      <c r="F5" t="s">
        <v>251</v>
      </c>
      <c r="G5" t="s">
        <v>523</v>
      </c>
      <c r="H5" t="s">
        <v>302</v>
      </c>
      <c r="I5" t="s">
        <v>303</v>
      </c>
      <c r="J5" t="s">
        <v>144</v>
      </c>
      <c r="K5" t="s">
        <v>504</v>
      </c>
      <c r="L5" t="s">
        <v>131</v>
      </c>
      <c r="M5" t="s">
        <v>524</v>
      </c>
      <c r="N5" s="2" t="s">
        <v>525</v>
      </c>
      <c r="O5" t="s">
        <v>91</v>
      </c>
      <c r="P5" t="s">
        <v>526</v>
      </c>
      <c r="Q5" t="s">
        <v>52</v>
      </c>
      <c r="R5" s="1">
        <v>46004</v>
      </c>
      <c r="S5">
        <v>3</v>
      </c>
      <c r="T5">
        <v>75</v>
      </c>
      <c r="U5" s="9">
        <f>Tabla13[[#This Row],[USD]]</f>
        <v>75</v>
      </c>
    </row>
    <row r="6" spans="1:21" ht="15" customHeight="1" x14ac:dyDescent="0.2">
      <c r="A6">
        <v>105171</v>
      </c>
      <c r="B6" t="s">
        <v>7</v>
      </c>
      <c r="C6" t="s">
        <v>158</v>
      </c>
      <c r="D6" t="s">
        <v>86</v>
      </c>
      <c r="H6" t="s">
        <v>129</v>
      </c>
      <c r="I6" t="s">
        <v>130</v>
      </c>
      <c r="J6" t="s">
        <v>144</v>
      </c>
      <c r="K6" t="s">
        <v>145</v>
      </c>
      <c r="L6" t="s">
        <v>103</v>
      </c>
      <c r="M6" t="s">
        <v>159</v>
      </c>
      <c r="N6" s="2" t="s">
        <v>160</v>
      </c>
      <c r="O6" t="s">
        <v>91</v>
      </c>
      <c r="P6" t="s">
        <v>161</v>
      </c>
      <c r="Q6" t="s">
        <v>18</v>
      </c>
      <c r="R6" s="1">
        <v>46016</v>
      </c>
      <c r="S6">
        <v>6</v>
      </c>
      <c r="T6">
        <v>150</v>
      </c>
      <c r="U6" s="9">
        <f>Tabla13[[#This Row],[USD]]</f>
        <v>150</v>
      </c>
    </row>
    <row r="7" spans="1:21" ht="15" customHeight="1" x14ac:dyDescent="0.2">
      <c r="A7">
        <v>104830</v>
      </c>
      <c r="B7" t="s">
        <v>2</v>
      </c>
      <c r="C7" s="2" t="s">
        <v>235</v>
      </c>
      <c r="D7" t="s">
        <v>86</v>
      </c>
      <c r="H7" t="s">
        <v>129</v>
      </c>
      <c r="I7" t="s">
        <v>130</v>
      </c>
      <c r="J7" t="s">
        <v>144</v>
      </c>
      <c r="K7" t="s">
        <v>222</v>
      </c>
      <c r="L7" t="s">
        <v>131</v>
      </c>
      <c r="M7" t="s">
        <v>236</v>
      </c>
      <c r="N7" t="s">
        <v>237</v>
      </c>
      <c r="O7" t="s">
        <v>91</v>
      </c>
      <c r="P7" t="s">
        <v>238</v>
      </c>
      <c r="Q7" t="s">
        <v>18</v>
      </c>
      <c r="R7" s="1">
        <v>46013</v>
      </c>
      <c r="S7">
        <v>2</v>
      </c>
      <c r="T7">
        <v>50</v>
      </c>
      <c r="U7" s="9">
        <f>Tabla13[[#This Row],[USD]]</f>
        <v>50</v>
      </c>
    </row>
    <row r="8" spans="1:21" ht="15" customHeight="1" x14ac:dyDescent="0.2">
      <c r="A8">
        <v>104738</v>
      </c>
      <c r="B8" t="s">
        <v>28</v>
      </c>
      <c r="C8" t="s">
        <v>244</v>
      </c>
      <c r="D8" t="s">
        <v>93</v>
      </c>
      <c r="H8" t="s">
        <v>129</v>
      </c>
      <c r="I8" t="s">
        <v>130</v>
      </c>
      <c r="J8" t="s">
        <v>144</v>
      </c>
      <c r="K8" t="s">
        <v>246</v>
      </c>
      <c r="L8" t="s">
        <v>231</v>
      </c>
      <c r="M8" t="s">
        <v>245</v>
      </c>
      <c r="N8" t="s">
        <v>247</v>
      </c>
      <c r="O8" t="s">
        <v>91</v>
      </c>
      <c r="P8" t="s">
        <v>248</v>
      </c>
      <c r="Q8" t="s">
        <v>18</v>
      </c>
      <c r="R8" s="1">
        <v>46012</v>
      </c>
      <c r="S8">
        <v>3</v>
      </c>
      <c r="T8">
        <v>75</v>
      </c>
      <c r="U8" s="9">
        <f>Tabla13[[#This Row],[USD]]</f>
        <v>75</v>
      </c>
    </row>
    <row r="9" spans="1:21" ht="15" customHeight="1" x14ac:dyDescent="0.2">
      <c r="A9">
        <v>104535</v>
      </c>
      <c r="B9" t="s">
        <v>5</v>
      </c>
      <c r="C9" t="s">
        <v>280</v>
      </c>
      <c r="D9" t="s">
        <v>93</v>
      </c>
      <c r="H9" t="s">
        <v>129</v>
      </c>
      <c r="I9" t="s">
        <v>130</v>
      </c>
      <c r="J9" t="s">
        <v>144</v>
      </c>
      <c r="K9" t="s">
        <v>284</v>
      </c>
      <c r="L9" t="s">
        <v>131</v>
      </c>
      <c r="M9" t="s">
        <v>281</v>
      </c>
      <c r="N9" t="s">
        <v>282</v>
      </c>
      <c r="O9" t="s">
        <v>91</v>
      </c>
      <c r="P9" t="s">
        <v>283</v>
      </c>
      <c r="Q9" t="s">
        <v>18</v>
      </c>
      <c r="R9" s="1">
        <v>46010</v>
      </c>
      <c r="S9">
        <v>3</v>
      </c>
      <c r="T9">
        <v>75</v>
      </c>
      <c r="U9" s="9">
        <f>Tabla13[[#This Row],[USD]]</f>
        <v>75</v>
      </c>
    </row>
    <row r="10" spans="1:21" ht="15" customHeight="1" x14ac:dyDescent="0.2">
      <c r="A10">
        <v>104471</v>
      </c>
      <c r="B10" t="s">
        <v>11</v>
      </c>
      <c r="C10" t="s">
        <v>312</v>
      </c>
      <c r="D10" t="s">
        <v>86</v>
      </c>
      <c r="H10" t="s">
        <v>129</v>
      </c>
      <c r="I10" t="s">
        <v>130</v>
      </c>
      <c r="J10" t="s">
        <v>144</v>
      </c>
      <c r="K10" t="s">
        <v>284</v>
      </c>
      <c r="L10" t="s">
        <v>131</v>
      </c>
      <c r="M10" t="s">
        <v>313</v>
      </c>
      <c r="N10" t="s">
        <v>314</v>
      </c>
      <c r="O10" t="s">
        <v>91</v>
      </c>
      <c r="P10" t="s">
        <v>315</v>
      </c>
      <c r="Q10" t="s">
        <v>18</v>
      </c>
      <c r="R10" s="1">
        <v>46010</v>
      </c>
      <c r="S10">
        <v>3</v>
      </c>
      <c r="T10">
        <v>75</v>
      </c>
      <c r="U10" s="9">
        <f>Tabla13[[#This Row],[USD]]</f>
        <v>75</v>
      </c>
    </row>
    <row r="11" spans="1:21" ht="15" customHeight="1" x14ac:dyDescent="0.2">
      <c r="A11">
        <v>104452</v>
      </c>
      <c r="B11" t="s">
        <v>2</v>
      </c>
      <c r="C11" t="s">
        <v>324</v>
      </c>
      <c r="D11" t="s">
        <v>86</v>
      </c>
      <c r="H11" t="s">
        <v>129</v>
      </c>
      <c r="I11" t="s">
        <v>130</v>
      </c>
      <c r="J11" t="s">
        <v>144</v>
      </c>
      <c r="K11" t="s">
        <v>284</v>
      </c>
      <c r="L11" t="s">
        <v>131</v>
      </c>
      <c r="M11" t="s">
        <v>325</v>
      </c>
      <c r="N11" t="s">
        <v>326</v>
      </c>
      <c r="O11" t="s">
        <v>91</v>
      </c>
      <c r="P11" t="s">
        <v>327</v>
      </c>
      <c r="Q11" t="s">
        <v>18</v>
      </c>
      <c r="R11" s="1">
        <v>46009</v>
      </c>
      <c r="S11">
        <v>3</v>
      </c>
      <c r="T11">
        <v>75</v>
      </c>
      <c r="U11" s="9">
        <f>Tabla13[[#This Row],[USD]]</f>
        <v>75</v>
      </c>
    </row>
    <row r="12" spans="1:21" ht="15" customHeight="1" x14ac:dyDescent="0.2">
      <c r="A12">
        <v>104229</v>
      </c>
      <c r="B12" t="s">
        <v>2</v>
      </c>
      <c r="C12" t="s">
        <v>390</v>
      </c>
      <c r="D12" t="s">
        <v>86</v>
      </c>
      <c r="E12" t="s">
        <v>391</v>
      </c>
      <c r="F12" t="s">
        <v>97</v>
      </c>
      <c r="G12" t="s">
        <v>392</v>
      </c>
      <c r="H12" t="s">
        <v>129</v>
      </c>
      <c r="I12" t="s">
        <v>130</v>
      </c>
      <c r="J12" t="s">
        <v>144</v>
      </c>
      <c r="K12" t="s">
        <v>383</v>
      </c>
      <c r="L12" t="s">
        <v>131</v>
      </c>
      <c r="M12" t="s">
        <v>393</v>
      </c>
      <c r="N12" t="s">
        <v>394</v>
      </c>
      <c r="O12" t="s">
        <v>91</v>
      </c>
      <c r="P12" t="s">
        <v>395</v>
      </c>
      <c r="Q12" t="s">
        <v>18</v>
      </c>
      <c r="R12" s="1">
        <v>46007</v>
      </c>
      <c r="S12">
        <v>3</v>
      </c>
      <c r="T12">
        <v>75</v>
      </c>
      <c r="U12" s="9">
        <f>Tabla13[[#This Row],[USD]]</f>
        <v>75</v>
      </c>
    </row>
    <row r="13" spans="1:21" ht="15" customHeight="1" x14ac:dyDescent="0.2">
      <c r="A13">
        <v>102909</v>
      </c>
      <c r="B13" t="s">
        <v>1</v>
      </c>
      <c r="C13" s="2" t="s">
        <v>743</v>
      </c>
      <c r="D13" t="s">
        <v>109</v>
      </c>
      <c r="H13" t="s">
        <v>129</v>
      </c>
      <c r="I13" t="s">
        <v>130</v>
      </c>
      <c r="J13" t="s">
        <v>144</v>
      </c>
      <c r="K13" t="s">
        <v>723</v>
      </c>
      <c r="L13" t="s">
        <v>131</v>
      </c>
      <c r="M13" t="s">
        <v>744</v>
      </c>
      <c r="N13" s="2" t="s">
        <v>745</v>
      </c>
      <c r="O13" t="s">
        <v>91</v>
      </c>
      <c r="P13" t="s">
        <v>746</v>
      </c>
      <c r="Q13" t="s">
        <v>18</v>
      </c>
      <c r="R13" s="1">
        <v>45997</v>
      </c>
      <c r="S13">
        <v>3</v>
      </c>
      <c r="T13">
        <v>75</v>
      </c>
      <c r="U13" s="9">
        <f>Tabla13[[#This Row],[USD]]</f>
        <v>75</v>
      </c>
    </row>
    <row r="14" spans="1:21" ht="15" customHeight="1" x14ac:dyDescent="0.2">
      <c r="A14">
        <v>102731</v>
      </c>
      <c r="B14" t="s">
        <v>7</v>
      </c>
      <c r="C14" t="s">
        <v>790</v>
      </c>
      <c r="D14" t="s">
        <v>86</v>
      </c>
      <c r="H14" t="s">
        <v>129</v>
      </c>
      <c r="I14" t="s">
        <v>130</v>
      </c>
      <c r="J14" t="s">
        <v>144</v>
      </c>
      <c r="K14" t="s">
        <v>777</v>
      </c>
      <c r="L14" t="s">
        <v>131</v>
      </c>
      <c r="M14" t="s">
        <v>791</v>
      </c>
      <c r="N14" t="s">
        <v>792</v>
      </c>
      <c r="O14" t="s">
        <v>91</v>
      </c>
      <c r="P14" t="s">
        <v>793</v>
      </c>
      <c r="Q14" t="s">
        <v>18</v>
      </c>
      <c r="R14" s="1">
        <v>45996</v>
      </c>
      <c r="S14">
        <v>3</v>
      </c>
      <c r="T14">
        <v>75</v>
      </c>
      <c r="U14" s="9">
        <f>Tabla13[[#This Row],[USD]]</f>
        <v>75</v>
      </c>
    </row>
    <row r="15" spans="1:21" ht="15" customHeight="1" x14ac:dyDescent="0.2">
      <c r="A15">
        <v>105199</v>
      </c>
      <c r="B15" t="s">
        <v>2</v>
      </c>
      <c r="C15" t="s">
        <v>154</v>
      </c>
      <c r="D15" t="s">
        <v>86</v>
      </c>
      <c r="H15" t="s">
        <v>98</v>
      </c>
      <c r="I15" t="s">
        <v>99</v>
      </c>
      <c r="J15" t="s">
        <v>144</v>
      </c>
      <c r="K15" t="s">
        <v>145</v>
      </c>
      <c r="L15" t="s">
        <v>97</v>
      </c>
      <c r="M15" t="s">
        <v>155</v>
      </c>
      <c r="N15" s="2" t="s">
        <v>156</v>
      </c>
      <c r="O15" t="s">
        <v>91</v>
      </c>
      <c r="P15" t="s">
        <v>157</v>
      </c>
      <c r="Q15" t="s">
        <v>20</v>
      </c>
      <c r="R15" s="1">
        <v>46017</v>
      </c>
      <c r="S15">
        <v>3</v>
      </c>
      <c r="T15">
        <v>75</v>
      </c>
      <c r="U15" s="9">
        <f>Tabla13[[#This Row],[USD]]</f>
        <v>75</v>
      </c>
    </row>
    <row r="16" spans="1:21" ht="15" customHeight="1" x14ac:dyDescent="0.2">
      <c r="A16">
        <v>105008</v>
      </c>
      <c r="B16" t="s">
        <v>2</v>
      </c>
      <c r="C16" t="s">
        <v>198</v>
      </c>
      <c r="D16" t="s">
        <v>86</v>
      </c>
      <c r="H16" t="s">
        <v>98</v>
      </c>
      <c r="I16" t="s">
        <v>99</v>
      </c>
      <c r="J16" t="s">
        <v>144</v>
      </c>
      <c r="K16" t="s">
        <v>171</v>
      </c>
      <c r="L16" t="s">
        <v>119</v>
      </c>
      <c r="M16" t="s">
        <v>199</v>
      </c>
      <c r="N16" s="2" t="s">
        <v>200</v>
      </c>
      <c r="O16" t="s">
        <v>91</v>
      </c>
      <c r="P16" t="s">
        <v>201</v>
      </c>
      <c r="Q16" t="s">
        <v>20</v>
      </c>
      <c r="R16" s="1">
        <v>46014</v>
      </c>
      <c r="S16">
        <v>3</v>
      </c>
      <c r="T16">
        <v>75</v>
      </c>
      <c r="U16" s="9">
        <f>Tabla13[[#This Row],[USD]]</f>
        <v>75</v>
      </c>
    </row>
    <row r="17" spans="1:21" ht="15" customHeight="1" x14ac:dyDescent="0.2">
      <c r="A17">
        <v>104653</v>
      </c>
      <c r="B17" t="s">
        <v>3</v>
      </c>
      <c r="C17" t="s">
        <v>267</v>
      </c>
      <c r="D17" t="s">
        <v>109</v>
      </c>
      <c r="H17" t="s">
        <v>98</v>
      </c>
      <c r="I17" t="s">
        <v>99</v>
      </c>
      <c r="J17" t="s">
        <v>144</v>
      </c>
      <c r="K17" t="s">
        <v>187</v>
      </c>
      <c r="L17" t="s">
        <v>103</v>
      </c>
      <c r="M17" t="s">
        <v>268</v>
      </c>
      <c r="N17" t="s">
        <v>269</v>
      </c>
      <c r="O17" t="s">
        <v>91</v>
      </c>
      <c r="P17" t="s">
        <v>270</v>
      </c>
      <c r="Q17" t="s">
        <v>20</v>
      </c>
      <c r="R17" s="1">
        <v>46011</v>
      </c>
      <c r="S17">
        <v>2</v>
      </c>
      <c r="T17">
        <v>50</v>
      </c>
      <c r="U17" s="9">
        <f>Tabla13[[#This Row],[USD]]</f>
        <v>50</v>
      </c>
    </row>
    <row r="18" spans="1:21" ht="15" customHeight="1" x14ac:dyDescent="0.2">
      <c r="A18">
        <v>104547</v>
      </c>
      <c r="B18" t="s">
        <v>15</v>
      </c>
      <c r="C18" t="s">
        <v>276</v>
      </c>
      <c r="D18" t="s">
        <v>93</v>
      </c>
      <c r="H18" t="s">
        <v>98</v>
      </c>
      <c r="I18" t="s">
        <v>99</v>
      </c>
      <c r="J18" t="s">
        <v>144</v>
      </c>
      <c r="K18" t="s">
        <v>222</v>
      </c>
      <c r="L18" t="s">
        <v>103</v>
      </c>
      <c r="M18" t="s">
        <v>277</v>
      </c>
      <c r="N18" s="2" t="s">
        <v>278</v>
      </c>
      <c r="O18" t="s">
        <v>91</v>
      </c>
      <c r="P18" t="s">
        <v>279</v>
      </c>
      <c r="Q18" t="s">
        <v>20</v>
      </c>
      <c r="R18" s="1">
        <v>46011</v>
      </c>
      <c r="S18">
        <v>2</v>
      </c>
      <c r="T18">
        <v>50</v>
      </c>
      <c r="U18" s="9">
        <f>Tabla13[[#This Row],[USD]]</f>
        <v>50</v>
      </c>
    </row>
    <row r="19" spans="1:21" ht="15" customHeight="1" x14ac:dyDescent="0.2">
      <c r="A19">
        <v>104289</v>
      </c>
      <c r="B19" t="s">
        <v>9</v>
      </c>
      <c r="C19" t="s">
        <v>357</v>
      </c>
      <c r="D19" t="s">
        <v>86</v>
      </c>
      <c r="H19" t="s">
        <v>98</v>
      </c>
      <c r="I19" t="s">
        <v>99</v>
      </c>
      <c r="J19" t="s">
        <v>144</v>
      </c>
      <c r="K19" t="s">
        <v>359</v>
      </c>
      <c r="L19" t="s">
        <v>131</v>
      </c>
      <c r="M19" t="s">
        <v>358</v>
      </c>
      <c r="N19" s="2" t="s">
        <v>360</v>
      </c>
      <c r="O19" t="s">
        <v>91</v>
      </c>
      <c r="P19" t="s">
        <v>361</v>
      </c>
      <c r="Q19" t="s">
        <v>20</v>
      </c>
      <c r="R19" s="1">
        <v>46008</v>
      </c>
      <c r="S19">
        <v>4</v>
      </c>
      <c r="T19">
        <v>100</v>
      </c>
      <c r="U19" s="9">
        <f>Tabla13[[#This Row],[USD]]</f>
        <v>100</v>
      </c>
    </row>
    <row r="20" spans="1:21" ht="15" customHeight="1" x14ac:dyDescent="0.2">
      <c r="A20">
        <v>103839</v>
      </c>
      <c r="B20" t="s">
        <v>11</v>
      </c>
      <c r="C20" t="s">
        <v>490</v>
      </c>
      <c r="D20" t="s">
        <v>86</v>
      </c>
      <c r="E20" t="s">
        <v>491</v>
      </c>
      <c r="F20" t="s">
        <v>100</v>
      </c>
      <c r="G20" t="s">
        <v>492</v>
      </c>
      <c r="H20" t="s">
        <v>98</v>
      </c>
      <c r="I20" t="s">
        <v>99</v>
      </c>
      <c r="J20" t="s">
        <v>144</v>
      </c>
      <c r="K20" t="s">
        <v>495</v>
      </c>
      <c r="L20" t="s">
        <v>100</v>
      </c>
      <c r="M20" t="s">
        <v>493</v>
      </c>
      <c r="N20" s="3" t="s">
        <v>491</v>
      </c>
      <c r="O20" t="s">
        <v>91</v>
      </c>
      <c r="P20" t="s">
        <v>494</v>
      </c>
      <c r="Q20" t="s">
        <v>20</v>
      </c>
      <c r="R20" s="1">
        <v>46004</v>
      </c>
      <c r="S20">
        <v>4</v>
      </c>
      <c r="T20">
        <v>100</v>
      </c>
      <c r="U20" s="9">
        <f>Tabla13[[#This Row],[USD]]</f>
        <v>100</v>
      </c>
    </row>
    <row r="21" spans="1:21" ht="15" customHeight="1" x14ac:dyDescent="0.2">
      <c r="A21">
        <v>103593</v>
      </c>
      <c r="B21" t="s">
        <v>4</v>
      </c>
      <c r="C21" t="s">
        <v>568</v>
      </c>
      <c r="D21" t="s">
        <v>86</v>
      </c>
      <c r="E21" t="s">
        <v>569</v>
      </c>
      <c r="F21" t="s">
        <v>100</v>
      </c>
      <c r="G21" t="s">
        <v>570</v>
      </c>
      <c r="H21" t="s">
        <v>98</v>
      </c>
      <c r="I21" t="s">
        <v>99</v>
      </c>
      <c r="J21" t="s">
        <v>144</v>
      </c>
      <c r="K21" t="s">
        <v>550</v>
      </c>
      <c r="L21" t="s">
        <v>100</v>
      </c>
      <c r="M21" t="s">
        <v>571</v>
      </c>
      <c r="N21" s="3" t="s">
        <v>569</v>
      </c>
      <c r="O21" t="s">
        <v>91</v>
      </c>
      <c r="P21" t="s">
        <v>572</v>
      </c>
      <c r="Q21" t="s">
        <v>20</v>
      </c>
      <c r="R21" s="1">
        <v>46003</v>
      </c>
      <c r="S21">
        <v>3</v>
      </c>
      <c r="T21">
        <v>75</v>
      </c>
      <c r="U21" s="9">
        <f>Tabla13[[#This Row],[USD]]</f>
        <v>75</v>
      </c>
    </row>
    <row r="22" spans="1:21" ht="15" customHeight="1" x14ac:dyDescent="0.2">
      <c r="A22">
        <v>103126</v>
      </c>
      <c r="B22" t="s">
        <v>16</v>
      </c>
      <c r="C22" t="s">
        <v>710</v>
      </c>
      <c r="D22" t="s">
        <v>93</v>
      </c>
      <c r="H22" t="s">
        <v>98</v>
      </c>
      <c r="I22" t="s">
        <v>99</v>
      </c>
      <c r="J22" t="s">
        <v>144</v>
      </c>
      <c r="K22" t="s">
        <v>686</v>
      </c>
      <c r="L22" t="s">
        <v>100</v>
      </c>
      <c r="M22" t="s">
        <v>711</v>
      </c>
      <c r="N22" s="3" t="s">
        <v>712</v>
      </c>
      <c r="O22" t="s">
        <v>91</v>
      </c>
      <c r="P22" t="s">
        <v>713</v>
      </c>
      <c r="Q22" t="s">
        <v>20</v>
      </c>
      <c r="R22" s="1">
        <v>45999</v>
      </c>
      <c r="S22">
        <v>3</v>
      </c>
      <c r="T22">
        <v>75</v>
      </c>
      <c r="U22" s="9">
        <f>Tabla13[[#This Row],[USD]]</f>
        <v>75</v>
      </c>
    </row>
    <row r="23" spans="1:21" ht="15" customHeight="1" x14ac:dyDescent="0.2">
      <c r="A23">
        <v>104553</v>
      </c>
      <c r="B23" t="s">
        <v>4</v>
      </c>
      <c r="D23" t="s">
        <v>86</v>
      </c>
      <c r="H23" t="s">
        <v>271</v>
      </c>
      <c r="I23" t="s">
        <v>272</v>
      </c>
      <c r="J23" t="s">
        <v>144</v>
      </c>
      <c r="K23" t="s">
        <v>262</v>
      </c>
      <c r="L23" t="s">
        <v>100</v>
      </c>
      <c r="M23" t="s">
        <v>273</v>
      </c>
      <c r="N23" s="2" t="s">
        <v>274</v>
      </c>
      <c r="O23" t="s">
        <v>91</v>
      </c>
      <c r="P23" t="s">
        <v>275</v>
      </c>
      <c r="Q23" t="s">
        <v>23</v>
      </c>
      <c r="R23" s="1">
        <v>46011</v>
      </c>
      <c r="S23">
        <v>3</v>
      </c>
      <c r="T23">
        <v>75</v>
      </c>
      <c r="U23" s="9">
        <f>Tabla13[[#This Row],[USD]]</f>
        <v>75</v>
      </c>
    </row>
    <row r="24" spans="1:21" ht="15" customHeight="1" x14ac:dyDescent="0.2">
      <c r="A24">
        <v>104329</v>
      </c>
      <c r="B24" t="s">
        <v>2</v>
      </c>
      <c r="C24" t="s">
        <v>353</v>
      </c>
      <c r="D24" t="s">
        <v>86</v>
      </c>
      <c r="H24" t="s">
        <v>271</v>
      </c>
      <c r="I24" t="s">
        <v>272</v>
      </c>
      <c r="J24" t="s">
        <v>144</v>
      </c>
      <c r="K24" t="s">
        <v>262</v>
      </c>
      <c r="L24" t="s">
        <v>100</v>
      </c>
      <c r="M24" t="s">
        <v>354</v>
      </c>
      <c r="N24" s="2" t="s">
        <v>355</v>
      </c>
      <c r="O24" t="s">
        <v>91</v>
      </c>
      <c r="P24" t="s">
        <v>356</v>
      </c>
      <c r="Q24" t="s">
        <v>23</v>
      </c>
      <c r="R24" s="1">
        <v>46008</v>
      </c>
      <c r="S24">
        <v>4</v>
      </c>
      <c r="T24">
        <v>100</v>
      </c>
      <c r="U24" s="9">
        <f>Tabla13[[#This Row],[USD]]</f>
        <v>100</v>
      </c>
    </row>
    <row r="25" spans="1:21" ht="15" customHeight="1" x14ac:dyDescent="0.2">
      <c r="A25">
        <v>103951</v>
      </c>
      <c r="B25" t="s">
        <v>2</v>
      </c>
      <c r="C25" s="2" t="s">
        <v>454</v>
      </c>
      <c r="D25" t="s">
        <v>86</v>
      </c>
      <c r="H25" t="s">
        <v>271</v>
      </c>
      <c r="I25" t="s">
        <v>272</v>
      </c>
      <c r="J25" t="s">
        <v>144</v>
      </c>
      <c r="K25" t="s">
        <v>435</v>
      </c>
      <c r="L25" t="s">
        <v>231</v>
      </c>
      <c r="M25" t="s">
        <v>455</v>
      </c>
      <c r="N25" t="s">
        <v>456</v>
      </c>
      <c r="O25" t="s">
        <v>91</v>
      </c>
      <c r="P25" t="s">
        <v>457</v>
      </c>
      <c r="Q25" t="s">
        <v>23</v>
      </c>
      <c r="R25" s="1">
        <v>46005</v>
      </c>
      <c r="S25">
        <v>4</v>
      </c>
      <c r="T25">
        <v>100</v>
      </c>
      <c r="U25" s="9">
        <f>Tabla13[[#This Row],[USD]]</f>
        <v>100</v>
      </c>
    </row>
    <row r="26" spans="1:21" ht="15" customHeight="1" x14ac:dyDescent="0.2">
      <c r="A26">
        <v>103781</v>
      </c>
      <c r="B26" t="s">
        <v>2</v>
      </c>
      <c r="C26" t="s">
        <v>502</v>
      </c>
      <c r="D26" t="s">
        <v>86</v>
      </c>
      <c r="H26" t="s">
        <v>271</v>
      </c>
      <c r="I26" t="s">
        <v>272</v>
      </c>
      <c r="J26" t="s">
        <v>144</v>
      </c>
      <c r="K26" t="s">
        <v>504</v>
      </c>
      <c r="L26" t="s">
        <v>131</v>
      </c>
      <c r="M26" t="s">
        <v>503</v>
      </c>
      <c r="N26" s="5" t="s">
        <v>505</v>
      </c>
      <c r="O26" t="s">
        <v>91</v>
      </c>
      <c r="P26" t="s">
        <v>506</v>
      </c>
      <c r="Q26" t="s">
        <v>23</v>
      </c>
      <c r="R26" s="1">
        <v>46004</v>
      </c>
      <c r="S26">
        <v>3</v>
      </c>
      <c r="T26">
        <v>75</v>
      </c>
      <c r="U26" s="9">
        <f>Tabla13[[#This Row],[USD]]</f>
        <v>75</v>
      </c>
    </row>
    <row r="27" spans="1:21" ht="15" customHeight="1" x14ac:dyDescent="0.2">
      <c r="A27">
        <v>102906</v>
      </c>
      <c r="B27" t="s">
        <v>2</v>
      </c>
      <c r="C27" t="s">
        <v>751</v>
      </c>
      <c r="D27" t="s">
        <v>86</v>
      </c>
      <c r="H27" t="s">
        <v>271</v>
      </c>
      <c r="I27" t="s">
        <v>272</v>
      </c>
      <c r="J27" t="s">
        <v>144</v>
      </c>
      <c r="K27" t="s">
        <v>737</v>
      </c>
      <c r="L27" t="s">
        <v>97</v>
      </c>
      <c r="M27" t="s">
        <v>752</v>
      </c>
      <c r="N27" s="2" t="s">
        <v>753</v>
      </c>
      <c r="O27" t="s">
        <v>91</v>
      </c>
      <c r="P27" t="s">
        <v>754</v>
      </c>
      <c r="Q27" t="s">
        <v>23</v>
      </c>
      <c r="R27" s="1">
        <v>45997</v>
      </c>
      <c r="S27">
        <v>0</v>
      </c>
      <c r="T27">
        <v>0</v>
      </c>
      <c r="U27" s="9">
        <f>Tabla13[[#This Row],[USD]]</f>
        <v>0</v>
      </c>
    </row>
    <row r="28" spans="1:21" ht="15" customHeight="1" x14ac:dyDescent="0.2">
      <c r="A28">
        <v>102701</v>
      </c>
      <c r="B28" t="s">
        <v>2</v>
      </c>
      <c r="C28" t="s">
        <v>798</v>
      </c>
      <c r="D28" t="s">
        <v>86</v>
      </c>
      <c r="H28" t="s">
        <v>271</v>
      </c>
      <c r="I28" t="s">
        <v>272</v>
      </c>
      <c r="J28" t="s">
        <v>144</v>
      </c>
      <c r="K28" t="s">
        <v>777</v>
      </c>
      <c r="L28" t="s">
        <v>97</v>
      </c>
      <c r="M28" t="s">
        <v>799</v>
      </c>
      <c r="N28" s="2" t="s">
        <v>800</v>
      </c>
      <c r="O28" t="s">
        <v>91</v>
      </c>
      <c r="P28" t="s">
        <v>801</v>
      </c>
      <c r="Q28" t="s">
        <v>23</v>
      </c>
      <c r="R28" s="1">
        <v>45995</v>
      </c>
      <c r="S28">
        <v>5</v>
      </c>
      <c r="T28">
        <v>125</v>
      </c>
      <c r="U28" s="9">
        <f>Tabla13[[#This Row],[USD]]</f>
        <v>125</v>
      </c>
    </row>
    <row r="29" spans="1:21" ht="15" customHeight="1" x14ac:dyDescent="0.2">
      <c r="A29">
        <v>102626</v>
      </c>
      <c r="B29" t="s">
        <v>2</v>
      </c>
      <c r="C29" s="2" t="s">
        <v>821</v>
      </c>
      <c r="D29" t="s">
        <v>86</v>
      </c>
      <c r="H29" t="s">
        <v>271</v>
      </c>
      <c r="I29" t="s">
        <v>272</v>
      </c>
      <c r="J29" t="s">
        <v>144</v>
      </c>
      <c r="K29" t="s">
        <v>816</v>
      </c>
      <c r="L29" t="s">
        <v>97</v>
      </c>
      <c r="M29" t="s">
        <v>822</v>
      </c>
      <c r="N29" s="2" t="s">
        <v>823</v>
      </c>
      <c r="O29" t="s">
        <v>91</v>
      </c>
      <c r="P29" t="s">
        <v>824</v>
      </c>
      <c r="Q29" t="s">
        <v>23</v>
      </c>
      <c r="R29" s="1">
        <v>45995</v>
      </c>
      <c r="S29">
        <v>0</v>
      </c>
      <c r="T29">
        <v>0</v>
      </c>
      <c r="U29" s="9">
        <f>Tabla13[[#This Row],[USD]]</f>
        <v>0</v>
      </c>
    </row>
    <row r="30" spans="1:21" ht="15" customHeight="1" x14ac:dyDescent="0.2">
      <c r="A30">
        <v>102634</v>
      </c>
      <c r="B30" t="s">
        <v>3</v>
      </c>
      <c r="C30" t="s">
        <v>810</v>
      </c>
      <c r="D30" t="s">
        <v>109</v>
      </c>
      <c r="H30" t="s">
        <v>811</v>
      </c>
      <c r="I30" t="s">
        <v>812</v>
      </c>
      <c r="J30" t="s">
        <v>144</v>
      </c>
      <c r="K30" t="s">
        <v>816</v>
      </c>
      <c r="L30" t="s">
        <v>97</v>
      </c>
      <c r="M30" t="s">
        <v>813</v>
      </c>
      <c r="N30" s="2" t="s">
        <v>814</v>
      </c>
      <c r="O30" t="s">
        <v>91</v>
      </c>
      <c r="P30" t="s">
        <v>815</v>
      </c>
      <c r="Q30" t="s">
        <v>64</v>
      </c>
      <c r="R30" s="1">
        <v>45995</v>
      </c>
      <c r="S30">
        <v>3</v>
      </c>
      <c r="T30">
        <v>75</v>
      </c>
      <c r="U30" s="9">
        <f>Tabla13[[#This Row],[USD]]</f>
        <v>75</v>
      </c>
    </row>
    <row r="31" spans="1:21" ht="15" customHeight="1" x14ac:dyDescent="0.2">
      <c r="A31">
        <v>104251</v>
      </c>
      <c r="B31" t="s">
        <v>11</v>
      </c>
      <c r="C31" t="s">
        <v>377</v>
      </c>
      <c r="D31" t="s">
        <v>86</v>
      </c>
      <c r="E31" s="2" t="s">
        <v>378</v>
      </c>
      <c r="F31" t="s">
        <v>100</v>
      </c>
      <c r="G31" t="s">
        <v>379</v>
      </c>
      <c r="H31" t="s">
        <v>380</v>
      </c>
      <c r="I31" t="s">
        <v>381</v>
      </c>
      <c r="J31" t="s">
        <v>144</v>
      </c>
      <c r="K31" t="s">
        <v>383</v>
      </c>
      <c r="L31" t="s">
        <v>100</v>
      </c>
      <c r="M31" t="s">
        <v>382</v>
      </c>
      <c r="N31" s="2" t="s">
        <v>378</v>
      </c>
      <c r="O31" t="s">
        <v>91</v>
      </c>
      <c r="P31" t="s">
        <v>384</v>
      </c>
      <c r="Q31" t="s">
        <v>33</v>
      </c>
      <c r="R31" s="1">
        <v>46007</v>
      </c>
      <c r="S31">
        <v>3</v>
      </c>
      <c r="T31">
        <v>75</v>
      </c>
      <c r="U31" s="9">
        <f>Tabla13[[#This Row],[USD]]</f>
        <v>75</v>
      </c>
    </row>
    <row r="32" spans="1:21" ht="15" customHeight="1" x14ac:dyDescent="0.2">
      <c r="A32">
        <v>104250</v>
      </c>
      <c r="B32" t="s">
        <v>4</v>
      </c>
      <c r="C32" t="s">
        <v>385</v>
      </c>
      <c r="D32" t="s">
        <v>86</v>
      </c>
      <c r="E32" s="2" t="s">
        <v>386</v>
      </c>
      <c r="F32" t="s">
        <v>100</v>
      </c>
      <c r="G32" t="s">
        <v>387</v>
      </c>
      <c r="H32" t="s">
        <v>380</v>
      </c>
      <c r="I32" t="s">
        <v>381</v>
      </c>
      <c r="J32" t="s">
        <v>144</v>
      </c>
      <c r="K32" t="s">
        <v>383</v>
      </c>
      <c r="L32" t="s">
        <v>100</v>
      </c>
      <c r="M32" t="s">
        <v>388</v>
      </c>
      <c r="N32" s="2" t="s">
        <v>386</v>
      </c>
      <c r="O32" t="s">
        <v>91</v>
      </c>
      <c r="P32" t="s">
        <v>389</v>
      </c>
      <c r="Q32" t="s">
        <v>33</v>
      </c>
      <c r="R32" s="1">
        <v>46007</v>
      </c>
      <c r="S32">
        <v>3</v>
      </c>
      <c r="T32">
        <v>75</v>
      </c>
      <c r="U32" s="9">
        <f>Tabla13[[#This Row],[USD]]</f>
        <v>75</v>
      </c>
    </row>
    <row r="33" spans="1:21" ht="15" customHeight="1" x14ac:dyDescent="0.2">
      <c r="A33">
        <v>103966</v>
      </c>
      <c r="B33" t="s">
        <v>3</v>
      </c>
      <c r="C33" t="s">
        <v>438</v>
      </c>
      <c r="D33" t="s">
        <v>109</v>
      </c>
      <c r="H33" t="s">
        <v>380</v>
      </c>
      <c r="I33" t="s">
        <v>381</v>
      </c>
      <c r="J33" t="s">
        <v>144</v>
      </c>
      <c r="K33" t="s">
        <v>187</v>
      </c>
      <c r="L33" t="s">
        <v>100</v>
      </c>
      <c r="M33" t="s">
        <v>439</v>
      </c>
      <c r="N33" t="s">
        <v>440</v>
      </c>
      <c r="O33" t="s">
        <v>91</v>
      </c>
      <c r="P33" t="s">
        <v>441</v>
      </c>
      <c r="Q33" t="s">
        <v>33</v>
      </c>
      <c r="R33" s="1">
        <v>46006</v>
      </c>
      <c r="S33">
        <v>5</v>
      </c>
      <c r="T33">
        <v>125</v>
      </c>
      <c r="U33" s="9">
        <f>Tabla13[[#This Row],[USD]]</f>
        <v>125</v>
      </c>
    </row>
    <row r="34" spans="1:21" ht="15" customHeight="1" x14ac:dyDescent="0.2">
      <c r="A34">
        <v>103965</v>
      </c>
      <c r="B34" t="s">
        <v>2</v>
      </c>
      <c r="C34" t="s">
        <v>442</v>
      </c>
      <c r="D34" t="s">
        <v>86</v>
      </c>
      <c r="H34" t="s">
        <v>380</v>
      </c>
      <c r="I34" t="s">
        <v>381</v>
      </c>
      <c r="J34" t="s">
        <v>144</v>
      </c>
      <c r="K34" t="s">
        <v>383</v>
      </c>
      <c r="L34" t="s">
        <v>100</v>
      </c>
      <c r="M34" t="s">
        <v>443</v>
      </c>
      <c r="N34" t="s">
        <v>444</v>
      </c>
      <c r="O34" t="s">
        <v>91</v>
      </c>
      <c r="P34" t="s">
        <v>445</v>
      </c>
      <c r="Q34" t="s">
        <v>33</v>
      </c>
      <c r="R34" s="1">
        <v>46006</v>
      </c>
      <c r="S34">
        <v>0</v>
      </c>
      <c r="T34">
        <v>0</v>
      </c>
      <c r="U34" s="9">
        <f>Tabla13[[#This Row],[USD]]</f>
        <v>0</v>
      </c>
    </row>
    <row r="35" spans="1:21" ht="15" customHeight="1" x14ac:dyDescent="0.2">
      <c r="A35">
        <v>102864</v>
      </c>
      <c r="B35" t="s">
        <v>2</v>
      </c>
      <c r="C35" t="s">
        <v>765</v>
      </c>
      <c r="D35" t="s">
        <v>86</v>
      </c>
      <c r="H35" t="s">
        <v>380</v>
      </c>
      <c r="I35" t="s">
        <v>381</v>
      </c>
      <c r="J35" t="s">
        <v>144</v>
      </c>
      <c r="K35" t="s">
        <v>686</v>
      </c>
      <c r="L35" t="s">
        <v>103</v>
      </c>
      <c r="M35" t="s">
        <v>766</v>
      </c>
      <c r="N35" s="2" t="s">
        <v>767</v>
      </c>
      <c r="O35" t="s">
        <v>91</v>
      </c>
      <c r="P35" t="s">
        <v>768</v>
      </c>
      <c r="Q35" t="s">
        <v>33</v>
      </c>
      <c r="R35" s="1">
        <v>45996</v>
      </c>
      <c r="S35">
        <v>3</v>
      </c>
      <c r="T35">
        <v>75</v>
      </c>
      <c r="U35" s="9">
        <f>Tabla13[[#This Row],[USD]]</f>
        <v>75</v>
      </c>
    </row>
    <row r="36" spans="1:21" ht="15" customHeight="1" x14ac:dyDescent="0.2">
      <c r="A36">
        <v>103907</v>
      </c>
      <c r="B36" t="s">
        <v>3</v>
      </c>
      <c r="C36" t="s">
        <v>464</v>
      </c>
      <c r="D36" t="s">
        <v>109</v>
      </c>
      <c r="H36" t="s">
        <v>136</v>
      </c>
      <c r="I36" t="s">
        <v>137</v>
      </c>
      <c r="J36" t="s">
        <v>144</v>
      </c>
      <c r="K36" t="s">
        <v>187</v>
      </c>
      <c r="L36" t="s">
        <v>103</v>
      </c>
      <c r="M36" t="s">
        <v>465</v>
      </c>
      <c r="N36" s="2" t="s">
        <v>466</v>
      </c>
      <c r="O36" t="s">
        <v>91</v>
      </c>
      <c r="P36" t="s">
        <v>467</v>
      </c>
      <c r="Q36" t="s">
        <v>47</v>
      </c>
      <c r="R36" s="1">
        <v>46005</v>
      </c>
      <c r="S36">
        <v>4</v>
      </c>
      <c r="T36">
        <v>100</v>
      </c>
      <c r="U36" s="9">
        <f>Tabla13[[#This Row],[USD]]</f>
        <v>100</v>
      </c>
    </row>
    <row r="37" spans="1:21" ht="15" customHeight="1" x14ac:dyDescent="0.2">
      <c r="A37">
        <v>102915</v>
      </c>
      <c r="B37" t="s">
        <v>8</v>
      </c>
      <c r="C37" t="s">
        <v>738</v>
      </c>
      <c r="D37" t="s">
        <v>86</v>
      </c>
      <c r="H37" t="s">
        <v>136</v>
      </c>
      <c r="I37" t="s">
        <v>137</v>
      </c>
      <c r="J37" t="s">
        <v>144</v>
      </c>
      <c r="K37" t="s">
        <v>740</v>
      </c>
      <c r="L37" t="s">
        <v>100</v>
      </c>
      <c r="M37" t="s">
        <v>739</v>
      </c>
      <c r="N37" t="s">
        <v>741</v>
      </c>
      <c r="O37" t="s">
        <v>91</v>
      </c>
      <c r="P37" t="s">
        <v>742</v>
      </c>
      <c r="Q37" t="s">
        <v>47</v>
      </c>
      <c r="R37" s="1">
        <v>45997</v>
      </c>
      <c r="S37">
        <v>4</v>
      </c>
      <c r="T37">
        <v>100</v>
      </c>
      <c r="U37" s="9">
        <f>Tabla13[[#This Row],[USD]]</f>
        <v>100</v>
      </c>
    </row>
    <row r="38" spans="1:21" ht="15" customHeight="1" x14ac:dyDescent="0.2">
      <c r="A38">
        <v>105803</v>
      </c>
      <c r="B38" t="s">
        <v>4</v>
      </c>
      <c r="C38" s="2" t="s">
        <v>120</v>
      </c>
      <c r="D38" t="s">
        <v>86</v>
      </c>
      <c r="E38" s="2" t="s">
        <v>121</v>
      </c>
      <c r="F38" t="s">
        <v>119</v>
      </c>
      <c r="G38" t="s">
        <v>122</v>
      </c>
      <c r="H38" t="s">
        <v>123</v>
      </c>
      <c r="I38" t="s">
        <v>124</v>
      </c>
      <c r="J38" s="3" t="s">
        <v>144</v>
      </c>
      <c r="K38" t="s">
        <v>125</v>
      </c>
      <c r="M38" t="s">
        <v>90</v>
      </c>
      <c r="O38" t="s">
        <v>91</v>
      </c>
      <c r="P38" t="s">
        <v>126</v>
      </c>
      <c r="Q38" t="s">
        <v>41</v>
      </c>
      <c r="R38" s="1">
        <v>46021</v>
      </c>
      <c r="S38">
        <v>0</v>
      </c>
      <c r="T38">
        <v>0</v>
      </c>
      <c r="U38" s="9">
        <f>Tabla13[[#This Row],[USD]]</f>
        <v>0</v>
      </c>
    </row>
    <row r="39" spans="1:21" ht="15" customHeight="1" x14ac:dyDescent="0.2">
      <c r="A39">
        <v>103608</v>
      </c>
      <c r="B39" t="s">
        <v>5</v>
      </c>
      <c r="D39" t="s">
        <v>93</v>
      </c>
      <c r="H39" t="s">
        <v>123</v>
      </c>
      <c r="I39" t="s">
        <v>124</v>
      </c>
      <c r="J39" t="s">
        <v>144</v>
      </c>
      <c r="K39" t="s">
        <v>550</v>
      </c>
      <c r="L39" t="s">
        <v>251</v>
      </c>
      <c r="M39" t="s">
        <v>549</v>
      </c>
      <c r="N39" t="s">
        <v>551</v>
      </c>
      <c r="O39" t="s">
        <v>91</v>
      </c>
      <c r="P39" t="s">
        <v>552</v>
      </c>
      <c r="Q39" t="s">
        <v>41</v>
      </c>
      <c r="R39" s="1">
        <v>46003</v>
      </c>
      <c r="S39">
        <v>0</v>
      </c>
      <c r="T39">
        <v>0</v>
      </c>
      <c r="U39" s="9">
        <f>Tabla13[[#This Row],[USD]]</f>
        <v>0</v>
      </c>
    </row>
    <row r="40" spans="1:21" ht="15" customHeight="1" x14ac:dyDescent="0.2">
      <c r="A40">
        <v>103606</v>
      </c>
      <c r="B40" t="s">
        <v>5</v>
      </c>
      <c r="C40" t="s">
        <v>557</v>
      </c>
      <c r="D40" t="s">
        <v>93</v>
      </c>
      <c r="E40" t="s">
        <v>558</v>
      </c>
      <c r="F40" t="s">
        <v>231</v>
      </c>
      <c r="G40" t="s">
        <v>559</v>
      </c>
      <c r="H40" t="s">
        <v>123</v>
      </c>
      <c r="I40" t="s">
        <v>124</v>
      </c>
      <c r="J40" t="s">
        <v>144</v>
      </c>
      <c r="K40" t="s">
        <v>435</v>
      </c>
      <c r="L40" t="s">
        <v>231</v>
      </c>
      <c r="M40" t="s">
        <v>560</v>
      </c>
      <c r="N40" t="s">
        <v>561</v>
      </c>
      <c r="O40" t="s">
        <v>91</v>
      </c>
      <c r="P40" t="s">
        <v>562</v>
      </c>
      <c r="Q40" t="s">
        <v>41</v>
      </c>
      <c r="R40" s="1">
        <v>46003</v>
      </c>
      <c r="S40">
        <v>5</v>
      </c>
      <c r="T40">
        <v>125</v>
      </c>
      <c r="U40" s="9">
        <f>Tabla13[[#This Row],[USD]]</f>
        <v>125</v>
      </c>
    </row>
    <row r="41" spans="1:21" ht="15" customHeight="1" x14ac:dyDescent="0.2">
      <c r="A41">
        <v>103860</v>
      </c>
      <c r="B41" t="s">
        <v>24</v>
      </c>
      <c r="C41" t="s">
        <v>480</v>
      </c>
      <c r="D41" t="s">
        <v>93</v>
      </c>
      <c r="H41" t="s">
        <v>481</v>
      </c>
      <c r="I41" t="s">
        <v>482</v>
      </c>
      <c r="J41" t="s">
        <v>144</v>
      </c>
      <c r="K41" t="s">
        <v>406</v>
      </c>
      <c r="L41" t="s">
        <v>97</v>
      </c>
      <c r="M41" t="s">
        <v>483</v>
      </c>
      <c r="N41" s="2" t="s">
        <v>484</v>
      </c>
      <c r="O41" t="s">
        <v>91</v>
      </c>
      <c r="P41" t="s">
        <v>485</v>
      </c>
      <c r="Q41" t="s">
        <v>25</v>
      </c>
      <c r="R41" s="1">
        <v>46005</v>
      </c>
      <c r="S41">
        <v>2</v>
      </c>
      <c r="T41">
        <v>50</v>
      </c>
      <c r="U41" s="9">
        <f>Tabla13[[#This Row],[USD]]</f>
        <v>50</v>
      </c>
    </row>
    <row r="42" spans="1:21" ht="15" customHeight="1" x14ac:dyDescent="0.2">
      <c r="A42">
        <v>103467</v>
      </c>
      <c r="B42" t="s">
        <v>2</v>
      </c>
      <c r="C42" t="s">
        <v>596</v>
      </c>
      <c r="D42" t="s">
        <v>86</v>
      </c>
      <c r="H42" t="s">
        <v>481</v>
      </c>
      <c r="I42" t="s">
        <v>482</v>
      </c>
      <c r="J42" t="s">
        <v>144</v>
      </c>
      <c r="K42" t="s">
        <v>598</v>
      </c>
      <c r="L42" t="s">
        <v>131</v>
      </c>
      <c r="M42" t="s">
        <v>597</v>
      </c>
      <c r="N42" s="2" t="s">
        <v>599</v>
      </c>
      <c r="O42" t="s">
        <v>91</v>
      </c>
      <c r="P42" t="s">
        <v>600</v>
      </c>
      <c r="Q42" t="s">
        <v>25</v>
      </c>
      <c r="R42" s="1">
        <v>46002</v>
      </c>
      <c r="S42">
        <v>2</v>
      </c>
      <c r="T42">
        <v>50</v>
      </c>
      <c r="U42" s="9">
        <f>Tabla13[[#This Row],[USD]]</f>
        <v>50</v>
      </c>
    </row>
    <row r="43" spans="1:21" ht="15" customHeight="1" x14ac:dyDescent="0.2">
      <c r="A43">
        <v>102932</v>
      </c>
      <c r="B43" t="s">
        <v>7</v>
      </c>
      <c r="C43" s="2" t="s">
        <v>733</v>
      </c>
      <c r="D43" t="s">
        <v>86</v>
      </c>
      <c r="H43" t="s">
        <v>481</v>
      </c>
      <c r="I43" t="s">
        <v>482</v>
      </c>
      <c r="J43" t="s">
        <v>144</v>
      </c>
      <c r="K43" t="s">
        <v>737</v>
      </c>
      <c r="L43" t="s">
        <v>131</v>
      </c>
      <c r="M43" t="s">
        <v>734</v>
      </c>
      <c r="N43" t="s">
        <v>735</v>
      </c>
      <c r="O43" t="s">
        <v>91</v>
      </c>
      <c r="P43" t="s">
        <v>736</v>
      </c>
      <c r="Q43" t="s">
        <v>25</v>
      </c>
      <c r="R43" s="1">
        <v>45997</v>
      </c>
      <c r="S43">
        <v>3</v>
      </c>
      <c r="T43">
        <v>75</v>
      </c>
      <c r="U43" s="9">
        <f>Tabla13[[#This Row],[USD]]</f>
        <v>75</v>
      </c>
    </row>
    <row r="44" spans="1:21" ht="15" customHeight="1" x14ac:dyDescent="0.2">
      <c r="A44">
        <v>102734</v>
      </c>
      <c r="B44" t="s">
        <v>7</v>
      </c>
      <c r="C44" s="2" t="s">
        <v>786</v>
      </c>
      <c r="D44" t="s">
        <v>86</v>
      </c>
      <c r="H44" t="s">
        <v>481</v>
      </c>
      <c r="I44" t="s">
        <v>482</v>
      </c>
      <c r="J44" t="s">
        <v>144</v>
      </c>
      <c r="K44" t="s">
        <v>777</v>
      </c>
      <c r="L44" t="s">
        <v>131</v>
      </c>
      <c r="M44" t="s">
        <v>787</v>
      </c>
      <c r="N44" s="3" t="s">
        <v>788</v>
      </c>
      <c r="O44" t="s">
        <v>91</v>
      </c>
      <c r="P44" t="s">
        <v>789</v>
      </c>
      <c r="Q44" t="s">
        <v>25</v>
      </c>
      <c r="R44" s="1">
        <v>45996</v>
      </c>
      <c r="S44">
        <v>2</v>
      </c>
      <c r="T44">
        <v>50</v>
      </c>
      <c r="U44" s="9">
        <f>Tabla13[[#This Row],[USD]]</f>
        <v>50</v>
      </c>
    </row>
    <row r="45" spans="1:21" ht="15" customHeight="1" x14ac:dyDescent="0.2">
      <c r="A45">
        <v>102625</v>
      </c>
      <c r="B45" t="s">
        <v>7</v>
      </c>
      <c r="C45" s="2" t="s">
        <v>825</v>
      </c>
      <c r="D45" t="s">
        <v>86</v>
      </c>
      <c r="E45" t="s">
        <v>826</v>
      </c>
      <c r="F45" t="s">
        <v>103</v>
      </c>
      <c r="G45" t="s">
        <v>827</v>
      </c>
      <c r="H45" t="s">
        <v>481</v>
      </c>
      <c r="I45" t="s">
        <v>482</v>
      </c>
      <c r="J45" t="s">
        <v>144</v>
      </c>
      <c r="K45" t="s">
        <v>816</v>
      </c>
      <c r="L45" t="s">
        <v>103</v>
      </c>
      <c r="M45" t="s">
        <v>828</v>
      </c>
      <c r="N45" s="2" t="s">
        <v>829</v>
      </c>
      <c r="O45" t="s">
        <v>91</v>
      </c>
      <c r="P45" t="s">
        <v>830</v>
      </c>
      <c r="Q45" t="s">
        <v>25</v>
      </c>
      <c r="R45" s="1">
        <v>45995</v>
      </c>
      <c r="S45">
        <v>2</v>
      </c>
      <c r="T45">
        <v>50</v>
      </c>
      <c r="U45" s="9">
        <f>Tabla13[[#This Row],[USD]]</f>
        <v>50</v>
      </c>
    </row>
    <row r="46" spans="1:21" ht="15" customHeight="1" x14ac:dyDescent="0.2">
      <c r="A46">
        <v>102394</v>
      </c>
      <c r="B46" t="s">
        <v>5</v>
      </c>
      <c r="C46" s="2" t="s">
        <v>867</v>
      </c>
      <c r="D46" t="s">
        <v>93</v>
      </c>
      <c r="H46" t="s">
        <v>481</v>
      </c>
      <c r="I46" t="s">
        <v>482</v>
      </c>
      <c r="J46" t="s">
        <v>144</v>
      </c>
      <c r="K46" t="s">
        <v>871</v>
      </c>
      <c r="L46" t="s">
        <v>103</v>
      </c>
      <c r="M46" t="s">
        <v>868</v>
      </c>
      <c r="N46" s="2" t="s">
        <v>869</v>
      </c>
      <c r="O46" t="s">
        <v>91</v>
      </c>
      <c r="P46" t="s">
        <v>870</v>
      </c>
      <c r="Q46" t="s">
        <v>25</v>
      </c>
      <c r="R46" s="1">
        <v>45993</v>
      </c>
      <c r="S46">
        <v>3</v>
      </c>
      <c r="T46">
        <v>75</v>
      </c>
      <c r="U46" s="9">
        <f>Tabla13[[#This Row],[USD]]</f>
        <v>75</v>
      </c>
    </row>
    <row r="47" spans="1:21" ht="15" customHeight="1" x14ac:dyDescent="0.2">
      <c r="A47">
        <v>105044</v>
      </c>
      <c r="B47" t="s">
        <v>2</v>
      </c>
      <c r="C47" t="s">
        <v>183</v>
      </c>
      <c r="D47" t="s">
        <v>86</v>
      </c>
      <c r="H47" t="s">
        <v>134</v>
      </c>
      <c r="I47" t="s">
        <v>135</v>
      </c>
      <c r="J47" t="s">
        <v>144</v>
      </c>
      <c r="K47" t="s">
        <v>187</v>
      </c>
      <c r="L47" t="s">
        <v>97</v>
      </c>
      <c r="M47" t="s">
        <v>184</v>
      </c>
      <c r="N47" t="s">
        <v>185</v>
      </c>
      <c r="O47" t="s">
        <v>91</v>
      </c>
      <c r="P47" t="s">
        <v>186</v>
      </c>
      <c r="Q47" t="s">
        <v>31</v>
      </c>
      <c r="R47" s="1">
        <v>46014</v>
      </c>
      <c r="S47">
        <v>0</v>
      </c>
      <c r="T47">
        <v>0</v>
      </c>
      <c r="U47" s="9">
        <f>Tabla13[[#This Row],[USD]]</f>
        <v>0</v>
      </c>
    </row>
    <row r="48" spans="1:21" ht="15" customHeight="1" x14ac:dyDescent="0.2">
      <c r="A48">
        <v>105043</v>
      </c>
      <c r="B48" t="s">
        <v>2</v>
      </c>
      <c r="C48" t="s">
        <v>188</v>
      </c>
      <c r="D48" t="s">
        <v>86</v>
      </c>
      <c r="H48" t="s">
        <v>134</v>
      </c>
      <c r="I48" t="s">
        <v>135</v>
      </c>
      <c r="J48" t="s">
        <v>144</v>
      </c>
      <c r="K48" t="s">
        <v>171</v>
      </c>
      <c r="L48" t="s">
        <v>97</v>
      </c>
      <c r="M48" t="s">
        <v>189</v>
      </c>
      <c r="N48" s="2" t="s">
        <v>190</v>
      </c>
      <c r="O48" t="s">
        <v>91</v>
      </c>
      <c r="P48" t="s">
        <v>191</v>
      </c>
      <c r="Q48" t="s">
        <v>31</v>
      </c>
      <c r="R48" s="1">
        <v>46014</v>
      </c>
      <c r="S48">
        <v>3</v>
      </c>
      <c r="T48">
        <v>75</v>
      </c>
      <c r="U48" s="9">
        <f>Tabla13[[#This Row],[USD]]</f>
        <v>75</v>
      </c>
    </row>
    <row r="49" spans="1:21" ht="15" customHeight="1" x14ac:dyDescent="0.2">
      <c r="A49">
        <v>104142</v>
      </c>
      <c r="B49" t="s">
        <v>2</v>
      </c>
      <c r="C49" t="s">
        <v>407</v>
      </c>
      <c r="D49" t="s">
        <v>86</v>
      </c>
      <c r="H49" t="s">
        <v>134</v>
      </c>
      <c r="I49" t="s">
        <v>135</v>
      </c>
      <c r="J49" t="s">
        <v>144</v>
      </c>
      <c r="K49" t="s">
        <v>406</v>
      </c>
      <c r="L49" t="s">
        <v>97</v>
      </c>
      <c r="M49" t="s">
        <v>408</v>
      </c>
      <c r="N49" s="2" t="s">
        <v>409</v>
      </c>
      <c r="O49" t="s">
        <v>91</v>
      </c>
      <c r="P49" t="s">
        <v>410</v>
      </c>
      <c r="Q49" t="s">
        <v>31</v>
      </c>
      <c r="R49" s="1">
        <v>46007</v>
      </c>
      <c r="S49">
        <v>3</v>
      </c>
      <c r="T49">
        <v>75</v>
      </c>
      <c r="U49" s="9">
        <f>Tabla13[[#This Row],[USD]]</f>
        <v>75</v>
      </c>
    </row>
    <row r="50" spans="1:21" ht="15" customHeight="1" x14ac:dyDescent="0.2">
      <c r="A50">
        <v>103370</v>
      </c>
      <c r="B50" t="s">
        <v>2</v>
      </c>
      <c r="C50" t="s">
        <v>658</v>
      </c>
      <c r="D50" t="s">
        <v>86</v>
      </c>
      <c r="E50" t="s">
        <v>659</v>
      </c>
      <c r="F50" t="s">
        <v>660</v>
      </c>
      <c r="G50" t="s">
        <v>661</v>
      </c>
      <c r="H50" t="s">
        <v>134</v>
      </c>
      <c r="I50" t="s">
        <v>135</v>
      </c>
      <c r="J50" t="s">
        <v>144</v>
      </c>
      <c r="K50" t="s">
        <v>550</v>
      </c>
      <c r="L50" t="s">
        <v>103</v>
      </c>
      <c r="M50" t="s">
        <v>662</v>
      </c>
      <c r="N50" s="2" t="s">
        <v>663</v>
      </c>
      <c r="O50" t="s">
        <v>91</v>
      </c>
      <c r="P50" t="s">
        <v>664</v>
      </c>
      <c r="Q50" t="s">
        <v>31</v>
      </c>
      <c r="R50" s="1">
        <v>46001</v>
      </c>
      <c r="S50">
        <v>3</v>
      </c>
      <c r="T50">
        <v>75</v>
      </c>
      <c r="U50" s="9">
        <f>Tabla13[[#This Row],[USD]]</f>
        <v>75</v>
      </c>
    </row>
    <row r="51" spans="1:21" ht="15" customHeight="1" x14ac:dyDescent="0.2">
      <c r="A51">
        <v>104470</v>
      </c>
      <c r="B51" t="s">
        <v>7</v>
      </c>
      <c r="C51" t="s">
        <v>316</v>
      </c>
      <c r="D51" t="s">
        <v>86</v>
      </c>
      <c r="E51" t="s">
        <v>317</v>
      </c>
      <c r="F51" t="s">
        <v>100</v>
      </c>
      <c r="G51" t="s">
        <v>318</v>
      </c>
      <c r="H51" t="s">
        <v>319</v>
      </c>
      <c r="I51" t="s">
        <v>320</v>
      </c>
      <c r="J51" t="s">
        <v>144</v>
      </c>
      <c r="K51" t="s">
        <v>284</v>
      </c>
      <c r="L51" t="s">
        <v>100</v>
      </c>
      <c r="M51" t="s">
        <v>321</v>
      </c>
      <c r="N51" t="s">
        <v>322</v>
      </c>
      <c r="O51" t="s">
        <v>91</v>
      </c>
      <c r="P51" t="s">
        <v>323</v>
      </c>
      <c r="Q51" t="s">
        <v>44</v>
      </c>
      <c r="R51" s="1">
        <v>46010</v>
      </c>
      <c r="S51">
        <v>2</v>
      </c>
      <c r="T51">
        <v>50</v>
      </c>
      <c r="U51" s="9">
        <f>Tabla13[[#This Row],[USD]]</f>
        <v>50</v>
      </c>
    </row>
    <row r="52" spans="1:21" ht="15" customHeight="1" x14ac:dyDescent="0.2">
      <c r="A52">
        <v>103282</v>
      </c>
      <c r="B52" t="s">
        <v>11</v>
      </c>
      <c r="C52" t="s">
        <v>665</v>
      </c>
      <c r="D52" t="s">
        <v>86</v>
      </c>
      <c r="H52" t="s">
        <v>319</v>
      </c>
      <c r="I52" t="s">
        <v>320</v>
      </c>
      <c r="J52" t="s">
        <v>144</v>
      </c>
      <c r="K52" t="s">
        <v>550</v>
      </c>
      <c r="L52" t="s">
        <v>103</v>
      </c>
      <c r="M52" t="s">
        <v>666</v>
      </c>
      <c r="N52" s="2" t="s">
        <v>667</v>
      </c>
      <c r="O52" t="s">
        <v>91</v>
      </c>
      <c r="P52" t="s">
        <v>668</v>
      </c>
      <c r="Q52" t="s">
        <v>44</v>
      </c>
      <c r="R52" s="1">
        <v>46000</v>
      </c>
      <c r="S52">
        <v>3</v>
      </c>
      <c r="T52">
        <v>75</v>
      </c>
      <c r="U52" s="9">
        <f>Tabla13[[#This Row],[USD]]</f>
        <v>75</v>
      </c>
    </row>
    <row r="53" spans="1:21" ht="15" customHeight="1" x14ac:dyDescent="0.2">
      <c r="A53">
        <v>102856</v>
      </c>
      <c r="B53" t="s">
        <v>5</v>
      </c>
      <c r="C53" s="2" t="s">
        <v>769</v>
      </c>
      <c r="D53" t="s">
        <v>93</v>
      </c>
      <c r="E53" t="s">
        <v>86</v>
      </c>
      <c r="F53" t="s">
        <v>770</v>
      </c>
      <c r="G53" t="s">
        <v>771</v>
      </c>
      <c r="H53" t="s">
        <v>319</v>
      </c>
      <c r="I53" t="s">
        <v>320</v>
      </c>
      <c r="J53" t="s">
        <v>144</v>
      </c>
      <c r="K53" t="s">
        <v>740</v>
      </c>
      <c r="L53" t="s">
        <v>100</v>
      </c>
      <c r="M53" t="s">
        <v>772</v>
      </c>
      <c r="N53" t="s">
        <v>773</v>
      </c>
      <c r="O53" t="s">
        <v>91</v>
      </c>
      <c r="P53" t="s">
        <v>774</v>
      </c>
      <c r="Q53" t="s">
        <v>44</v>
      </c>
      <c r="R53" s="1">
        <v>45996</v>
      </c>
      <c r="S53">
        <v>3</v>
      </c>
      <c r="T53">
        <v>75</v>
      </c>
      <c r="U53" s="9">
        <f>Tabla13[[#This Row],[USD]]</f>
        <v>75</v>
      </c>
    </row>
    <row r="54" spans="1:21" ht="15" customHeight="1" x14ac:dyDescent="0.2">
      <c r="A54">
        <v>103948</v>
      </c>
      <c r="B54" t="s">
        <v>5</v>
      </c>
      <c r="C54" t="s">
        <v>458</v>
      </c>
      <c r="D54" t="s">
        <v>93</v>
      </c>
      <c r="H54" t="s">
        <v>459</v>
      </c>
      <c r="I54" t="s">
        <v>460</v>
      </c>
      <c r="J54" t="s">
        <v>144</v>
      </c>
      <c r="K54" t="s">
        <v>435</v>
      </c>
      <c r="L54" t="s">
        <v>103</v>
      </c>
      <c r="M54" t="s">
        <v>461</v>
      </c>
      <c r="N54" s="2" t="s">
        <v>462</v>
      </c>
      <c r="O54" t="s">
        <v>91</v>
      </c>
      <c r="P54" t="s">
        <v>463</v>
      </c>
      <c r="Q54" t="s">
        <v>66</v>
      </c>
      <c r="R54" s="1">
        <v>46005</v>
      </c>
      <c r="S54">
        <v>3</v>
      </c>
      <c r="T54">
        <v>75</v>
      </c>
      <c r="U54" s="9">
        <f>Tabla13[[#This Row],[USD]]</f>
        <v>75</v>
      </c>
    </row>
    <row r="55" spans="1:21" ht="15" customHeight="1" x14ac:dyDescent="0.2">
      <c r="A55">
        <v>103212</v>
      </c>
      <c r="B55" t="s">
        <v>9</v>
      </c>
      <c r="C55" t="s">
        <v>695</v>
      </c>
      <c r="D55" t="s">
        <v>86</v>
      </c>
      <c r="H55" t="s">
        <v>696</v>
      </c>
      <c r="I55" s="3" t="s">
        <v>697</v>
      </c>
      <c r="J55" t="s">
        <v>144</v>
      </c>
      <c r="K55" t="s">
        <v>598</v>
      </c>
      <c r="L55" t="s">
        <v>97</v>
      </c>
      <c r="M55" t="s">
        <v>698</v>
      </c>
      <c r="N55" s="2" t="s">
        <v>699</v>
      </c>
      <c r="O55" t="s">
        <v>91</v>
      </c>
      <c r="P55" t="s">
        <v>700</v>
      </c>
      <c r="Q55" t="s">
        <v>53</v>
      </c>
      <c r="R55" s="1">
        <v>45999</v>
      </c>
      <c r="S55">
        <v>3</v>
      </c>
      <c r="T55">
        <v>75</v>
      </c>
      <c r="U55" s="9">
        <f>Tabla13[[#This Row],[USD]]</f>
        <v>75</v>
      </c>
    </row>
    <row r="56" spans="1:21" ht="15" customHeight="1" x14ac:dyDescent="0.2">
      <c r="A56">
        <v>103074</v>
      </c>
      <c r="B56" t="s">
        <v>2</v>
      </c>
      <c r="C56" t="s">
        <v>714</v>
      </c>
      <c r="D56" t="s">
        <v>86</v>
      </c>
      <c r="H56" t="s">
        <v>696</v>
      </c>
      <c r="I56" t="s">
        <v>697</v>
      </c>
      <c r="J56" t="s">
        <v>144</v>
      </c>
      <c r="K56" t="s">
        <v>598</v>
      </c>
      <c r="L56" t="s">
        <v>97</v>
      </c>
      <c r="M56" t="s">
        <v>715</v>
      </c>
      <c r="N56" t="s">
        <v>716</v>
      </c>
      <c r="O56" t="s">
        <v>91</v>
      </c>
      <c r="P56" t="s">
        <v>717</v>
      </c>
      <c r="Q56" t="s">
        <v>53</v>
      </c>
      <c r="R56" s="1">
        <v>45998</v>
      </c>
      <c r="S56">
        <v>0</v>
      </c>
      <c r="T56">
        <v>0</v>
      </c>
      <c r="U56" s="9">
        <f>Tabla13[[#This Row],[USD]]</f>
        <v>0</v>
      </c>
    </row>
    <row r="57" spans="1:21" ht="15" customHeight="1" x14ac:dyDescent="0.2">
      <c r="A57">
        <v>103405</v>
      </c>
      <c r="B57" t="s">
        <v>4</v>
      </c>
      <c r="C57" t="s">
        <v>612</v>
      </c>
      <c r="D57" t="s">
        <v>86</v>
      </c>
      <c r="E57" s="2" t="s">
        <v>613</v>
      </c>
      <c r="F57" t="s">
        <v>614</v>
      </c>
      <c r="G57" t="s">
        <v>615</v>
      </c>
      <c r="H57" t="s">
        <v>616</v>
      </c>
      <c r="I57" t="s">
        <v>617</v>
      </c>
      <c r="J57" t="s">
        <v>144</v>
      </c>
      <c r="K57" t="s">
        <v>621</v>
      </c>
      <c r="L57" t="s">
        <v>100</v>
      </c>
      <c r="M57" t="s">
        <v>618</v>
      </c>
      <c r="N57" t="s">
        <v>619</v>
      </c>
      <c r="O57" t="s">
        <v>91</v>
      </c>
      <c r="P57" t="s">
        <v>620</v>
      </c>
      <c r="Q57" t="s">
        <v>51</v>
      </c>
      <c r="R57" s="1">
        <v>46001</v>
      </c>
      <c r="S57">
        <v>3</v>
      </c>
      <c r="T57">
        <v>75</v>
      </c>
      <c r="U57" s="9">
        <f>Tabla13[[#This Row],[USD]]</f>
        <v>75</v>
      </c>
    </row>
    <row r="58" spans="1:21" ht="15" customHeight="1" x14ac:dyDescent="0.2">
      <c r="A58">
        <v>102752</v>
      </c>
      <c r="B58" t="s">
        <v>4</v>
      </c>
      <c r="C58" t="s">
        <v>775</v>
      </c>
      <c r="D58" t="s">
        <v>86</v>
      </c>
      <c r="H58" t="s">
        <v>616</v>
      </c>
      <c r="I58" t="s">
        <v>617</v>
      </c>
      <c r="J58" t="s">
        <v>144</v>
      </c>
      <c r="K58" t="s">
        <v>777</v>
      </c>
      <c r="L58" t="s">
        <v>97</v>
      </c>
      <c r="M58" t="s">
        <v>776</v>
      </c>
      <c r="N58" s="2" t="s">
        <v>778</v>
      </c>
      <c r="O58" t="s">
        <v>91</v>
      </c>
      <c r="P58" t="s">
        <v>779</v>
      </c>
      <c r="Q58" t="s">
        <v>51</v>
      </c>
      <c r="R58" s="1">
        <v>45996</v>
      </c>
      <c r="S58">
        <v>8</v>
      </c>
      <c r="U58" s="9">
        <f>Tabla13[[#This Row],[USD]]</f>
        <v>0</v>
      </c>
    </row>
    <row r="59" spans="1:21" ht="15" customHeight="1" x14ac:dyDescent="0.2">
      <c r="A59">
        <v>102465</v>
      </c>
      <c r="B59" t="s">
        <v>4</v>
      </c>
      <c r="C59" s="2" t="s">
        <v>848</v>
      </c>
      <c r="D59" t="s">
        <v>86</v>
      </c>
      <c r="H59" t="s">
        <v>849</v>
      </c>
      <c r="I59" t="s">
        <v>850</v>
      </c>
      <c r="J59" t="s">
        <v>144</v>
      </c>
      <c r="K59" t="s">
        <v>816</v>
      </c>
      <c r="L59" t="s">
        <v>251</v>
      </c>
      <c r="M59" t="s">
        <v>851</v>
      </c>
      <c r="N59" s="2" t="s">
        <v>852</v>
      </c>
      <c r="O59" t="s">
        <v>91</v>
      </c>
      <c r="P59" t="s">
        <v>853</v>
      </c>
      <c r="Q59" s="3" t="s">
        <v>54</v>
      </c>
      <c r="R59" s="1">
        <v>45993</v>
      </c>
      <c r="S59">
        <v>3</v>
      </c>
      <c r="T59">
        <v>75</v>
      </c>
      <c r="U59" s="9">
        <f>Tabla13[[#This Row],[USD]]</f>
        <v>75</v>
      </c>
    </row>
    <row r="60" spans="1:21" ht="15" customHeight="1" x14ac:dyDescent="0.2">
      <c r="A60">
        <v>102315</v>
      </c>
      <c r="B60" t="s">
        <v>12</v>
      </c>
      <c r="C60" s="2" t="s">
        <v>890</v>
      </c>
      <c r="D60" t="s">
        <v>93</v>
      </c>
      <c r="E60" s="2" t="s">
        <v>891</v>
      </c>
      <c r="F60" t="s">
        <v>892</v>
      </c>
      <c r="G60" t="s">
        <v>893</v>
      </c>
      <c r="H60" t="s">
        <v>849</v>
      </c>
      <c r="I60" t="s">
        <v>850</v>
      </c>
      <c r="J60" t="s">
        <v>144</v>
      </c>
      <c r="K60" t="s">
        <v>816</v>
      </c>
      <c r="L60" t="s">
        <v>251</v>
      </c>
      <c r="M60" t="s">
        <v>894</v>
      </c>
      <c r="N60" s="2" t="s">
        <v>895</v>
      </c>
      <c r="O60" t="s">
        <v>91</v>
      </c>
      <c r="P60" t="s">
        <v>896</v>
      </c>
      <c r="Q60" t="s">
        <v>54</v>
      </c>
      <c r="R60" s="1">
        <v>45992</v>
      </c>
      <c r="S60">
        <v>3</v>
      </c>
      <c r="T60">
        <v>75</v>
      </c>
      <c r="U60" s="9">
        <f>Tabla13[[#This Row],[USD]]</f>
        <v>75</v>
      </c>
    </row>
    <row r="61" spans="1:21" ht="15" customHeight="1" x14ac:dyDescent="0.2">
      <c r="A61">
        <v>104087</v>
      </c>
      <c r="B61" t="s">
        <v>19</v>
      </c>
      <c r="C61" t="s">
        <v>10</v>
      </c>
      <c r="D61" t="s">
        <v>86</v>
      </c>
      <c r="H61" t="s">
        <v>132</v>
      </c>
      <c r="I61" t="s">
        <v>133</v>
      </c>
      <c r="J61" t="s">
        <v>144</v>
      </c>
      <c r="K61" t="s">
        <v>364</v>
      </c>
      <c r="L61" t="s">
        <v>231</v>
      </c>
      <c r="M61" t="s">
        <v>426</v>
      </c>
      <c r="N61" t="s">
        <v>427</v>
      </c>
      <c r="O61" t="s">
        <v>91</v>
      </c>
      <c r="P61" t="s">
        <v>428</v>
      </c>
      <c r="Q61" t="s">
        <v>49</v>
      </c>
      <c r="R61" s="1">
        <v>46006</v>
      </c>
      <c r="S61">
        <v>0</v>
      </c>
      <c r="T61">
        <v>0</v>
      </c>
      <c r="U61" s="9">
        <f>Tabla13[[#This Row],[USD]]</f>
        <v>0</v>
      </c>
    </row>
    <row r="62" spans="1:21" ht="15" customHeight="1" x14ac:dyDescent="0.2">
      <c r="A62">
        <v>103395</v>
      </c>
      <c r="B62" t="s">
        <v>4</v>
      </c>
      <c r="C62" t="s">
        <v>632</v>
      </c>
      <c r="D62" t="s">
        <v>86</v>
      </c>
      <c r="E62" t="s">
        <v>633</v>
      </c>
      <c r="F62" t="s">
        <v>634</v>
      </c>
      <c r="G62" t="s">
        <v>635</v>
      </c>
      <c r="H62" t="s">
        <v>636</v>
      </c>
      <c r="I62" t="s">
        <v>637</v>
      </c>
      <c r="J62" t="s">
        <v>144</v>
      </c>
      <c r="K62" t="s">
        <v>550</v>
      </c>
      <c r="L62" t="s">
        <v>251</v>
      </c>
      <c r="M62" t="s">
        <v>638</v>
      </c>
      <c r="N62" t="s">
        <v>144</v>
      </c>
      <c r="O62" t="s">
        <v>91</v>
      </c>
      <c r="P62" t="s">
        <v>639</v>
      </c>
      <c r="Q62" t="s">
        <v>62</v>
      </c>
      <c r="R62" s="1">
        <v>46001</v>
      </c>
      <c r="S62">
        <v>0</v>
      </c>
      <c r="T62">
        <v>0</v>
      </c>
      <c r="U62" s="9">
        <f>Tabla13[[#This Row],[USD]]</f>
        <v>0</v>
      </c>
    </row>
    <row r="63" spans="1:21" ht="15" customHeight="1" x14ac:dyDescent="0.2">
      <c r="A63">
        <v>104503</v>
      </c>
      <c r="B63" t="s">
        <v>5</v>
      </c>
      <c r="C63" t="s">
        <v>285</v>
      </c>
      <c r="D63" t="s">
        <v>93</v>
      </c>
      <c r="H63" t="s">
        <v>286</v>
      </c>
      <c r="I63" t="s">
        <v>287</v>
      </c>
      <c r="J63" t="s">
        <v>144</v>
      </c>
      <c r="K63" t="s">
        <v>284</v>
      </c>
      <c r="L63" t="s">
        <v>97</v>
      </c>
      <c r="M63" t="s">
        <v>288</v>
      </c>
      <c r="N63" s="2" t="s">
        <v>289</v>
      </c>
      <c r="O63" t="s">
        <v>91</v>
      </c>
      <c r="P63" t="s">
        <v>290</v>
      </c>
      <c r="Q63" s="3" t="s">
        <v>59</v>
      </c>
      <c r="R63" s="1">
        <v>46010</v>
      </c>
      <c r="S63">
        <v>3</v>
      </c>
      <c r="T63">
        <v>75</v>
      </c>
      <c r="U63" s="9">
        <f>Tabla13[[#This Row],[USD]]</f>
        <v>75</v>
      </c>
    </row>
    <row r="64" spans="1:21" ht="15" customHeight="1" x14ac:dyDescent="0.2">
      <c r="A64">
        <v>104856</v>
      </c>
      <c r="B64" t="s">
        <v>7</v>
      </c>
      <c r="C64" t="s">
        <v>220</v>
      </c>
      <c r="D64" t="s">
        <v>86</v>
      </c>
      <c r="H64" t="s">
        <v>146</v>
      </c>
      <c r="I64" t="s">
        <v>147</v>
      </c>
      <c r="J64" t="s">
        <v>144</v>
      </c>
      <c r="K64" t="s">
        <v>222</v>
      </c>
      <c r="L64" t="s">
        <v>97</v>
      </c>
      <c r="M64" t="s">
        <v>221</v>
      </c>
      <c r="N64" s="2" t="s">
        <v>223</v>
      </c>
      <c r="O64" t="s">
        <v>91</v>
      </c>
      <c r="P64" t="s">
        <v>224</v>
      </c>
      <c r="Q64" t="s">
        <v>32</v>
      </c>
      <c r="R64" s="1">
        <v>46013</v>
      </c>
      <c r="S64">
        <v>3</v>
      </c>
      <c r="T64">
        <v>75</v>
      </c>
      <c r="U64" s="9">
        <f>Tabla13[[#This Row],[USD]]</f>
        <v>75</v>
      </c>
    </row>
    <row r="65" spans="1:21" ht="15" customHeight="1" x14ac:dyDescent="0.2">
      <c r="A65">
        <v>104655</v>
      </c>
      <c r="B65" t="s">
        <v>7</v>
      </c>
      <c r="C65" t="s">
        <v>263</v>
      </c>
      <c r="D65" t="s">
        <v>86</v>
      </c>
      <c r="H65" t="s">
        <v>146</v>
      </c>
      <c r="I65" t="s">
        <v>147</v>
      </c>
      <c r="J65" t="s">
        <v>144</v>
      </c>
      <c r="K65" t="s">
        <v>262</v>
      </c>
      <c r="L65" t="s">
        <v>131</v>
      </c>
      <c r="M65" t="s">
        <v>264</v>
      </c>
      <c r="N65" t="s">
        <v>265</v>
      </c>
      <c r="O65" t="s">
        <v>91</v>
      </c>
      <c r="P65" t="s">
        <v>266</v>
      </c>
      <c r="Q65" t="s">
        <v>32</v>
      </c>
      <c r="R65" s="1">
        <v>46011</v>
      </c>
      <c r="S65">
        <v>3</v>
      </c>
      <c r="T65">
        <v>75</v>
      </c>
      <c r="U65" s="9">
        <f>Tabla13[[#This Row],[USD]]</f>
        <v>75</v>
      </c>
    </row>
    <row r="66" spans="1:21" ht="15" customHeight="1" x14ac:dyDescent="0.2">
      <c r="A66">
        <v>102937</v>
      </c>
      <c r="B66" t="s">
        <v>7</v>
      </c>
      <c r="C66" t="s">
        <v>726</v>
      </c>
      <c r="D66" t="s">
        <v>86</v>
      </c>
      <c r="H66" t="s">
        <v>146</v>
      </c>
      <c r="I66" t="s">
        <v>147</v>
      </c>
      <c r="J66" t="s">
        <v>144</v>
      </c>
      <c r="K66" t="s">
        <v>550</v>
      </c>
      <c r="L66" t="s">
        <v>131</v>
      </c>
      <c r="M66" t="s">
        <v>727</v>
      </c>
      <c r="N66" t="s">
        <v>728</v>
      </c>
      <c r="O66" t="s">
        <v>91</v>
      </c>
      <c r="P66" t="s">
        <v>729</v>
      </c>
      <c r="Q66" t="s">
        <v>32</v>
      </c>
      <c r="R66" s="1">
        <v>45997</v>
      </c>
      <c r="S66">
        <v>3</v>
      </c>
      <c r="T66">
        <v>75</v>
      </c>
      <c r="U66" s="9">
        <f>Tabla13[[#This Row],[USD]]</f>
        <v>75</v>
      </c>
    </row>
    <row r="67" spans="1:21" ht="15" customHeight="1" x14ac:dyDescent="0.2">
      <c r="A67">
        <v>102936</v>
      </c>
      <c r="B67" t="s">
        <v>7</v>
      </c>
      <c r="D67" t="s">
        <v>86</v>
      </c>
      <c r="H67" t="s">
        <v>146</v>
      </c>
      <c r="I67" t="s">
        <v>147</v>
      </c>
      <c r="J67" t="s">
        <v>144</v>
      </c>
      <c r="K67" t="s">
        <v>723</v>
      </c>
      <c r="L67" t="s">
        <v>131</v>
      </c>
      <c r="M67" t="s">
        <v>730</v>
      </c>
      <c r="N67" t="s">
        <v>731</v>
      </c>
      <c r="O67" t="s">
        <v>91</v>
      </c>
      <c r="P67" t="s">
        <v>732</v>
      </c>
      <c r="Q67" t="s">
        <v>32</v>
      </c>
      <c r="R67" s="1">
        <v>45997</v>
      </c>
      <c r="S67">
        <v>0</v>
      </c>
      <c r="T67">
        <v>0</v>
      </c>
      <c r="U67" s="9">
        <f>Tabla13[[#This Row],[USD]]</f>
        <v>0</v>
      </c>
    </row>
    <row r="68" spans="1:21" ht="15" customHeight="1" x14ac:dyDescent="0.2">
      <c r="A68">
        <v>104426</v>
      </c>
      <c r="B68" t="s">
        <v>2</v>
      </c>
      <c r="C68" t="s">
        <v>328</v>
      </c>
      <c r="D68" t="s">
        <v>86</v>
      </c>
      <c r="E68" s="2" t="s">
        <v>329</v>
      </c>
      <c r="F68" t="s">
        <v>231</v>
      </c>
      <c r="G68" t="s">
        <v>330</v>
      </c>
      <c r="H68" t="s">
        <v>104</v>
      </c>
      <c r="I68" t="s">
        <v>105</v>
      </c>
      <c r="J68" t="s">
        <v>144</v>
      </c>
      <c r="K68" t="s">
        <v>311</v>
      </c>
      <c r="L68" t="s">
        <v>231</v>
      </c>
      <c r="M68" t="s">
        <v>331</v>
      </c>
      <c r="N68" s="5" t="s">
        <v>329</v>
      </c>
      <c r="O68" t="s">
        <v>91</v>
      </c>
      <c r="P68" t="s">
        <v>332</v>
      </c>
      <c r="Q68" t="s">
        <v>35</v>
      </c>
      <c r="R68" s="1">
        <v>46009</v>
      </c>
      <c r="S68">
        <v>3</v>
      </c>
      <c r="T68">
        <v>75</v>
      </c>
      <c r="U68" s="9">
        <f>Tabla13[[#This Row],[USD]]</f>
        <v>75</v>
      </c>
    </row>
    <row r="69" spans="1:21" ht="15" customHeight="1" x14ac:dyDescent="0.2">
      <c r="A69">
        <v>102728</v>
      </c>
      <c r="B69" t="s">
        <v>8</v>
      </c>
      <c r="C69" t="s">
        <v>794</v>
      </c>
      <c r="D69" t="s">
        <v>86</v>
      </c>
      <c r="E69" t="s">
        <v>440</v>
      </c>
      <c r="F69" t="s">
        <v>100</v>
      </c>
      <c r="G69" t="s">
        <v>795</v>
      </c>
      <c r="H69" t="s">
        <v>104</v>
      </c>
      <c r="I69" t="s">
        <v>105</v>
      </c>
      <c r="J69" t="s">
        <v>144</v>
      </c>
      <c r="K69" t="s">
        <v>495</v>
      </c>
      <c r="L69" t="s">
        <v>100</v>
      </c>
      <c r="M69" t="s">
        <v>796</v>
      </c>
      <c r="N69" t="s">
        <v>96</v>
      </c>
      <c r="O69" t="s">
        <v>91</v>
      </c>
      <c r="P69" t="s">
        <v>797</v>
      </c>
      <c r="Q69" t="s">
        <v>35</v>
      </c>
      <c r="R69" s="1">
        <v>45996</v>
      </c>
      <c r="S69">
        <v>3</v>
      </c>
      <c r="T69">
        <v>75</v>
      </c>
      <c r="U69" s="9">
        <f>Tabla13[[#This Row],[USD]]</f>
        <v>75</v>
      </c>
    </row>
    <row r="70" spans="1:21" ht="15" customHeight="1" x14ac:dyDescent="0.2">
      <c r="A70">
        <v>102401</v>
      </c>
      <c r="B70" t="s">
        <v>4</v>
      </c>
      <c r="C70" t="s">
        <v>860</v>
      </c>
      <c r="D70" t="s">
        <v>86</v>
      </c>
      <c r="E70" t="s">
        <v>861</v>
      </c>
      <c r="F70" t="s">
        <v>862</v>
      </c>
      <c r="G70" t="s">
        <v>863</v>
      </c>
      <c r="H70" t="s">
        <v>104</v>
      </c>
      <c r="I70" t="s">
        <v>105</v>
      </c>
      <c r="J70" t="s">
        <v>144</v>
      </c>
      <c r="K70" t="s">
        <v>816</v>
      </c>
      <c r="L70" t="s">
        <v>103</v>
      </c>
      <c r="M70" t="s">
        <v>864</v>
      </c>
      <c r="N70" s="2" t="s">
        <v>865</v>
      </c>
      <c r="O70" t="s">
        <v>91</v>
      </c>
      <c r="P70" t="s">
        <v>866</v>
      </c>
      <c r="Q70" t="s">
        <v>35</v>
      </c>
      <c r="R70" s="1">
        <v>45993</v>
      </c>
      <c r="S70">
        <v>3</v>
      </c>
      <c r="T70">
        <v>75</v>
      </c>
      <c r="U70" s="9">
        <f>Tabla13[[#This Row],[USD]]</f>
        <v>75</v>
      </c>
    </row>
    <row r="71" spans="1:21" ht="15" customHeight="1" x14ac:dyDescent="0.2">
      <c r="A71">
        <v>104975</v>
      </c>
      <c r="B71" t="s">
        <v>6</v>
      </c>
      <c r="C71" t="s">
        <v>206</v>
      </c>
      <c r="D71" t="s">
        <v>86</v>
      </c>
      <c r="H71" t="s">
        <v>207</v>
      </c>
      <c r="I71" t="s">
        <v>208</v>
      </c>
      <c r="J71" t="s">
        <v>144</v>
      </c>
      <c r="K71" t="s">
        <v>187</v>
      </c>
      <c r="L71" t="s">
        <v>119</v>
      </c>
      <c r="M71" t="s">
        <v>209</v>
      </c>
      <c r="N71" s="2" t="s">
        <v>210</v>
      </c>
      <c r="O71" t="s">
        <v>211</v>
      </c>
      <c r="P71" t="s">
        <v>212</v>
      </c>
      <c r="Q71" t="s">
        <v>56</v>
      </c>
      <c r="R71" s="1">
        <v>46014</v>
      </c>
      <c r="S71">
        <v>3</v>
      </c>
      <c r="T71">
        <v>75</v>
      </c>
      <c r="U71" s="9">
        <f>Tabla13[[#This Row],[USD]]</f>
        <v>75</v>
      </c>
    </row>
    <row r="72" spans="1:21" ht="15" customHeight="1" x14ac:dyDescent="0.2">
      <c r="A72">
        <v>103785</v>
      </c>
      <c r="B72" t="s">
        <v>7</v>
      </c>
      <c r="C72" s="2" t="s">
        <v>496</v>
      </c>
      <c r="D72" t="s">
        <v>86</v>
      </c>
      <c r="H72" t="s">
        <v>497</v>
      </c>
      <c r="I72" t="s">
        <v>498</v>
      </c>
      <c r="J72" t="s">
        <v>144</v>
      </c>
      <c r="K72" t="s">
        <v>435</v>
      </c>
      <c r="L72" t="s">
        <v>103</v>
      </c>
      <c r="M72" t="s">
        <v>499</v>
      </c>
      <c r="N72" s="2" t="s">
        <v>500</v>
      </c>
      <c r="O72" t="s">
        <v>91</v>
      </c>
      <c r="P72" t="s">
        <v>501</v>
      </c>
      <c r="Q72" t="s">
        <v>61</v>
      </c>
      <c r="R72" s="1">
        <v>46004</v>
      </c>
      <c r="S72">
        <v>4</v>
      </c>
      <c r="T72">
        <v>100</v>
      </c>
      <c r="U72" s="9">
        <f>Tabla13[[#This Row],[USD]]</f>
        <v>100</v>
      </c>
    </row>
    <row r="73" spans="1:21" ht="15" customHeight="1" x14ac:dyDescent="0.2">
      <c r="A73">
        <v>102289</v>
      </c>
      <c r="B73" t="s">
        <v>2</v>
      </c>
      <c r="C73" s="2" t="s">
        <v>900</v>
      </c>
      <c r="D73" t="s">
        <v>86</v>
      </c>
      <c r="E73" s="2" t="s">
        <v>901</v>
      </c>
      <c r="F73" t="s">
        <v>100</v>
      </c>
      <c r="G73" t="s">
        <v>902</v>
      </c>
      <c r="H73" t="s">
        <v>903</v>
      </c>
      <c r="I73" t="s">
        <v>904</v>
      </c>
      <c r="J73" t="s">
        <v>144</v>
      </c>
      <c r="K73" t="s">
        <v>777</v>
      </c>
      <c r="L73" t="s">
        <v>100</v>
      </c>
      <c r="M73" t="s">
        <v>905</v>
      </c>
      <c r="N73" t="s">
        <v>96</v>
      </c>
      <c r="O73" t="s">
        <v>91</v>
      </c>
      <c r="P73" t="s">
        <v>906</v>
      </c>
      <c r="Q73" t="s">
        <v>63</v>
      </c>
      <c r="R73" s="1">
        <v>45992</v>
      </c>
      <c r="S73">
        <v>3</v>
      </c>
      <c r="T73">
        <v>75</v>
      </c>
      <c r="U73" s="9">
        <f>Tabla13[[#This Row],[USD]]</f>
        <v>75</v>
      </c>
    </row>
    <row r="74" spans="1:21" ht="15" customHeight="1" x14ac:dyDescent="0.2">
      <c r="A74">
        <v>105108</v>
      </c>
      <c r="B74" t="s">
        <v>3</v>
      </c>
      <c r="C74" t="s">
        <v>169</v>
      </c>
      <c r="D74" t="s">
        <v>109</v>
      </c>
      <c r="H74" t="s">
        <v>94</v>
      </c>
      <c r="I74" t="s">
        <v>95</v>
      </c>
      <c r="J74" t="s">
        <v>144</v>
      </c>
      <c r="K74" t="s">
        <v>171</v>
      </c>
      <c r="L74" t="s">
        <v>119</v>
      </c>
      <c r="M74" t="s">
        <v>170</v>
      </c>
      <c r="N74" s="2" t="s">
        <v>172</v>
      </c>
      <c r="O74" t="s">
        <v>91</v>
      </c>
      <c r="P74" t="s">
        <v>173</v>
      </c>
      <c r="Q74" t="s">
        <v>55</v>
      </c>
      <c r="R74" s="1">
        <v>46015</v>
      </c>
      <c r="S74">
        <v>0</v>
      </c>
      <c r="T74">
        <v>0</v>
      </c>
      <c r="U74" s="9">
        <f>Tabla13[[#This Row],[USD]]</f>
        <v>0</v>
      </c>
    </row>
    <row r="75" spans="1:21" ht="15" customHeight="1" x14ac:dyDescent="0.2">
      <c r="A75">
        <v>105285</v>
      </c>
      <c r="B75" t="s">
        <v>4</v>
      </c>
      <c r="C75" t="s">
        <v>138</v>
      </c>
      <c r="D75" t="s">
        <v>86</v>
      </c>
      <c r="H75" t="s">
        <v>139</v>
      </c>
      <c r="I75" t="s">
        <v>140</v>
      </c>
      <c r="J75" t="s">
        <v>144</v>
      </c>
      <c r="K75" t="s">
        <v>145</v>
      </c>
      <c r="L75" t="s">
        <v>119</v>
      </c>
      <c r="M75" t="s">
        <v>141</v>
      </c>
      <c r="N75" s="2" t="s">
        <v>142</v>
      </c>
      <c r="O75" t="s">
        <v>91</v>
      </c>
      <c r="P75" t="s">
        <v>143</v>
      </c>
      <c r="Q75" t="s">
        <v>29</v>
      </c>
      <c r="R75" s="1">
        <v>46017</v>
      </c>
      <c r="S75">
        <v>2</v>
      </c>
      <c r="T75">
        <v>50</v>
      </c>
      <c r="U75" s="9">
        <f>Tabla13[[#This Row],[USD]]</f>
        <v>50</v>
      </c>
    </row>
    <row r="76" spans="1:21" ht="15" customHeight="1" x14ac:dyDescent="0.2">
      <c r="A76">
        <v>104789</v>
      </c>
      <c r="B76" t="s">
        <v>17</v>
      </c>
      <c r="C76" t="s">
        <v>239</v>
      </c>
      <c r="D76" t="s">
        <v>86</v>
      </c>
      <c r="H76" t="s">
        <v>139</v>
      </c>
      <c r="I76" t="s">
        <v>140</v>
      </c>
      <c r="J76" t="s">
        <v>144</v>
      </c>
      <c r="K76" t="s">
        <v>222</v>
      </c>
      <c r="L76" t="s">
        <v>97</v>
      </c>
      <c r="M76" t="s">
        <v>240</v>
      </c>
      <c r="N76" s="2" t="s">
        <v>241</v>
      </c>
      <c r="O76" t="s">
        <v>242</v>
      </c>
      <c r="P76" t="s">
        <v>243</v>
      </c>
      <c r="Q76" t="s">
        <v>29</v>
      </c>
      <c r="R76" s="1">
        <v>46012</v>
      </c>
      <c r="S76">
        <v>2</v>
      </c>
      <c r="T76">
        <v>50</v>
      </c>
      <c r="U76" s="9">
        <f>Tabla13[[#This Row],[USD]]</f>
        <v>50</v>
      </c>
    </row>
    <row r="77" spans="1:21" ht="15" customHeight="1" x14ac:dyDescent="0.2">
      <c r="A77">
        <v>104718</v>
      </c>
      <c r="B77" t="s">
        <v>4</v>
      </c>
      <c r="C77" t="s">
        <v>249</v>
      </c>
      <c r="D77" t="s">
        <v>86</v>
      </c>
      <c r="E77" s="2" t="s">
        <v>250</v>
      </c>
      <c r="F77" t="s">
        <v>251</v>
      </c>
      <c r="G77" t="s">
        <v>252</v>
      </c>
      <c r="H77" t="s">
        <v>139</v>
      </c>
      <c r="I77" t="s">
        <v>140</v>
      </c>
      <c r="J77" t="s">
        <v>144</v>
      </c>
      <c r="K77" t="s">
        <v>187</v>
      </c>
      <c r="L77" t="s">
        <v>119</v>
      </c>
      <c r="M77" t="s">
        <v>253</v>
      </c>
      <c r="N77" s="2" t="s">
        <v>254</v>
      </c>
      <c r="O77" t="s">
        <v>91</v>
      </c>
      <c r="P77" t="s">
        <v>255</v>
      </c>
      <c r="Q77" t="s">
        <v>29</v>
      </c>
      <c r="R77" s="1">
        <v>46012</v>
      </c>
      <c r="S77">
        <v>2</v>
      </c>
      <c r="T77">
        <v>50</v>
      </c>
      <c r="U77" s="9">
        <f>Tabla13[[#This Row],[USD]]</f>
        <v>50</v>
      </c>
    </row>
    <row r="78" spans="1:21" ht="15" customHeight="1" x14ac:dyDescent="0.2">
      <c r="A78">
        <v>104472</v>
      </c>
      <c r="B78" t="s">
        <v>4</v>
      </c>
      <c r="C78" t="s">
        <v>307</v>
      </c>
      <c r="D78" t="s">
        <v>86</v>
      </c>
      <c r="H78" t="s">
        <v>139</v>
      </c>
      <c r="I78" t="s">
        <v>140</v>
      </c>
      <c r="J78" t="s">
        <v>144</v>
      </c>
      <c r="K78" t="s">
        <v>311</v>
      </c>
      <c r="L78" t="s">
        <v>103</v>
      </c>
      <c r="M78" t="s">
        <v>308</v>
      </c>
      <c r="N78" s="2" t="s">
        <v>309</v>
      </c>
      <c r="O78" t="s">
        <v>91</v>
      </c>
      <c r="P78" t="s">
        <v>310</v>
      </c>
      <c r="Q78" t="s">
        <v>29</v>
      </c>
      <c r="R78" s="1">
        <v>46010</v>
      </c>
      <c r="S78">
        <v>2</v>
      </c>
      <c r="T78">
        <v>50</v>
      </c>
      <c r="U78" s="9">
        <f>Tabla13[[#This Row],[USD]]</f>
        <v>50</v>
      </c>
    </row>
    <row r="79" spans="1:21" ht="15" customHeight="1" x14ac:dyDescent="0.2">
      <c r="A79">
        <v>103435</v>
      </c>
      <c r="B79" t="s">
        <v>3</v>
      </c>
      <c r="C79" t="s">
        <v>601</v>
      </c>
      <c r="D79" t="s">
        <v>109</v>
      </c>
      <c r="E79" t="s">
        <v>602</v>
      </c>
      <c r="F79" t="s">
        <v>100</v>
      </c>
      <c r="G79" t="s">
        <v>603</v>
      </c>
      <c r="H79" t="s">
        <v>139</v>
      </c>
      <c r="I79" t="s">
        <v>140</v>
      </c>
      <c r="J79" t="s">
        <v>144</v>
      </c>
      <c r="K79" t="s">
        <v>504</v>
      </c>
      <c r="L79" t="s">
        <v>251</v>
      </c>
      <c r="M79" t="s">
        <v>604</v>
      </c>
      <c r="N79" t="s">
        <v>605</v>
      </c>
      <c r="O79" t="s">
        <v>91</v>
      </c>
      <c r="P79" t="s">
        <v>606</v>
      </c>
      <c r="Q79" t="s">
        <v>29</v>
      </c>
      <c r="R79" s="1">
        <v>46001</v>
      </c>
      <c r="S79">
        <v>2</v>
      </c>
      <c r="T79">
        <v>50</v>
      </c>
      <c r="U79" s="9">
        <f>Tabla13[[#This Row],[USD]]</f>
        <v>50</v>
      </c>
    </row>
    <row r="80" spans="1:21" ht="15" customHeight="1" x14ac:dyDescent="0.2">
      <c r="A80">
        <v>103135</v>
      </c>
      <c r="B80" t="s">
        <v>3</v>
      </c>
      <c r="C80" t="s">
        <v>706</v>
      </c>
      <c r="D80" t="s">
        <v>109</v>
      </c>
      <c r="H80" t="s">
        <v>139</v>
      </c>
      <c r="I80" t="s">
        <v>140</v>
      </c>
      <c r="J80" t="s">
        <v>144</v>
      </c>
      <c r="K80" t="s">
        <v>550</v>
      </c>
      <c r="L80" t="s">
        <v>251</v>
      </c>
      <c r="M80" t="s">
        <v>707</v>
      </c>
      <c r="N80" t="s">
        <v>708</v>
      </c>
      <c r="O80" t="s">
        <v>91</v>
      </c>
      <c r="P80" t="s">
        <v>709</v>
      </c>
      <c r="Q80" t="s">
        <v>29</v>
      </c>
      <c r="R80" s="1">
        <v>45999</v>
      </c>
      <c r="S80">
        <v>2</v>
      </c>
      <c r="T80">
        <v>50</v>
      </c>
      <c r="U80" s="9">
        <f>Tabla13[[#This Row],[USD]]</f>
        <v>50</v>
      </c>
    </row>
    <row r="81" spans="1:21" ht="15" customHeight="1" x14ac:dyDescent="0.2">
      <c r="A81">
        <v>105898</v>
      </c>
      <c r="B81" t="s">
        <v>2</v>
      </c>
      <c r="D81" t="s">
        <v>86</v>
      </c>
      <c r="H81" t="s">
        <v>87</v>
      </c>
      <c r="I81" t="s">
        <v>88</v>
      </c>
      <c r="J81" s="3" t="s">
        <v>144</v>
      </c>
      <c r="K81" t="s">
        <v>89</v>
      </c>
      <c r="M81" t="s">
        <v>90</v>
      </c>
      <c r="O81" t="s">
        <v>91</v>
      </c>
      <c r="P81" t="s">
        <v>92</v>
      </c>
      <c r="Q81" t="s">
        <v>22</v>
      </c>
      <c r="R81" s="1">
        <v>46022</v>
      </c>
      <c r="S81">
        <v>0</v>
      </c>
      <c r="T81">
        <v>0</v>
      </c>
      <c r="U81" s="9">
        <f>Tabla13[[#This Row],[USD]]</f>
        <v>0</v>
      </c>
    </row>
    <row r="82" spans="1:21" ht="15" customHeight="1" x14ac:dyDescent="0.2">
      <c r="A82">
        <v>104966</v>
      </c>
      <c r="B82" t="s">
        <v>2</v>
      </c>
      <c r="D82" t="s">
        <v>86</v>
      </c>
      <c r="H82" t="s">
        <v>87</v>
      </c>
      <c r="I82" t="s">
        <v>88</v>
      </c>
      <c r="J82" t="s">
        <v>144</v>
      </c>
      <c r="K82" t="s">
        <v>187</v>
      </c>
      <c r="L82" t="s">
        <v>103</v>
      </c>
      <c r="M82" t="s">
        <v>217</v>
      </c>
      <c r="N82" s="2" t="s">
        <v>218</v>
      </c>
      <c r="O82" t="s">
        <v>91</v>
      </c>
      <c r="P82" t="s">
        <v>219</v>
      </c>
      <c r="Q82" t="s">
        <v>22</v>
      </c>
      <c r="R82" s="1">
        <v>46014</v>
      </c>
      <c r="S82">
        <v>3</v>
      </c>
      <c r="T82">
        <v>75</v>
      </c>
      <c r="U82" s="9">
        <f>Tabla13[[#This Row],[USD]]</f>
        <v>75</v>
      </c>
    </row>
    <row r="83" spans="1:21" ht="15" customHeight="1" x14ac:dyDescent="0.2">
      <c r="A83">
        <v>104360</v>
      </c>
      <c r="B83" t="s">
        <v>15</v>
      </c>
      <c r="D83" t="s">
        <v>93</v>
      </c>
      <c r="H83" t="s">
        <v>87</v>
      </c>
      <c r="I83" t="s">
        <v>88</v>
      </c>
      <c r="J83" t="s">
        <v>144</v>
      </c>
      <c r="K83" t="s">
        <v>187</v>
      </c>
      <c r="L83" t="s">
        <v>103</v>
      </c>
      <c r="M83" t="s">
        <v>337</v>
      </c>
      <c r="N83" s="2" t="s">
        <v>338</v>
      </c>
      <c r="O83" t="s">
        <v>91</v>
      </c>
      <c r="P83" t="s">
        <v>339</v>
      </c>
      <c r="Q83" t="s">
        <v>22</v>
      </c>
      <c r="R83" s="1">
        <v>46009</v>
      </c>
      <c r="S83">
        <v>3</v>
      </c>
      <c r="T83">
        <v>75</v>
      </c>
      <c r="U83" s="9">
        <f>Tabla13[[#This Row],[USD]]</f>
        <v>75</v>
      </c>
    </row>
    <row r="84" spans="1:21" ht="15" customHeight="1" x14ac:dyDescent="0.2">
      <c r="A84">
        <v>103768</v>
      </c>
      <c r="B84" t="s">
        <v>7</v>
      </c>
      <c r="D84" t="s">
        <v>86</v>
      </c>
      <c r="E84" t="s">
        <v>515</v>
      </c>
      <c r="F84" t="s">
        <v>516</v>
      </c>
      <c r="G84" t="s">
        <v>517</v>
      </c>
      <c r="H84" t="s">
        <v>87</v>
      </c>
      <c r="I84" t="s">
        <v>88</v>
      </c>
      <c r="J84" t="s">
        <v>144</v>
      </c>
      <c r="K84" t="s">
        <v>504</v>
      </c>
      <c r="L84" t="s">
        <v>251</v>
      </c>
      <c r="M84" t="s">
        <v>518</v>
      </c>
      <c r="N84" s="2" t="s">
        <v>519</v>
      </c>
      <c r="O84" t="s">
        <v>91</v>
      </c>
      <c r="P84" t="s">
        <v>520</v>
      </c>
      <c r="Q84" t="s">
        <v>22</v>
      </c>
      <c r="R84" s="1">
        <v>46004</v>
      </c>
      <c r="S84">
        <v>3</v>
      </c>
      <c r="T84">
        <v>75</v>
      </c>
      <c r="U84" s="9">
        <f>Tabla13[[#This Row],[USD]]</f>
        <v>75</v>
      </c>
    </row>
    <row r="85" spans="1:21" ht="15" customHeight="1" x14ac:dyDescent="0.2">
      <c r="A85">
        <v>103235</v>
      </c>
      <c r="B85" t="s">
        <v>16</v>
      </c>
      <c r="C85" s="2" t="s">
        <v>687</v>
      </c>
      <c r="D85" t="s">
        <v>93</v>
      </c>
      <c r="H85" t="s">
        <v>87</v>
      </c>
      <c r="I85" t="s">
        <v>88</v>
      </c>
      <c r="J85" t="s">
        <v>144</v>
      </c>
      <c r="K85" t="s">
        <v>504</v>
      </c>
      <c r="L85" t="s">
        <v>251</v>
      </c>
      <c r="M85" t="s">
        <v>688</v>
      </c>
      <c r="N85" s="2" t="s">
        <v>689</v>
      </c>
      <c r="O85" t="s">
        <v>91</v>
      </c>
      <c r="P85" t="s">
        <v>690</v>
      </c>
      <c r="Q85" t="s">
        <v>22</v>
      </c>
      <c r="R85" s="1">
        <v>45999</v>
      </c>
      <c r="S85">
        <v>3</v>
      </c>
      <c r="T85">
        <v>75</v>
      </c>
      <c r="U85" s="9">
        <f>Tabla13[[#This Row],[USD]]</f>
        <v>75</v>
      </c>
    </row>
    <row r="86" spans="1:21" ht="15" customHeight="1" x14ac:dyDescent="0.2">
      <c r="A86">
        <v>104488</v>
      </c>
      <c r="B86" t="s">
        <v>11</v>
      </c>
      <c r="C86" t="s">
        <v>291</v>
      </c>
      <c r="D86" t="s">
        <v>86</v>
      </c>
      <c r="H86" t="s">
        <v>292</v>
      </c>
      <c r="I86" t="s">
        <v>293</v>
      </c>
      <c r="J86" t="s">
        <v>144</v>
      </c>
      <c r="K86" t="s">
        <v>284</v>
      </c>
      <c r="L86" t="s">
        <v>97</v>
      </c>
      <c r="M86" t="s">
        <v>294</v>
      </c>
      <c r="N86" s="2" t="s">
        <v>295</v>
      </c>
      <c r="O86" t="s">
        <v>91</v>
      </c>
      <c r="P86" t="s">
        <v>296</v>
      </c>
      <c r="Q86" t="s">
        <v>30</v>
      </c>
      <c r="R86" s="1">
        <v>46010</v>
      </c>
      <c r="S86">
        <v>3</v>
      </c>
      <c r="T86">
        <v>75</v>
      </c>
      <c r="U86" s="9">
        <f>Tabla13[[#This Row],[USD]]</f>
        <v>75</v>
      </c>
    </row>
    <row r="87" spans="1:21" ht="15" customHeight="1" x14ac:dyDescent="0.2">
      <c r="A87">
        <v>104066</v>
      </c>
      <c r="B87" t="s">
        <v>4</v>
      </c>
      <c r="C87" t="s">
        <v>429</v>
      </c>
      <c r="D87" t="s">
        <v>86</v>
      </c>
      <c r="H87" t="s">
        <v>292</v>
      </c>
      <c r="I87" t="s">
        <v>293</v>
      </c>
      <c r="J87" t="s">
        <v>144</v>
      </c>
      <c r="K87" t="s">
        <v>406</v>
      </c>
      <c r="L87" t="s">
        <v>231</v>
      </c>
      <c r="M87" t="s">
        <v>430</v>
      </c>
      <c r="N87" t="s">
        <v>431</v>
      </c>
      <c r="O87" t="s">
        <v>91</v>
      </c>
      <c r="P87" t="s">
        <v>432</v>
      </c>
      <c r="Q87" t="s">
        <v>30</v>
      </c>
      <c r="R87" s="1">
        <v>46006</v>
      </c>
      <c r="S87">
        <v>3</v>
      </c>
      <c r="T87">
        <v>75</v>
      </c>
      <c r="U87" s="9">
        <f>Tabla13[[#This Row],[USD]]</f>
        <v>75</v>
      </c>
    </row>
    <row r="88" spans="1:21" ht="15" customHeight="1" x14ac:dyDescent="0.2">
      <c r="A88">
        <v>103726</v>
      </c>
      <c r="B88" t="s">
        <v>4</v>
      </c>
      <c r="C88" t="s">
        <v>531</v>
      </c>
      <c r="D88" t="s">
        <v>86</v>
      </c>
      <c r="E88" s="2" t="s">
        <v>532</v>
      </c>
      <c r="F88" t="s">
        <v>97</v>
      </c>
      <c r="G88" t="s">
        <v>533</v>
      </c>
      <c r="H88" t="s">
        <v>292</v>
      </c>
      <c r="I88" t="s">
        <v>293</v>
      </c>
      <c r="J88" t="s">
        <v>144</v>
      </c>
      <c r="K88" t="s">
        <v>504</v>
      </c>
      <c r="L88" t="s">
        <v>251</v>
      </c>
      <c r="M88" t="s">
        <v>534</v>
      </c>
      <c r="N88" s="2" t="s">
        <v>535</v>
      </c>
      <c r="O88" t="s">
        <v>91</v>
      </c>
      <c r="P88" t="s">
        <v>536</v>
      </c>
      <c r="Q88" t="s">
        <v>30</v>
      </c>
      <c r="R88" s="1">
        <v>46003</v>
      </c>
      <c r="S88">
        <v>0</v>
      </c>
      <c r="T88">
        <v>0</v>
      </c>
      <c r="U88" s="9">
        <f>Tabla13[[#This Row],[USD]]</f>
        <v>0</v>
      </c>
    </row>
    <row r="89" spans="1:21" ht="15" customHeight="1" x14ac:dyDescent="0.2">
      <c r="A89">
        <v>103371</v>
      </c>
      <c r="B89" t="s">
        <v>8</v>
      </c>
      <c r="C89" t="s">
        <v>652</v>
      </c>
      <c r="D89" t="s">
        <v>86</v>
      </c>
      <c r="E89" t="s">
        <v>653</v>
      </c>
      <c r="F89" t="s">
        <v>100</v>
      </c>
      <c r="G89" t="s">
        <v>654</v>
      </c>
      <c r="H89" t="s">
        <v>292</v>
      </c>
      <c r="I89" t="s">
        <v>293</v>
      </c>
      <c r="J89" t="s">
        <v>144</v>
      </c>
      <c r="K89" t="s">
        <v>598</v>
      </c>
      <c r="L89" t="s">
        <v>100</v>
      </c>
      <c r="M89" t="s">
        <v>655</v>
      </c>
      <c r="N89" t="s">
        <v>656</v>
      </c>
      <c r="O89" t="s">
        <v>91</v>
      </c>
      <c r="P89" t="s">
        <v>657</v>
      </c>
      <c r="Q89" t="s">
        <v>30</v>
      </c>
      <c r="R89" s="1">
        <v>46001</v>
      </c>
      <c r="S89">
        <v>3</v>
      </c>
      <c r="T89">
        <v>75</v>
      </c>
      <c r="U89" s="9">
        <f>Tabla13[[#This Row],[USD]]</f>
        <v>75</v>
      </c>
    </row>
    <row r="90" spans="1:21" ht="15" customHeight="1" x14ac:dyDescent="0.2">
      <c r="A90">
        <v>102903</v>
      </c>
      <c r="B90" t="s">
        <v>3</v>
      </c>
      <c r="C90" t="s">
        <v>755</v>
      </c>
      <c r="D90" t="s">
        <v>109</v>
      </c>
      <c r="E90" t="s">
        <v>756</v>
      </c>
      <c r="F90" t="s">
        <v>251</v>
      </c>
      <c r="G90" t="s">
        <v>757</v>
      </c>
      <c r="H90" t="s">
        <v>292</v>
      </c>
      <c r="I90" t="s">
        <v>293</v>
      </c>
      <c r="J90" t="s">
        <v>144</v>
      </c>
      <c r="K90" t="s">
        <v>677</v>
      </c>
      <c r="L90" t="s">
        <v>100</v>
      </c>
      <c r="M90" t="s">
        <v>758</v>
      </c>
      <c r="N90" s="5" t="s">
        <v>759</v>
      </c>
      <c r="O90" t="s">
        <v>91</v>
      </c>
      <c r="P90" t="s">
        <v>760</v>
      </c>
      <c r="Q90" t="s">
        <v>30</v>
      </c>
      <c r="R90" s="1">
        <v>45997</v>
      </c>
      <c r="S90">
        <v>5</v>
      </c>
      <c r="T90">
        <v>125</v>
      </c>
      <c r="U90" s="9">
        <f>Tabla13[[#This Row],[USD]]</f>
        <v>125</v>
      </c>
    </row>
    <row r="91" spans="1:21" ht="15" customHeight="1" x14ac:dyDescent="0.2">
      <c r="A91">
        <v>102631</v>
      </c>
      <c r="B91" t="s">
        <v>3</v>
      </c>
      <c r="C91" s="2" t="s">
        <v>817</v>
      </c>
      <c r="D91" t="s">
        <v>109</v>
      </c>
      <c r="H91" t="s">
        <v>292</v>
      </c>
      <c r="I91" t="s">
        <v>293</v>
      </c>
      <c r="J91" t="s">
        <v>144</v>
      </c>
      <c r="K91" t="s">
        <v>816</v>
      </c>
      <c r="L91" t="s">
        <v>103</v>
      </c>
      <c r="M91" t="s">
        <v>818</v>
      </c>
      <c r="N91" s="2" t="s">
        <v>819</v>
      </c>
      <c r="O91" t="s">
        <v>91</v>
      </c>
      <c r="P91" t="s">
        <v>820</v>
      </c>
      <c r="Q91" t="s">
        <v>30</v>
      </c>
      <c r="R91" s="1">
        <v>45995</v>
      </c>
      <c r="S91">
        <v>3</v>
      </c>
      <c r="T91">
        <v>75</v>
      </c>
      <c r="U91" s="9">
        <f>Tabla13[[#This Row],[USD]]</f>
        <v>75</v>
      </c>
    </row>
    <row r="92" spans="1:21" ht="15" customHeight="1" x14ac:dyDescent="0.2">
      <c r="A92">
        <v>103595</v>
      </c>
      <c r="B92" t="s">
        <v>8</v>
      </c>
      <c r="C92" t="s">
        <v>563</v>
      </c>
      <c r="D92" t="s">
        <v>86</v>
      </c>
      <c r="H92" t="s">
        <v>564</v>
      </c>
      <c r="I92" t="s">
        <v>565</v>
      </c>
      <c r="J92" t="s">
        <v>144</v>
      </c>
      <c r="K92" t="s">
        <v>550</v>
      </c>
      <c r="L92" t="s">
        <v>100</v>
      </c>
      <c r="M92" t="s">
        <v>566</v>
      </c>
      <c r="N92" t="s">
        <v>96</v>
      </c>
      <c r="O92" t="s">
        <v>91</v>
      </c>
      <c r="P92" t="s">
        <v>567</v>
      </c>
      <c r="Q92" t="s">
        <v>26</v>
      </c>
      <c r="R92" s="1">
        <v>46003</v>
      </c>
      <c r="S92">
        <v>3</v>
      </c>
      <c r="T92">
        <v>75</v>
      </c>
      <c r="U92" s="9">
        <f>Tabla13[[#This Row],[USD]]</f>
        <v>75</v>
      </c>
    </row>
    <row r="93" spans="1:21" ht="15" customHeight="1" x14ac:dyDescent="0.2">
      <c r="A93">
        <v>103528</v>
      </c>
      <c r="B93" t="s">
        <v>4</v>
      </c>
      <c r="C93" t="s">
        <v>577</v>
      </c>
      <c r="D93" t="s">
        <v>86</v>
      </c>
      <c r="H93" t="s">
        <v>564</v>
      </c>
      <c r="I93" t="s">
        <v>565</v>
      </c>
      <c r="J93" t="s">
        <v>144</v>
      </c>
      <c r="K93" t="s">
        <v>550</v>
      </c>
      <c r="L93" t="s">
        <v>100</v>
      </c>
      <c r="M93" t="s">
        <v>578</v>
      </c>
      <c r="N93" t="s">
        <v>579</v>
      </c>
      <c r="O93" t="s">
        <v>91</v>
      </c>
      <c r="P93" t="s">
        <v>580</v>
      </c>
      <c r="Q93" t="s">
        <v>26</v>
      </c>
      <c r="R93" s="1">
        <v>46002</v>
      </c>
      <c r="S93">
        <v>3</v>
      </c>
      <c r="T93">
        <v>75</v>
      </c>
      <c r="U93" s="9">
        <f>Tabla13[[#This Row],[USD]]</f>
        <v>75</v>
      </c>
    </row>
    <row r="94" spans="1:21" ht="15" customHeight="1" x14ac:dyDescent="0.2">
      <c r="A94">
        <v>103408</v>
      </c>
      <c r="B94" t="s">
        <v>5</v>
      </c>
      <c r="C94" t="s">
        <v>607</v>
      </c>
      <c r="D94" t="s">
        <v>93</v>
      </c>
      <c r="E94" s="2" t="s">
        <v>608</v>
      </c>
      <c r="F94" t="s">
        <v>251</v>
      </c>
      <c r="G94" t="s">
        <v>609</v>
      </c>
      <c r="H94" t="s">
        <v>564</v>
      </c>
      <c r="I94" t="s">
        <v>565</v>
      </c>
      <c r="J94" t="s">
        <v>144</v>
      </c>
      <c r="K94" t="s">
        <v>550</v>
      </c>
      <c r="L94" t="s">
        <v>100</v>
      </c>
      <c r="M94" t="s">
        <v>610</v>
      </c>
      <c r="N94" t="s">
        <v>96</v>
      </c>
      <c r="O94" t="s">
        <v>91</v>
      </c>
      <c r="P94" t="s">
        <v>611</v>
      </c>
      <c r="Q94" t="s">
        <v>26</v>
      </c>
      <c r="R94" s="1">
        <v>46001</v>
      </c>
      <c r="S94">
        <v>3</v>
      </c>
      <c r="T94">
        <v>75</v>
      </c>
      <c r="U94" s="9">
        <f>Tabla13[[#This Row],[USD]]</f>
        <v>75</v>
      </c>
    </row>
    <row r="95" spans="1:21" ht="15" customHeight="1" x14ac:dyDescent="0.2">
      <c r="A95">
        <v>102681</v>
      </c>
      <c r="B95" t="s">
        <v>8</v>
      </c>
      <c r="C95" t="s">
        <v>806</v>
      </c>
      <c r="D95" t="s">
        <v>86</v>
      </c>
      <c r="H95" t="s">
        <v>564</v>
      </c>
      <c r="I95" t="s">
        <v>565</v>
      </c>
      <c r="J95" t="s">
        <v>144</v>
      </c>
      <c r="K95" t="s">
        <v>777</v>
      </c>
      <c r="L95" t="s">
        <v>100</v>
      </c>
      <c r="M95" t="s">
        <v>807</v>
      </c>
      <c r="N95" s="3" t="s">
        <v>808</v>
      </c>
      <c r="O95" t="s">
        <v>91</v>
      </c>
      <c r="P95" t="s">
        <v>809</v>
      </c>
      <c r="Q95" t="s">
        <v>26</v>
      </c>
      <c r="R95" s="1">
        <v>45995</v>
      </c>
      <c r="S95">
        <v>6</v>
      </c>
      <c r="T95">
        <v>150</v>
      </c>
      <c r="U95" s="9">
        <f>Tabla13[[#This Row],[USD]]</f>
        <v>150</v>
      </c>
    </row>
    <row r="96" spans="1:21" ht="15" customHeight="1" x14ac:dyDescent="0.2">
      <c r="A96">
        <v>102506</v>
      </c>
      <c r="B96" t="s">
        <v>8</v>
      </c>
      <c r="C96" t="s">
        <v>841</v>
      </c>
      <c r="D96" t="s">
        <v>86</v>
      </c>
      <c r="H96" t="s">
        <v>564</v>
      </c>
      <c r="I96" t="s">
        <v>565</v>
      </c>
      <c r="J96" t="s">
        <v>144</v>
      </c>
      <c r="K96" t="s">
        <v>843</v>
      </c>
      <c r="L96" t="s">
        <v>103</v>
      </c>
      <c r="M96" t="s">
        <v>842</v>
      </c>
      <c r="N96" s="2" t="s">
        <v>844</v>
      </c>
      <c r="O96" t="s">
        <v>91</v>
      </c>
      <c r="P96" t="s">
        <v>845</v>
      </c>
      <c r="Q96" t="s">
        <v>26</v>
      </c>
      <c r="R96" s="1">
        <v>45994</v>
      </c>
      <c r="S96">
        <v>3</v>
      </c>
      <c r="T96">
        <v>75</v>
      </c>
      <c r="U96" s="9">
        <f>Tabla13[[#This Row],[USD]]</f>
        <v>75</v>
      </c>
    </row>
    <row r="97" spans="1:21" ht="15" customHeight="1" x14ac:dyDescent="0.2">
      <c r="A97">
        <v>102504</v>
      </c>
      <c r="B97" t="s">
        <v>8</v>
      </c>
      <c r="D97" t="s">
        <v>86</v>
      </c>
      <c r="H97" t="s">
        <v>564</v>
      </c>
      <c r="I97" t="s">
        <v>565</v>
      </c>
      <c r="J97" t="s">
        <v>144</v>
      </c>
      <c r="K97" t="s">
        <v>843</v>
      </c>
      <c r="L97" t="s">
        <v>103</v>
      </c>
      <c r="M97" t="s">
        <v>846</v>
      </c>
      <c r="N97" s="2" t="s">
        <v>844</v>
      </c>
      <c r="O97" t="s">
        <v>91</v>
      </c>
      <c r="P97" t="s">
        <v>847</v>
      </c>
      <c r="Q97" t="s">
        <v>26</v>
      </c>
      <c r="R97" s="1">
        <v>45994</v>
      </c>
      <c r="S97">
        <v>0</v>
      </c>
      <c r="T97">
        <v>0</v>
      </c>
      <c r="U97" s="9">
        <f>Tabla13[[#This Row],[USD]]</f>
        <v>0</v>
      </c>
    </row>
    <row r="98" spans="1:21" ht="15" customHeight="1" x14ac:dyDescent="0.2">
      <c r="A98">
        <v>104280</v>
      </c>
      <c r="B98" t="s">
        <v>1</v>
      </c>
      <c r="C98" t="s">
        <v>362</v>
      </c>
      <c r="D98" t="s">
        <v>109</v>
      </c>
      <c r="H98" t="s">
        <v>148</v>
      </c>
      <c r="I98" t="s">
        <v>149</v>
      </c>
      <c r="J98" t="s">
        <v>144</v>
      </c>
      <c r="K98" t="s">
        <v>364</v>
      </c>
      <c r="L98" t="s">
        <v>231</v>
      </c>
      <c r="M98" t="s">
        <v>363</v>
      </c>
      <c r="N98" t="s">
        <v>365</v>
      </c>
      <c r="O98" t="s">
        <v>91</v>
      </c>
      <c r="P98" t="s">
        <v>366</v>
      </c>
      <c r="Q98" t="s">
        <v>27</v>
      </c>
      <c r="R98" s="1">
        <v>46008</v>
      </c>
      <c r="S98">
        <v>3</v>
      </c>
      <c r="T98">
        <v>75</v>
      </c>
      <c r="U98" s="9">
        <f>Tabla13[[#This Row],[USD]]</f>
        <v>75</v>
      </c>
    </row>
    <row r="99" spans="1:21" ht="15" customHeight="1" x14ac:dyDescent="0.2">
      <c r="A99">
        <v>103952</v>
      </c>
      <c r="B99" t="s">
        <v>3</v>
      </c>
      <c r="C99" s="2" t="s">
        <v>450</v>
      </c>
      <c r="D99" t="s">
        <v>109</v>
      </c>
      <c r="H99" t="s">
        <v>148</v>
      </c>
      <c r="I99" t="s">
        <v>149</v>
      </c>
      <c r="J99" t="s">
        <v>144</v>
      </c>
      <c r="K99" t="s">
        <v>435</v>
      </c>
      <c r="L99" t="s">
        <v>231</v>
      </c>
      <c r="M99" t="s">
        <v>451</v>
      </c>
      <c r="N99" t="s">
        <v>452</v>
      </c>
      <c r="O99" t="s">
        <v>91</v>
      </c>
      <c r="P99" t="s">
        <v>453</v>
      </c>
      <c r="Q99" t="s">
        <v>27</v>
      </c>
      <c r="R99" s="1">
        <v>46005</v>
      </c>
      <c r="S99">
        <v>3</v>
      </c>
      <c r="T99">
        <v>75</v>
      </c>
      <c r="U99" s="9">
        <f>Tabla13[[#This Row],[USD]]</f>
        <v>75</v>
      </c>
    </row>
    <row r="100" spans="1:21" ht="15" customHeight="1" x14ac:dyDescent="0.2">
      <c r="A100">
        <v>103648</v>
      </c>
      <c r="B100" t="s">
        <v>3</v>
      </c>
      <c r="C100" t="s">
        <v>537</v>
      </c>
      <c r="D100" t="s">
        <v>109</v>
      </c>
      <c r="E100" t="s">
        <v>452</v>
      </c>
      <c r="F100" t="s">
        <v>231</v>
      </c>
      <c r="G100" t="s">
        <v>538</v>
      </c>
      <c r="H100" t="s">
        <v>148</v>
      </c>
      <c r="I100" t="s">
        <v>149</v>
      </c>
      <c r="J100" t="s">
        <v>144</v>
      </c>
      <c r="K100" t="s">
        <v>435</v>
      </c>
      <c r="L100" t="s">
        <v>231</v>
      </c>
      <c r="M100" t="s">
        <v>539</v>
      </c>
      <c r="N100" t="s">
        <v>540</v>
      </c>
      <c r="O100" t="s">
        <v>91</v>
      </c>
      <c r="P100" t="s">
        <v>541</v>
      </c>
      <c r="Q100" t="s">
        <v>27</v>
      </c>
      <c r="R100" s="1">
        <v>46003</v>
      </c>
      <c r="S100">
        <v>3</v>
      </c>
      <c r="T100">
        <v>75</v>
      </c>
      <c r="U100" s="9">
        <f>Tabla13[[#This Row],[USD]]</f>
        <v>75</v>
      </c>
    </row>
    <row r="101" spans="1:21" ht="15" customHeight="1" x14ac:dyDescent="0.2">
      <c r="A101">
        <v>103172</v>
      </c>
      <c r="B101" t="s">
        <v>3</v>
      </c>
      <c r="C101" t="s">
        <v>701</v>
      </c>
      <c r="D101" t="s">
        <v>109</v>
      </c>
      <c r="E101" t="s">
        <v>702</v>
      </c>
      <c r="F101" t="s">
        <v>251</v>
      </c>
      <c r="G101" t="s">
        <v>703</v>
      </c>
      <c r="H101" t="s">
        <v>148</v>
      </c>
      <c r="I101" t="s">
        <v>149</v>
      </c>
      <c r="J101" t="s">
        <v>144</v>
      </c>
      <c r="K101" t="s">
        <v>550</v>
      </c>
      <c r="L101" t="s">
        <v>251</v>
      </c>
      <c r="M101" t="s">
        <v>704</v>
      </c>
      <c r="N101" t="s">
        <v>693</v>
      </c>
      <c r="O101" t="s">
        <v>91</v>
      </c>
      <c r="P101" t="s">
        <v>705</v>
      </c>
      <c r="Q101" t="s">
        <v>27</v>
      </c>
      <c r="R101" s="1">
        <v>45999</v>
      </c>
      <c r="S101">
        <v>0</v>
      </c>
      <c r="T101">
        <v>0</v>
      </c>
      <c r="U101" s="9">
        <f>Tabla13[[#This Row],[USD]]</f>
        <v>0</v>
      </c>
    </row>
    <row r="102" spans="1:21" ht="15" customHeight="1" x14ac:dyDescent="0.2">
      <c r="A102">
        <v>103068</v>
      </c>
      <c r="B102" t="s">
        <v>3</v>
      </c>
      <c r="C102" t="s">
        <v>718</v>
      </c>
      <c r="D102" t="s">
        <v>109</v>
      </c>
      <c r="H102" t="s">
        <v>148</v>
      </c>
      <c r="I102" t="s">
        <v>149</v>
      </c>
      <c r="J102" t="s">
        <v>144</v>
      </c>
      <c r="K102" t="s">
        <v>435</v>
      </c>
      <c r="L102" t="s">
        <v>231</v>
      </c>
      <c r="M102" t="s">
        <v>719</v>
      </c>
      <c r="N102" t="s">
        <v>540</v>
      </c>
      <c r="O102" t="s">
        <v>91</v>
      </c>
      <c r="P102" t="s">
        <v>720</v>
      </c>
      <c r="Q102" t="s">
        <v>27</v>
      </c>
      <c r="R102" s="1">
        <v>45998</v>
      </c>
      <c r="S102">
        <v>3</v>
      </c>
      <c r="T102">
        <v>75</v>
      </c>
      <c r="U102" s="9">
        <f>Tabla13[[#This Row],[USD]]</f>
        <v>75</v>
      </c>
    </row>
    <row r="103" spans="1:21" ht="15" customHeight="1" x14ac:dyDescent="0.2">
      <c r="A103">
        <v>105163</v>
      </c>
      <c r="B103" t="s">
        <v>4</v>
      </c>
      <c r="C103" t="s">
        <v>162</v>
      </c>
      <c r="D103" t="s">
        <v>86</v>
      </c>
      <c r="H103" t="s">
        <v>163</v>
      </c>
      <c r="I103" t="s">
        <v>164</v>
      </c>
      <c r="J103" t="s">
        <v>144</v>
      </c>
      <c r="K103" t="s">
        <v>166</v>
      </c>
      <c r="L103" t="s">
        <v>103</v>
      </c>
      <c r="M103" t="s">
        <v>165</v>
      </c>
      <c r="N103" s="2" t="s">
        <v>167</v>
      </c>
      <c r="O103" t="s">
        <v>91</v>
      </c>
      <c r="P103" t="s">
        <v>168</v>
      </c>
      <c r="Q103" t="s">
        <v>21</v>
      </c>
      <c r="R103" s="1">
        <v>46016</v>
      </c>
      <c r="S103">
        <v>3</v>
      </c>
      <c r="T103">
        <v>75</v>
      </c>
      <c r="U103" s="9">
        <f>Tabla13[[#This Row],[USD]]</f>
        <v>75</v>
      </c>
    </row>
    <row r="104" spans="1:21" ht="15" customHeight="1" x14ac:dyDescent="0.2">
      <c r="A104">
        <v>104272</v>
      </c>
      <c r="B104" t="s">
        <v>4</v>
      </c>
      <c r="C104" t="s">
        <v>367</v>
      </c>
      <c r="D104" t="s">
        <v>86</v>
      </c>
      <c r="E104" s="2" t="s">
        <v>368</v>
      </c>
      <c r="F104" t="s">
        <v>100</v>
      </c>
      <c r="G104" t="s">
        <v>369</v>
      </c>
      <c r="H104" t="s">
        <v>163</v>
      </c>
      <c r="I104" t="s">
        <v>164</v>
      </c>
      <c r="J104" t="s">
        <v>144</v>
      </c>
      <c r="K104" t="s">
        <v>359</v>
      </c>
      <c r="L104" t="s">
        <v>100</v>
      </c>
      <c r="M104" t="s">
        <v>370</v>
      </c>
      <c r="N104" s="2" t="s">
        <v>368</v>
      </c>
      <c r="O104" t="s">
        <v>91</v>
      </c>
      <c r="P104" t="s">
        <v>371</v>
      </c>
      <c r="Q104" t="s">
        <v>21</v>
      </c>
      <c r="R104" s="1">
        <v>46008</v>
      </c>
      <c r="S104">
        <v>5</v>
      </c>
      <c r="T104">
        <v>125</v>
      </c>
      <c r="U104" s="9">
        <f>Tabla13[[#This Row],[USD]]</f>
        <v>125</v>
      </c>
    </row>
    <row r="105" spans="1:21" ht="15" customHeight="1" x14ac:dyDescent="0.2">
      <c r="A105">
        <v>104127</v>
      </c>
      <c r="B105" t="s">
        <v>9</v>
      </c>
      <c r="C105" t="s">
        <v>417</v>
      </c>
      <c r="D105" t="s">
        <v>86</v>
      </c>
      <c r="E105" s="2" t="s">
        <v>418</v>
      </c>
      <c r="F105" t="s">
        <v>100</v>
      </c>
      <c r="G105" t="s">
        <v>419</v>
      </c>
      <c r="H105" t="s">
        <v>163</v>
      </c>
      <c r="I105" t="s">
        <v>164</v>
      </c>
      <c r="J105" t="s">
        <v>144</v>
      </c>
      <c r="K105" t="s">
        <v>359</v>
      </c>
      <c r="L105" t="s">
        <v>100</v>
      </c>
      <c r="M105" t="s">
        <v>420</v>
      </c>
      <c r="N105" s="2" t="s">
        <v>418</v>
      </c>
      <c r="O105" t="s">
        <v>91</v>
      </c>
      <c r="P105" t="s">
        <v>421</v>
      </c>
      <c r="Q105" t="s">
        <v>21</v>
      </c>
      <c r="R105" s="1">
        <v>46007</v>
      </c>
      <c r="S105">
        <v>4</v>
      </c>
      <c r="T105">
        <v>100</v>
      </c>
      <c r="U105" s="9">
        <f>Tabla13[[#This Row],[USD]]</f>
        <v>100</v>
      </c>
    </row>
    <row r="106" spans="1:21" ht="15" customHeight="1" x14ac:dyDescent="0.2">
      <c r="A106">
        <v>103980</v>
      </c>
      <c r="B106" t="s">
        <v>5</v>
      </c>
      <c r="C106" t="s">
        <v>433</v>
      </c>
      <c r="D106" t="s">
        <v>93</v>
      </c>
      <c r="H106" t="s">
        <v>163</v>
      </c>
      <c r="I106" t="s">
        <v>164</v>
      </c>
      <c r="J106" t="s">
        <v>144</v>
      </c>
      <c r="K106" t="s">
        <v>435</v>
      </c>
      <c r="L106" t="s">
        <v>131</v>
      </c>
      <c r="M106" t="s">
        <v>434</v>
      </c>
      <c r="N106" s="3" t="s">
        <v>436</v>
      </c>
      <c r="O106" t="s">
        <v>91</v>
      </c>
      <c r="P106" t="s">
        <v>437</v>
      </c>
      <c r="Q106" t="s">
        <v>21</v>
      </c>
      <c r="R106" s="1">
        <v>46006</v>
      </c>
      <c r="S106">
        <v>5</v>
      </c>
      <c r="T106">
        <v>125</v>
      </c>
      <c r="U106" s="9">
        <f>Tabla13[[#This Row],[USD]]</f>
        <v>125</v>
      </c>
    </row>
    <row r="107" spans="1:21" ht="15" customHeight="1" x14ac:dyDescent="0.2">
      <c r="A107">
        <v>103738</v>
      </c>
      <c r="B107" t="s">
        <v>3</v>
      </c>
      <c r="C107" t="s">
        <v>527</v>
      </c>
      <c r="D107" t="s">
        <v>109</v>
      </c>
      <c r="H107" t="s">
        <v>163</v>
      </c>
      <c r="I107" t="s">
        <v>164</v>
      </c>
      <c r="J107" t="s">
        <v>144</v>
      </c>
      <c r="K107" t="s">
        <v>495</v>
      </c>
      <c r="L107" t="s">
        <v>97</v>
      </c>
      <c r="M107" t="s">
        <v>528</v>
      </c>
      <c r="N107" s="5" t="s">
        <v>529</v>
      </c>
      <c r="O107" t="s">
        <v>91</v>
      </c>
      <c r="P107" t="s">
        <v>530</v>
      </c>
      <c r="Q107" t="s">
        <v>21</v>
      </c>
      <c r="R107" s="1">
        <v>46003</v>
      </c>
      <c r="S107">
        <v>5</v>
      </c>
      <c r="T107">
        <v>125</v>
      </c>
      <c r="U107" s="9">
        <f>Tabla13[[#This Row],[USD]]</f>
        <v>125</v>
      </c>
    </row>
    <row r="108" spans="1:21" ht="15" customHeight="1" x14ac:dyDescent="0.2">
      <c r="A108">
        <v>103398</v>
      </c>
      <c r="B108" t="s">
        <v>4</v>
      </c>
      <c r="C108" t="s">
        <v>622</v>
      </c>
      <c r="D108" t="s">
        <v>86</v>
      </c>
      <c r="E108" t="s">
        <v>623</v>
      </c>
      <c r="F108" t="s">
        <v>103</v>
      </c>
      <c r="G108" t="s">
        <v>624</v>
      </c>
      <c r="H108" t="s">
        <v>163</v>
      </c>
      <c r="I108" t="s">
        <v>164</v>
      </c>
      <c r="J108" t="s">
        <v>144</v>
      </c>
      <c r="K108" t="s">
        <v>495</v>
      </c>
      <c r="L108" t="s">
        <v>97</v>
      </c>
      <c r="M108" t="s">
        <v>625</v>
      </c>
      <c r="N108" t="s">
        <v>626</v>
      </c>
      <c r="O108" t="s">
        <v>91</v>
      </c>
      <c r="P108" t="s">
        <v>627</v>
      </c>
      <c r="Q108" t="s">
        <v>21</v>
      </c>
      <c r="R108" s="1">
        <v>46001</v>
      </c>
      <c r="S108">
        <v>0</v>
      </c>
      <c r="U108" s="9">
        <f>Tabla13[[#This Row],[USD]]</f>
        <v>0</v>
      </c>
    </row>
    <row r="109" spans="1:21" ht="15" customHeight="1" x14ac:dyDescent="0.2">
      <c r="A109">
        <v>102746</v>
      </c>
      <c r="B109" t="s">
        <v>4</v>
      </c>
      <c r="C109" t="s">
        <v>780</v>
      </c>
      <c r="D109" t="s">
        <v>86</v>
      </c>
      <c r="E109" t="s">
        <v>781</v>
      </c>
      <c r="F109" t="s">
        <v>97</v>
      </c>
      <c r="G109" t="s">
        <v>782</v>
      </c>
      <c r="H109" t="s">
        <v>163</v>
      </c>
      <c r="I109" t="s">
        <v>164</v>
      </c>
      <c r="J109" t="s">
        <v>144</v>
      </c>
      <c r="K109" t="s">
        <v>777</v>
      </c>
      <c r="L109" t="s">
        <v>131</v>
      </c>
      <c r="M109" t="s">
        <v>783</v>
      </c>
      <c r="N109" s="5" t="s">
        <v>784</v>
      </c>
      <c r="O109" t="s">
        <v>91</v>
      </c>
      <c r="P109" t="s">
        <v>785</v>
      </c>
      <c r="Q109" t="s">
        <v>21</v>
      </c>
      <c r="R109" s="1">
        <v>45996</v>
      </c>
      <c r="S109">
        <v>2</v>
      </c>
      <c r="T109">
        <v>50</v>
      </c>
      <c r="U109" s="9">
        <f>Tabla13[[#This Row],[USD]]</f>
        <v>50</v>
      </c>
    </row>
    <row r="110" spans="1:21" ht="15" customHeight="1" x14ac:dyDescent="0.2">
      <c r="A110">
        <v>102252</v>
      </c>
      <c r="B110" t="s">
        <v>3</v>
      </c>
      <c r="C110" s="2" t="s">
        <v>936</v>
      </c>
      <c r="D110" t="s">
        <v>109</v>
      </c>
      <c r="H110" t="s">
        <v>163</v>
      </c>
      <c r="I110" t="s">
        <v>164</v>
      </c>
      <c r="J110" t="s">
        <v>144</v>
      </c>
      <c r="K110" t="s">
        <v>871</v>
      </c>
      <c r="L110" t="s">
        <v>97</v>
      </c>
      <c r="M110" t="s">
        <v>937</v>
      </c>
      <c r="N110" s="5" t="s">
        <v>938</v>
      </c>
      <c r="O110" t="s">
        <v>91</v>
      </c>
      <c r="P110" t="s">
        <v>939</v>
      </c>
      <c r="Q110" t="s">
        <v>21</v>
      </c>
      <c r="R110" s="1">
        <v>45992</v>
      </c>
      <c r="S110">
        <v>2</v>
      </c>
      <c r="T110">
        <v>50</v>
      </c>
      <c r="U110" s="9">
        <f>Tabla13[[#This Row],[USD]]</f>
        <v>50</v>
      </c>
    </row>
    <row r="111" spans="1:21" ht="15" customHeight="1" x14ac:dyDescent="0.2">
      <c r="A111">
        <v>105226</v>
      </c>
      <c r="B111" t="s">
        <v>13</v>
      </c>
      <c r="C111" t="s">
        <v>150</v>
      </c>
      <c r="D111" t="s">
        <v>86</v>
      </c>
      <c r="H111" t="s">
        <v>101</v>
      </c>
      <c r="I111" t="s">
        <v>102</v>
      </c>
      <c r="J111" t="s">
        <v>144</v>
      </c>
      <c r="K111" t="s">
        <v>145</v>
      </c>
      <c r="L111" t="s">
        <v>97</v>
      </c>
      <c r="M111" t="s">
        <v>151</v>
      </c>
      <c r="N111" s="2" t="s">
        <v>152</v>
      </c>
      <c r="O111" t="s">
        <v>91</v>
      </c>
      <c r="P111" t="s">
        <v>153</v>
      </c>
      <c r="Q111" t="s">
        <v>14</v>
      </c>
      <c r="R111" s="1">
        <v>46017</v>
      </c>
      <c r="S111">
        <v>3</v>
      </c>
      <c r="T111">
        <v>75</v>
      </c>
      <c r="U111" s="9">
        <f>Tabla13[[#This Row],[USD]]</f>
        <v>75</v>
      </c>
    </row>
    <row r="112" spans="1:21" ht="15" customHeight="1" x14ac:dyDescent="0.2">
      <c r="A112">
        <v>104968</v>
      </c>
      <c r="B112" t="s">
        <v>2</v>
      </c>
      <c r="C112" t="s">
        <v>213</v>
      </c>
      <c r="D112" t="s">
        <v>86</v>
      </c>
      <c r="H112" t="s">
        <v>101</v>
      </c>
      <c r="I112" t="s">
        <v>102</v>
      </c>
      <c r="J112" t="s">
        <v>144</v>
      </c>
      <c r="K112" t="s">
        <v>187</v>
      </c>
      <c r="L112" t="s">
        <v>97</v>
      </c>
      <c r="M112" t="s">
        <v>214</v>
      </c>
      <c r="N112" s="2" t="s">
        <v>215</v>
      </c>
      <c r="O112" t="s">
        <v>91</v>
      </c>
      <c r="P112" t="s">
        <v>216</v>
      </c>
      <c r="Q112" t="s">
        <v>14</v>
      </c>
      <c r="R112" s="1">
        <v>46014</v>
      </c>
      <c r="S112">
        <v>2</v>
      </c>
      <c r="T112">
        <v>50</v>
      </c>
      <c r="U112" s="9">
        <f>Tabla13[[#This Row],[USD]]</f>
        <v>50</v>
      </c>
    </row>
    <row r="113" spans="1:21" ht="15" customHeight="1" x14ac:dyDescent="0.2">
      <c r="A113">
        <v>104844</v>
      </c>
      <c r="B113" t="s">
        <v>2</v>
      </c>
      <c r="C113" t="s">
        <v>225</v>
      </c>
      <c r="D113" t="s">
        <v>86</v>
      </c>
      <c r="H113" t="s">
        <v>101</v>
      </c>
      <c r="I113" t="s">
        <v>102</v>
      </c>
      <c r="J113" t="s">
        <v>144</v>
      </c>
      <c r="K113" t="s">
        <v>222</v>
      </c>
      <c r="L113" t="s">
        <v>131</v>
      </c>
      <c r="M113" t="s">
        <v>226</v>
      </c>
      <c r="N113" s="2" t="s">
        <v>227</v>
      </c>
      <c r="O113" t="s">
        <v>91</v>
      </c>
      <c r="P113" t="s">
        <v>228</v>
      </c>
      <c r="Q113" t="s">
        <v>14</v>
      </c>
      <c r="R113" s="1">
        <v>46013</v>
      </c>
      <c r="S113">
        <v>3</v>
      </c>
      <c r="T113">
        <v>75</v>
      </c>
      <c r="U113" s="9">
        <f>Tabla13[[#This Row],[USD]]</f>
        <v>75</v>
      </c>
    </row>
    <row r="114" spans="1:21" ht="15" customHeight="1" x14ac:dyDescent="0.2">
      <c r="A114">
        <v>104482</v>
      </c>
      <c r="B114" t="s">
        <v>2</v>
      </c>
      <c r="C114" t="s">
        <v>297</v>
      </c>
      <c r="D114" t="s">
        <v>86</v>
      </c>
      <c r="H114" t="s">
        <v>101</v>
      </c>
      <c r="I114" t="s">
        <v>102</v>
      </c>
      <c r="J114" t="s">
        <v>144</v>
      </c>
      <c r="K114" t="s">
        <v>284</v>
      </c>
      <c r="L114" t="s">
        <v>103</v>
      </c>
      <c r="M114" t="s">
        <v>298</v>
      </c>
      <c r="N114" s="2" t="s">
        <v>299</v>
      </c>
      <c r="O114" t="s">
        <v>91</v>
      </c>
      <c r="P114" t="s">
        <v>300</v>
      </c>
      <c r="Q114" t="s">
        <v>14</v>
      </c>
      <c r="R114" s="1">
        <v>46010</v>
      </c>
      <c r="S114">
        <v>3</v>
      </c>
      <c r="T114">
        <v>75</v>
      </c>
      <c r="U114" s="9">
        <f>Tabla13[[#This Row],[USD]]</f>
        <v>75</v>
      </c>
    </row>
    <row r="115" spans="1:21" ht="15" customHeight="1" x14ac:dyDescent="0.2">
      <c r="A115">
        <v>104364</v>
      </c>
      <c r="B115" t="s">
        <v>2</v>
      </c>
      <c r="C115" s="2" t="s">
        <v>333</v>
      </c>
      <c r="D115" t="s">
        <v>86</v>
      </c>
      <c r="H115" t="s">
        <v>101</v>
      </c>
      <c r="I115" t="s">
        <v>102</v>
      </c>
      <c r="J115" t="s">
        <v>144</v>
      </c>
      <c r="K115" t="s">
        <v>311</v>
      </c>
      <c r="L115" t="s">
        <v>251</v>
      </c>
      <c r="M115" t="s">
        <v>334</v>
      </c>
      <c r="N115" s="5" t="s">
        <v>335</v>
      </c>
      <c r="O115" t="s">
        <v>91</v>
      </c>
      <c r="P115" t="s">
        <v>336</v>
      </c>
      <c r="Q115" t="s">
        <v>14</v>
      </c>
      <c r="R115" s="1">
        <v>46009</v>
      </c>
      <c r="S115">
        <v>24</v>
      </c>
      <c r="T115">
        <v>600</v>
      </c>
      <c r="U115" s="9">
        <f>Tabla13[[#This Row],[USD]]</f>
        <v>600</v>
      </c>
    </row>
    <row r="116" spans="1:21" ht="15" customHeight="1" x14ac:dyDescent="0.2">
      <c r="A116">
        <v>103843</v>
      </c>
      <c r="B116" t="s">
        <v>2</v>
      </c>
      <c r="C116" t="s">
        <v>486</v>
      </c>
      <c r="D116" t="s">
        <v>86</v>
      </c>
      <c r="H116" t="s">
        <v>101</v>
      </c>
      <c r="I116" t="s">
        <v>102</v>
      </c>
      <c r="J116" t="s">
        <v>144</v>
      </c>
      <c r="K116" t="s">
        <v>435</v>
      </c>
      <c r="L116" t="s">
        <v>103</v>
      </c>
      <c r="M116" t="s">
        <v>487</v>
      </c>
      <c r="N116" s="2" t="s">
        <v>488</v>
      </c>
      <c r="O116" t="s">
        <v>91</v>
      </c>
      <c r="P116" t="s">
        <v>489</v>
      </c>
      <c r="Q116" t="s">
        <v>14</v>
      </c>
      <c r="R116" s="1">
        <v>46004</v>
      </c>
      <c r="S116">
        <v>3</v>
      </c>
      <c r="T116">
        <v>75</v>
      </c>
      <c r="U116" s="9">
        <f>Tabla13[[#This Row],[USD]]</f>
        <v>75</v>
      </c>
    </row>
    <row r="117" spans="1:21" ht="15" customHeight="1" x14ac:dyDescent="0.2">
      <c r="A117">
        <v>103607</v>
      </c>
      <c r="B117" t="s">
        <v>2</v>
      </c>
      <c r="C117" t="s">
        <v>553</v>
      </c>
      <c r="D117" t="s">
        <v>86</v>
      </c>
      <c r="H117" t="s">
        <v>101</v>
      </c>
      <c r="I117" t="s">
        <v>102</v>
      </c>
      <c r="J117" t="s">
        <v>144</v>
      </c>
      <c r="K117" t="s">
        <v>550</v>
      </c>
      <c r="L117" t="s">
        <v>131</v>
      </c>
      <c r="M117" t="s">
        <v>554</v>
      </c>
      <c r="N117" t="s">
        <v>555</v>
      </c>
      <c r="O117" t="s">
        <v>91</v>
      </c>
      <c r="P117" t="s">
        <v>556</v>
      </c>
      <c r="Q117" t="s">
        <v>14</v>
      </c>
      <c r="R117" s="1">
        <v>46003</v>
      </c>
      <c r="S117">
        <v>3</v>
      </c>
      <c r="T117">
        <v>75</v>
      </c>
      <c r="U117" s="9">
        <f>Tabla13[[#This Row],[USD]]</f>
        <v>75</v>
      </c>
    </row>
    <row r="118" spans="1:21" ht="15" customHeight="1" x14ac:dyDescent="0.2">
      <c r="A118">
        <v>103567</v>
      </c>
      <c r="B118" t="s">
        <v>9</v>
      </c>
      <c r="C118" t="s">
        <v>573</v>
      </c>
      <c r="D118" t="s">
        <v>86</v>
      </c>
      <c r="H118" t="s">
        <v>101</v>
      </c>
      <c r="I118" t="s">
        <v>102</v>
      </c>
      <c r="J118" t="s">
        <v>144</v>
      </c>
      <c r="K118" t="s">
        <v>504</v>
      </c>
      <c r="L118" t="s">
        <v>251</v>
      </c>
      <c r="M118" t="s">
        <v>574</v>
      </c>
      <c r="N118" s="2" t="s">
        <v>575</v>
      </c>
      <c r="O118" t="s">
        <v>91</v>
      </c>
      <c r="P118" t="s">
        <v>576</v>
      </c>
      <c r="Q118" t="s">
        <v>14</v>
      </c>
      <c r="R118" s="1">
        <v>46002</v>
      </c>
      <c r="S118">
        <v>0</v>
      </c>
      <c r="T118">
        <v>0</v>
      </c>
      <c r="U118" s="9">
        <f>Tabla13[[#This Row],[USD]]</f>
        <v>0</v>
      </c>
    </row>
    <row r="119" spans="1:21" ht="15" customHeight="1" x14ac:dyDescent="0.2">
      <c r="A119">
        <v>103383</v>
      </c>
      <c r="B119" t="s">
        <v>2</v>
      </c>
      <c r="C119" s="2" t="s">
        <v>648</v>
      </c>
      <c r="D119" t="s">
        <v>86</v>
      </c>
      <c r="H119" t="s">
        <v>101</v>
      </c>
      <c r="I119" t="s">
        <v>102</v>
      </c>
      <c r="J119" t="s">
        <v>144</v>
      </c>
      <c r="K119" t="s">
        <v>598</v>
      </c>
      <c r="L119" t="s">
        <v>131</v>
      </c>
      <c r="M119" t="s">
        <v>649</v>
      </c>
      <c r="N119" s="2" t="s">
        <v>650</v>
      </c>
      <c r="O119" t="s">
        <v>91</v>
      </c>
      <c r="P119" t="s">
        <v>651</v>
      </c>
      <c r="Q119" t="s">
        <v>14</v>
      </c>
      <c r="R119" s="1">
        <v>46001</v>
      </c>
      <c r="S119">
        <v>3</v>
      </c>
      <c r="T119">
        <v>75</v>
      </c>
      <c r="U119" s="9">
        <f>Tabla13[[#This Row],[USD]]</f>
        <v>75</v>
      </c>
    </row>
    <row r="120" spans="1:21" ht="15" customHeight="1" x14ac:dyDescent="0.2">
      <c r="A120">
        <v>102989</v>
      </c>
      <c r="B120" t="s">
        <v>3</v>
      </c>
      <c r="C120" t="s">
        <v>721</v>
      </c>
      <c r="D120" t="s">
        <v>109</v>
      </c>
      <c r="H120" t="s">
        <v>101</v>
      </c>
      <c r="I120" t="s">
        <v>102</v>
      </c>
      <c r="J120" t="s">
        <v>144</v>
      </c>
      <c r="K120" t="s">
        <v>723</v>
      </c>
      <c r="L120" t="s">
        <v>131</v>
      </c>
      <c r="M120" t="s">
        <v>722</v>
      </c>
      <c r="N120" s="2" t="s">
        <v>724</v>
      </c>
      <c r="O120" t="s">
        <v>91</v>
      </c>
      <c r="P120" t="s">
        <v>725</v>
      </c>
      <c r="Q120" t="s">
        <v>14</v>
      </c>
      <c r="R120" s="1">
        <v>45998</v>
      </c>
      <c r="S120">
        <v>3</v>
      </c>
      <c r="T120">
        <v>75</v>
      </c>
      <c r="U120" s="9">
        <f>Tabla13[[#This Row],[USD]]</f>
        <v>75</v>
      </c>
    </row>
    <row r="121" spans="1:21" ht="15" customHeight="1" x14ac:dyDescent="0.2">
      <c r="A121">
        <v>102908</v>
      </c>
      <c r="B121" t="s">
        <v>8</v>
      </c>
      <c r="C121" s="2" t="s">
        <v>747</v>
      </c>
      <c r="D121" t="s">
        <v>86</v>
      </c>
      <c r="H121" t="s">
        <v>101</v>
      </c>
      <c r="I121" t="s">
        <v>102</v>
      </c>
      <c r="J121" t="s">
        <v>144</v>
      </c>
      <c r="K121" t="s">
        <v>435</v>
      </c>
      <c r="L121" t="s">
        <v>231</v>
      </c>
      <c r="M121" t="s">
        <v>748</v>
      </c>
      <c r="N121" t="s">
        <v>749</v>
      </c>
      <c r="O121" t="s">
        <v>91</v>
      </c>
      <c r="P121" t="s">
        <v>750</v>
      </c>
      <c r="Q121" t="s">
        <v>14</v>
      </c>
      <c r="R121" s="1">
        <v>45997</v>
      </c>
      <c r="S121">
        <v>2</v>
      </c>
      <c r="T121">
        <v>50</v>
      </c>
      <c r="U121" s="9">
        <f>Tabla13[[#This Row],[USD]]</f>
        <v>50</v>
      </c>
    </row>
    <row r="122" spans="1:21" ht="15" customHeight="1" x14ac:dyDescent="0.2">
      <c r="A122">
        <v>104180</v>
      </c>
      <c r="B122" t="s">
        <v>7</v>
      </c>
      <c r="C122" t="s">
        <v>396</v>
      </c>
      <c r="D122" t="s">
        <v>86</v>
      </c>
      <c r="H122" t="s">
        <v>397</v>
      </c>
      <c r="I122" t="s">
        <v>398</v>
      </c>
      <c r="J122" t="s">
        <v>144</v>
      </c>
      <c r="K122" t="s">
        <v>383</v>
      </c>
      <c r="L122" t="s">
        <v>97</v>
      </c>
      <c r="M122" t="s">
        <v>399</v>
      </c>
      <c r="N122" s="2" t="s">
        <v>400</v>
      </c>
      <c r="O122" t="s">
        <v>91</v>
      </c>
      <c r="P122" t="s">
        <v>401</v>
      </c>
      <c r="Q122" t="s">
        <v>57</v>
      </c>
      <c r="R122" s="1">
        <v>46007</v>
      </c>
      <c r="S122">
        <v>6</v>
      </c>
      <c r="T122">
        <v>150</v>
      </c>
      <c r="U122" s="9">
        <f>Tabla13[[#This Row],[USD]]</f>
        <v>150</v>
      </c>
    </row>
    <row r="123" spans="1:21" ht="15" customHeight="1" x14ac:dyDescent="0.2">
      <c r="A123">
        <v>102446</v>
      </c>
      <c r="B123" t="s">
        <v>16</v>
      </c>
      <c r="C123" t="s">
        <v>854</v>
      </c>
      <c r="D123" t="s">
        <v>93</v>
      </c>
      <c r="H123" t="s">
        <v>855</v>
      </c>
      <c r="I123" t="s">
        <v>856</v>
      </c>
      <c r="J123" t="s">
        <v>144</v>
      </c>
      <c r="K123" t="s">
        <v>816</v>
      </c>
      <c r="L123" t="s">
        <v>251</v>
      </c>
      <c r="M123" t="s">
        <v>857</v>
      </c>
      <c r="N123" s="2" t="s">
        <v>858</v>
      </c>
      <c r="O123" t="s">
        <v>91</v>
      </c>
      <c r="P123" t="s">
        <v>859</v>
      </c>
      <c r="Q123" t="s">
        <v>60</v>
      </c>
      <c r="R123" s="1">
        <v>45993</v>
      </c>
      <c r="S123">
        <v>0</v>
      </c>
      <c r="T123">
        <v>0</v>
      </c>
      <c r="U123" s="9">
        <f>Tabla13[[#This Row],[USD]]</f>
        <v>0</v>
      </c>
    </row>
    <row r="124" spans="1:21" ht="15" customHeight="1" x14ac:dyDescent="0.2">
      <c r="A124">
        <v>105851</v>
      </c>
      <c r="B124" t="s">
        <v>1</v>
      </c>
      <c r="C124" t="s">
        <v>108</v>
      </c>
      <c r="D124" t="s">
        <v>109</v>
      </c>
      <c r="H124" t="s">
        <v>110</v>
      </c>
      <c r="I124" t="s">
        <v>111</v>
      </c>
      <c r="J124" s="3" t="s">
        <v>144</v>
      </c>
      <c r="K124" t="s">
        <v>112</v>
      </c>
      <c r="M124" t="s">
        <v>90</v>
      </c>
      <c r="O124" t="s">
        <v>91</v>
      </c>
      <c r="P124" t="s">
        <v>113</v>
      </c>
      <c r="Q124" t="s">
        <v>36</v>
      </c>
      <c r="R124" s="1">
        <v>46021</v>
      </c>
      <c r="S124">
        <v>0</v>
      </c>
      <c r="T124">
        <v>0</v>
      </c>
      <c r="U124" s="9">
        <f>Tabla13[[#This Row],[USD]]</f>
        <v>0</v>
      </c>
    </row>
    <row r="125" spans="1:21" ht="15" customHeight="1" x14ac:dyDescent="0.2">
      <c r="A125">
        <v>103269</v>
      </c>
      <c r="B125" t="s">
        <v>4</v>
      </c>
      <c r="C125" t="s">
        <v>669</v>
      </c>
      <c r="D125" t="s">
        <v>86</v>
      </c>
      <c r="H125" t="s">
        <v>110</v>
      </c>
      <c r="I125" t="s">
        <v>111</v>
      </c>
      <c r="J125" t="s">
        <v>144</v>
      </c>
      <c r="K125" t="s">
        <v>550</v>
      </c>
      <c r="L125" t="s">
        <v>251</v>
      </c>
      <c r="M125" t="s">
        <v>670</v>
      </c>
      <c r="N125" t="s">
        <v>671</v>
      </c>
      <c r="O125" t="s">
        <v>91</v>
      </c>
      <c r="P125" t="s">
        <v>672</v>
      </c>
      <c r="Q125" t="s">
        <v>36</v>
      </c>
      <c r="R125" s="1">
        <v>46000</v>
      </c>
      <c r="S125">
        <v>4</v>
      </c>
      <c r="T125">
        <v>100</v>
      </c>
      <c r="U125" s="9">
        <f>Tabla13[[#This Row],[USD]]</f>
        <v>100</v>
      </c>
    </row>
    <row r="126" spans="1:21" ht="15" customHeight="1" x14ac:dyDescent="0.2">
      <c r="A126">
        <v>102537</v>
      </c>
      <c r="B126" t="s">
        <v>3</v>
      </c>
      <c r="C126" t="s">
        <v>837</v>
      </c>
      <c r="D126" t="s">
        <v>109</v>
      </c>
      <c r="H126" t="s">
        <v>110</v>
      </c>
      <c r="I126" t="s">
        <v>111</v>
      </c>
      <c r="J126" t="s">
        <v>144</v>
      </c>
      <c r="K126" t="s">
        <v>816</v>
      </c>
      <c r="L126" t="s">
        <v>251</v>
      </c>
      <c r="M126" t="s">
        <v>838</v>
      </c>
      <c r="N126" t="s">
        <v>839</v>
      </c>
      <c r="O126" t="s">
        <v>91</v>
      </c>
      <c r="P126" t="s">
        <v>840</v>
      </c>
      <c r="Q126" t="s">
        <v>36</v>
      </c>
      <c r="R126" s="1">
        <v>45994</v>
      </c>
      <c r="S126">
        <v>4</v>
      </c>
      <c r="T126">
        <v>100</v>
      </c>
      <c r="U126" s="9">
        <f>Tabla13[[#This Row],[USD]]</f>
        <v>100</v>
      </c>
    </row>
    <row r="127" spans="1:21" ht="15" customHeight="1" x14ac:dyDescent="0.2">
      <c r="A127">
        <v>102260</v>
      </c>
      <c r="B127" t="s">
        <v>3</v>
      </c>
      <c r="C127" t="s">
        <v>930</v>
      </c>
      <c r="D127" t="s">
        <v>109</v>
      </c>
      <c r="H127" t="s">
        <v>110</v>
      </c>
      <c r="I127" t="s">
        <v>111</v>
      </c>
      <c r="J127" t="s">
        <v>144</v>
      </c>
      <c r="K127" t="s">
        <v>843</v>
      </c>
      <c r="L127" t="s">
        <v>103</v>
      </c>
      <c r="M127" t="s">
        <v>931</v>
      </c>
      <c r="N127" t="s">
        <v>693</v>
      </c>
      <c r="O127" t="s">
        <v>91</v>
      </c>
      <c r="P127" t="s">
        <v>932</v>
      </c>
      <c r="Q127" t="s">
        <v>36</v>
      </c>
      <c r="R127" s="1">
        <v>45992</v>
      </c>
      <c r="S127">
        <v>0</v>
      </c>
      <c r="T127">
        <v>0</v>
      </c>
      <c r="U127" s="9">
        <f>Tabla13[[#This Row],[USD]]</f>
        <v>0</v>
      </c>
    </row>
    <row r="128" spans="1:21" ht="15" customHeight="1" x14ac:dyDescent="0.2">
      <c r="A128">
        <v>102259</v>
      </c>
      <c r="B128" t="s">
        <v>3</v>
      </c>
      <c r="C128" t="s">
        <v>933</v>
      </c>
      <c r="D128" t="s">
        <v>109</v>
      </c>
      <c r="H128" t="s">
        <v>110</v>
      </c>
      <c r="I128" t="s">
        <v>111</v>
      </c>
      <c r="J128" t="s">
        <v>144</v>
      </c>
      <c r="K128" t="s">
        <v>816</v>
      </c>
      <c r="L128" t="s">
        <v>103</v>
      </c>
      <c r="M128" t="s">
        <v>934</v>
      </c>
      <c r="N128" t="s">
        <v>693</v>
      </c>
      <c r="O128" t="s">
        <v>91</v>
      </c>
      <c r="P128" t="s">
        <v>935</v>
      </c>
      <c r="Q128" t="s">
        <v>36</v>
      </c>
      <c r="R128" s="1">
        <v>45992</v>
      </c>
      <c r="S128">
        <v>0</v>
      </c>
      <c r="T128">
        <v>0</v>
      </c>
      <c r="U128" s="9">
        <f>Tabla13[[#This Row],[USD]]</f>
        <v>0</v>
      </c>
    </row>
    <row r="129" spans="1:21" ht="15" customHeight="1" x14ac:dyDescent="0.2">
      <c r="A129">
        <v>105849</v>
      </c>
      <c r="B129" t="s">
        <v>1</v>
      </c>
      <c r="C129" t="s">
        <v>114</v>
      </c>
      <c r="D129" t="s">
        <v>109</v>
      </c>
      <c r="H129" t="s">
        <v>115</v>
      </c>
      <c r="I129" t="s">
        <v>116</v>
      </c>
      <c r="J129" s="3" t="s">
        <v>144</v>
      </c>
      <c r="K129" t="s">
        <v>117</v>
      </c>
      <c r="M129" t="s">
        <v>90</v>
      </c>
      <c r="O129" t="s">
        <v>91</v>
      </c>
      <c r="P129" t="s">
        <v>118</v>
      </c>
      <c r="Q129" t="s">
        <v>48</v>
      </c>
      <c r="R129" s="1">
        <v>46021</v>
      </c>
      <c r="S129">
        <v>3</v>
      </c>
      <c r="T129">
        <v>75</v>
      </c>
      <c r="U129" s="9">
        <f>Tabla13[[#This Row],[USD]]</f>
        <v>75</v>
      </c>
    </row>
    <row r="130" spans="1:21" ht="15" customHeight="1" x14ac:dyDescent="0.2">
      <c r="A130">
        <v>103958</v>
      </c>
      <c r="B130" t="s">
        <v>3</v>
      </c>
      <c r="C130" t="s">
        <v>446</v>
      </c>
      <c r="D130" t="s">
        <v>109</v>
      </c>
      <c r="H130" t="s">
        <v>115</v>
      </c>
      <c r="I130" t="s">
        <v>116</v>
      </c>
      <c r="J130" t="s">
        <v>144</v>
      </c>
      <c r="K130" t="s">
        <v>364</v>
      </c>
      <c r="L130" t="s">
        <v>231</v>
      </c>
      <c r="M130" t="s">
        <v>447</v>
      </c>
      <c r="N130" t="s">
        <v>448</v>
      </c>
      <c r="O130" t="s">
        <v>91</v>
      </c>
      <c r="P130" t="s">
        <v>449</v>
      </c>
      <c r="Q130" t="s">
        <v>48</v>
      </c>
      <c r="R130" s="1">
        <v>46005</v>
      </c>
      <c r="S130">
        <v>4</v>
      </c>
      <c r="T130">
        <v>100</v>
      </c>
      <c r="U130" s="9">
        <f>Tabla13[[#This Row],[USD]]</f>
        <v>100</v>
      </c>
    </row>
    <row r="131" spans="1:21" ht="15" customHeight="1" x14ac:dyDescent="0.2">
      <c r="A131">
        <v>102302</v>
      </c>
      <c r="B131" t="s">
        <v>3</v>
      </c>
      <c r="C131" t="s">
        <v>897</v>
      </c>
      <c r="D131" t="s">
        <v>109</v>
      </c>
      <c r="H131" t="s">
        <v>115</v>
      </c>
      <c r="I131" t="s">
        <v>116</v>
      </c>
      <c r="J131" t="s">
        <v>144</v>
      </c>
      <c r="K131" t="s">
        <v>816</v>
      </c>
      <c r="L131" t="s">
        <v>251</v>
      </c>
      <c r="M131" t="s">
        <v>898</v>
      </c>
      <c r="N131" t="s">
        <v>839</v>
      </c>
      <c r="O131" t="s">
        <v>91</v>
      </c>
      <c r="P131" t="s">
        <v>899</v>
      </c>
      <c r="Q131" t="s">
        <v>48</v>
      </c>
      <c r="R131" s="1">
        <v>45992</v>
      </c>
      <c r="S131">
        <v>3</v>
      </c>
      <c r="T131">
        <v>75</v>
      </c>
      <c r="U131" s="9">
        <f>Tabla13[[#This Row],[USD]]</f>
        <v>75</v>
      </c>
    </row>
    <row r="132" spans="1:21" ht="15" customHeight="1" x14ac:dyDescent="0.2">
      <c r="A132">
        <v>102319</v>
      </c>
      <c r="B132" t="s">
        <v>1</v>
      </c>
      <c r="C132" t="s">
        <v>882</v>
      </c>
      <c r="D132" t="s">
        <v>109</v>
      </c>
      <c r="E132" t="s">
        <v>883</v>
      </c>
      <c r="F132" t="s">
        <v>103</v>
      </c>
      <c r="G132" t="s">
        <v>884</v>
      </c>
      <c r="H132" t="s">
        <v>885</v>
      </c>
      <c r="I132" t="s">
        <v>886</v>
      </c>
      <c r="J132" t="s">
        <v>144</v>
      </c>
      <c r="K132" t="s">
        <v>816</v>
      </c>
      <c r="L132" t="s">
        <v>251</v>
      </c>
      <c r="M132" t="s">
        <v>887</v>
      </c>
      <c r="N132" t="s">
        <v>888</v>
      </c>
      <c r="O132" t="s">
        <v>91</v>
      </c>
      <c r="P132" t="s">
        <v>889</v>
      </c>
      <c r="Q132" t="s">
        <v>58</v>
      </c>
      <c r="R132" s="1">
        <v>45992</v>
      </c>
      <c r="S132">
        <v>3</v>
      </c>
      <c r="T132">
        <v>75</v>
      </c>
      <c r="U132" s="9">
        <f>Tabla13[[#This Row],[USD]]</f>
        <v>75</v>
      </c>
    </row>
    <row r="133" spans="1:21" ht="15" customHeight="1" x14ac:dyDescent="0.2">
      <c r="A133">
        <v>104343</v>
      </c>
      <c r="B133" t="s">
        <v>8</v>
      </c>
      <c r="C133" t="s">
        <v>347</v>
      </c>
      <c r="D133" t="s">
        <v>86</v>
      </c>
      <c r="H133" t="s">
        <v>348</v>
      </c>
      <c r="I133" t="s">
        <v>349</v>
      </c>
      <c r="J133" t="s">
        <v>144</v>
      </c>
      <c r="K133" t="s">
        <v>311</v>
      </c>
      <c r="L133" t="s">
        <v>251</v>
      </c>
      <c r="M133" t="s">
        <v>350</v>
      </c>
      <c r="N133" s="2" t="s">
        <v>351</v>
      </c>
      <c r="O133" t="s">
        <v>91</v>
      </c>
      <c r="P133" t="s">
        <v>352</v>
      </c>
      <c r="Q133" t="s">
        <v>42</v>
      </c>
      <c r="R133" s="1">
        <v>46009</v>
      </c>
      <c r="S133">
        <v>0</v>
      </c>
      <c r="T133">
        <v>0</v>
      </c>
      <c r="U133" s="9">
        <f>Tabla13[[#This Row],[USD]]</f>
        <v>0</v>
      </c>
    </row>
    <row r="134" spans="1:21" ht="15" customHeight="1" x14ac:dyDescent="0.2">
      <c r="A134">
        <v>103250</v>
      </c>
      <c r="B134" t="s">
        <v>9</v>
      </c>
      <c r="C134" s="2" t="s">
        <v>682</v>
      </c>
      <c r="D134" t="s">
        <v>86</v>
      </c>
      <c r="H134" t="s">
        <v>348</v>
      </c>
      <c r="I134" t="s">
        <v>349</v>
      </c>
      <c r="J134" t="s">
        <v>144</v>
      </c>
      <c r="K134" t="s">
        <v>686</v>
      </c>
      <c r="L134" t="s">
        <v>97</v>
      </c>
      <c r="M134" t="s">
        <v>683</v>
      </c>
      <c r="N134" s="2" t="s">
        <v>684</v>
      </c>
      <c r="O134" t="s">
        <v>91</v>
      </c>
      <c r="P134" t="s">
        <v>685</v>
      </c>
      <c r="Q134" t="s">
        <v>42</v>
      </c>
      <c r="R134" s="1">
        <v>46000</v>
      </c>
      <c r="S134">
        <v>6</v>
      </c>
      <c r="T134">
        <v>150</v>
      </c>
      <c r="U134" s="9">
        <f>Tabla13[[#This Row],[USD]]</f>
        <v>150</v>
      </c>
    </row>
    <row r="135" spans="1:21" ht="15" customHeight="1" x14ac:dyDescent="0.2">
      <c r="A135">
        <v>102326</v>
      </c>
      <c r="B135" t="s">
        <v>19</v>
      </c>
      <c r="C135" s="2" t="s">
        <v>876</v>
      </c>
      <c r="D135" t="s">
        <v>86</v>
      </c>
      <c r="E135" s="2" t="s">
        <v>877</v>
      </c>
      <c r="F135" t="s">
        <v>251</v>
      </c>
      <c r="G135" t="s">
        <v>878</v>
      </c>
      <c r="H135" t="s">
        <v>348</v>
      </c>
      <c r="I135" t="s">
        <v>349</v>
      </c>
      <c r="J135" t="s">
        <v>144</v>
      </c>
      <c r="K135" t="s">
        <v>723</v>
      </c>
      <c r="L135" t="s">
        <v>97</v>
      </c>
      <c r="M135" t="s">
        <v>879</v>
      </c>
      <c r="N135" s="2" t="s">
        <v>880</v>
      </c>
      <c r="O135" t="s">
        <v>91</v>
      </c>
      <c r="P135" t="s">
        <v>881</v>
      </c>
      <c r="Q135" t="s">
        <v>42</v>
      </c>
      <c r="R135" s="1">
        <v>45992</v>
      </c>
      <c r="S135">
        <v>6</v>
      </c>
      <c r="T135">
        <v>150</v>
      </c>
      <c r="U135" s="9">
        <f>Tabla13[[#This Row],[USD]]</f>
        <v>150</v>
      </c>
    </row>
    <row r="136" spans="1:21" ht="15" customHeight="1" x14ac:dyDescent="0.2">
      <c r="A136">
        <v>105002</v>
      </c>
      <c r="B136" t="s">
        <v>2</v>
      </c>
      <c r="C136" t="s">
        <v>202</v>
      </c>
      <c r="D136" t="s">
        <v>86</v>
      </c>
      <c r="H136" t="s">
        <v>127</v>
      </c>
      <c r="I136" t="s">
        <v>128</v>
      </c>
      <c r="J136" t="s">
        <v>144</v>
      </c>
      <c r="K136" t="s">
        <v>171</v>
      </c>
      <c r="L136" t="s">
        <v>119</v>
      </c>
      <c r="M136" t="s">
        <v>203</v>
      </c>
      <c r="N136" s="2" t="s">
        <v>204</v>
      </c>
      <c r="O136" t="s">
        <v>91</v>
      </c>
      <c r="P136" t="s">
        <v>205</v>
      </c>
      <c r="Q136" t="s">
        <v>34</v>
      </c>
      <c r="R136" s="1">
        <v>46014</v>
      </c>
      <c r="S136">
        <v>4</v>
      </c>
      <c r="T136">
        <v>100</v>
      </c>
      <c r="U136" s="9">
        <f>Tabla13[[#This Row],[USD]]</f>
        <v>100</v>
      </c>
    </row>
    <row r="137" spans="1:21" ht="15" customHeight="1" x14ac:dyDescent="0.2">
      <c r="A137">
        <v>104352</v>
      </c>
      <c r="B137" t="s">
        <v>2</v>
      </c>
      <c r="C137" t="s">
        <v>340</v>
      </c>
      <c r="D137" t="s">
        <v>86</v>
      </c>
      <c r="E137" t="s">
        <v>341</v>
      </c>
      <c r="F137" t="s">
        <v>342</v>
      </c>
      <c r="G137" t="s">
        <v>343</v>
      </c>
      <c r="H137" t="s">
        <v>127</v>
      </c>
      <c r="I137" t="s">
        <v>128</v>
      </c>
      <c r="J137" t="s">
        <v>144</v>
      </c>
      <c r="K137" t="s">
        <v>284</v>
      </c>
      <c r="L137" t="s">
        <v>251</v>
      </c>
      <c r="M137" t="s">
        <v>344</v>
      </c>
      <c r="N137" s="2" t="s">
        <v>345</v>
      </c>
      <c r="O137" t="s">
        <v>91</v>
      </c>
      <c r="P137" t="s">
        <v>346</v>
      </c>
      <c r="Q137" t="s">
        <v>34</v>
      </c>
      <c r="R137" s="1">
        <v>46009</v>
      </c>
      <c r="S137">
        <v>3</v>
      </c>
      <c r="T137">
        <v>75</v>
      </c>
      <c r="U137" s="9">
        <f>Tabla13[[#This Row],[USD]]</f>
        <v>75</v>
      </c>
    </row>
    <row r="138" spans="1:21" ht="15" customHeight="1" x14ac:dyDescent="0.2">
      <c r="A138">
        <v>102624</v>
      </c>
      <c r="B138" t="s">
        <v>9</v>
      </c>
      <c r="C138" t="s">
        <v>831</v>
      </c>
      <c r="D138" t="s">
        <v>86</v>
      </c>
      <c r="E138" t="s">
        <v>832</v>
      </c>
      <c r="F138" t="s">
        <v>342</v>
      </c>
      <c r="G138" t="s">
        <v>833</v>
      </c>
      <c r="H138" t="s">
        <v>127</v>
      </c>
      <c r="I138" t="s">
        <v>128</v>
      </c>
      <c r="J138" t="s">
        <v>144</v>
      </c>
      <c r="K138" t="s">
        <v>777</v>
      </c>
      <c r="L138" s="3" t="s">
        <v>251</v>
      </c>
      <c r="M138" t="s">
        <v>834</v>
      </c>
      <c r="N138" s="5" t="s">
        <v>835</v>
      </c>
      <c r="O138" t="s">
        <v>91</v>
      </c>
      <c r="P138" t="s">
        <v>836</v>
      </c>
      <c r="Q138" t="s">
        <v>34</v>
      </c>
      <c r="R138" s="1">
        <v>45995</v>
      </c>
      <c r="S138">
        <v>3</v>
      </c>
      <c r="T138">
        <v>75</v>
      </c>
      <c r="U138" s="9">
        <f>Tabla13[[#This Row],[USD]]</f>
        <v>75</v>
      </c>
    </row>
    <row r="139" spans="1:21" ht="15" customHeight="1" x14ac:dyDescent="0.2">
      <c r="A139">
        <v>102263</v>
      </c>
      <c r="B139" t="s">
        <v>2</v>
      </c>
      <c r="C139" t="s">
        <v>926</v>
      </c>
      <c r="D139" t="s">
        <v>86</v>
      </c>
      <c r="H139" t="s">
        <v>127</v>
      </c>
      <c r="I139" t="s">
        <v>128</v>
      </c>
      <c r="J139" t="s">
        <v>144</v>
      </c>
      <c r="K139" t="s">
        <v>909</v>
      </c>
      <c r="L139" t="s">
        <v>251</v>
      </c>
      <c r="M139" t="s">
        <v>927</v>
      </c>
      <c r="N139" s="5" t="s">
        <v>928</v>
      </c>
      <c r="O139" t="s">
        <v>91</v>
      </c>
      <c r="P139" t="s">
        <v>929</v>
      </c>
      <c r="Q139" t="s">
        <v>34</v>
      </c>
      <c r="R139" s="1">
        <v>45992</v>
      </c>
      <c r="S139">
        <v>3</v>
      </c>
      <c r="T139">
        <v>75</v>
      </c>
      <c r="U139" s="9">
        <f>Tabla13[[#This Row],[USD]]</f>
        <v>75</v>
      </c>
    </row>
    <row r="140" spans="1:21" ht="15" customHeight="1" x14ac:dyDescent="0.2">
      <c r="A140">
        <v>104267</v>
      </c>
      <c r="B140" t="s">
        <v>17</v>
      </c>
      <c r="D140" t="s">
        <v>86</v>
      </c>
      <c r="H140" t="s">
        <v>372</v>
      </c>
      <c r="I140" t="s">
        <v>373</v>
      </c>
      <c r="J140" t="s">
        <v>144</v>
      </c>
      <c r="K140" t="s">
        <v>359</v>
      </c>
      <c r="L140" t="s">
        <v>251</v>
      </c>
      <c r="M140" t="s">
        <v>374</v>
      </c>
      <c r="N140" t="s">
        <v>375</v>
      </c>
      <c r="O140" t="s">
        <v>242</v>
      </c>
      <c r="P140" t="s">
        <v>376</v>
      </c>
      <c r="Q140" t="s">
        <v>43</v>
      </c>
      <c r="R140" s="1">
        <v>46008</v>
      </c>
      <c r="S140">
        <v>0</v>
      </c>
      <c r="T140">
        <v>0</v>
      </c>
      <c r="U140" s="9">
        <f>Tabla13[[#This Row],[USD]]</f>
        <v>0</v>
      </c>
    </row>
    <row r="141" spans="1:21" ht="15" customHeight="1" x14ac:dyDescent="0.2">
      <c r="A141">
        <v>103527</v>
      </c>
      <c r="B141" t="s">
        <v>17</v>
      </c>
      <c r="C141" t="s">
        <v>581</v>
      </c>
      <c r="D141" t="s">
        <v>86</v>
      </c>
      <c r="H141" t="s">
        <v>372</v>
      </c>
      <c r="I141" t="s">
        <v>373</v>
      </c>
      <c r="J141" t="s">
        <v>144</v>
      </c>
      <c r="K141" t="s">
        <v>550</v>
      </c>
      <c r="L141" t="s">
        <v>251</v>
      </c>
      <c r="M141" t="s">
        <v>582</v>
      </c>
      <c r="N141" s="5" t="s">
        <v>583</v>
      </c>
      <c r="O141" t="s">
        <v>242</v>
      </c>
      <c r="P141" t="s">
        <v>584</v>
      </c>
      <c r="Q141" t="s">
        <v>43</v>
      </c>
      <c r="R141" s="1">
        <v>46002</v>
      </c>
      <c r="S141">
        <v>3</v>
      </c>
      <c r="T141">
        <v>75</v>
      </c>
      <c r="U141" s="9">
        <f>Tabla13[[#This Row],[USD]]</f>
        <v>75</v>
      </c>
    </row>
    <row r="142" spans="1:21" ht="15" customHeight="1" x14ac:dyDescent="0.2">
      <c r="A142">
        <v>102696</v>
      </c>
      <c r="B142" t="s">
        <v>8</v>
      </c>
      <c r="C142" t="s">
        <v>802</v>
      </c>
      <c r="D142" t="s">
        <v>86</v>
      </c>
      <c r="H142" t="s">
        <v>372</v>
      </c>
      <c r="I142" t="s">
        <v>373</v>
      </c>
      <c r="J142" t="s">
        <v>144</v>
      </c>
      <c r="K142" t="s">
        <v>777</v>
      </c>
      <c r="L142" t="s">
        <v>251</v>
      </c>
      <c r="M142" t="s">
        <v>803</v>
      </c>
      <c r="N142" s="5" t="s">
        <v>804</v>
      </c>
      <c r="O142" t="s">
        <v>242</v>
      </c>
      <c r="P142" t="s">
        <v>805</v>
      </c>
      <c r="Q142" t="s">
        <v>43</v>
      </c>
      <c r="R142" s="1">
        <v>45995</v>
      </c>
      <c r="S142">
        <v>3</v>
      </c>
      <c r="T142">
        <v>75</v>
      </c>
      <c r="U142" s="9">
        <f>Tabla13[[#This Row],[USD]]</f>
        <v>75</v>
      </c>
    </row>
    <row r="143" spans="1:21" ht="15" customHeight="1" x14ac:dyDescent="0.2">
      <c r="A143">
        <v>103513</v>
      </c>
      <c r="B143" t="s">
        <v>2</v>
      </c>
      <c r="C143" t="s">
        <v>589</v>
      </c>
      <c r="D143" t="s">
        <v>86</v>
      </c>
      <c r="E143" t="s">
        <v>590</v>
      </c>
      <c r="F143" t="s">
        <v>100</v>
      </c>
      <c r="G143" t="s">
        <v>591</v>
      </c>
      <c r="H143" t="s">
        <v>592</v>
      </c>
      <c r="I143" t="s">
        <v>593</v>
      </c>
      <c r="J143" t="s">
        <v>144</v>
      </c>
      <c r="K143" t="s">
        <v>504</v>
      </c>
      <c r="L143" t="s">
        <v>100</v>
      </c>
      <c r="M143" t="s">
        <v>594</v>
      </c>
      <c r="N143" s="3" t="s">
        <v>440</v>
      </c>
      <c r="O143" t="s">
        <v>91</v>
      </c>
      <c r="P143" t="s">
        <v>595</v>
      </c>
      <c r="Q143" t="s">
        <v>37</v>
      </c>
      <c r="R143" s="1">
        <v>46002</v>
      </c>
      <c r="S143">
        <v>3</v>
      </c>
      <c r="T143">
        <v>75</v>
      </c>
      <c r="U143" s="9">
        <f>Tabla13[[#This Row],[USD]]</f>
        <v>75</v>
      </c>
    </row>
    <row r="144" spans="1:21" ht="15" customHeight="1" x14ac:dyDescent="0.2">
      <c r="A144">
        <v>102280</v>
      </c>
      <c r="B144" t="s">
        <v>5</v>
      </c>
      <c r="D144" t="s">
        <v>93</v>
      </c>
      <c r="E144" s="2" t="s">
        <v>916</v>
      </c>
      <c r="F144" t="s">
        <v>251</v>
      </c>
      <c r="G144" t="s">
        <v>917</v>
      </c>
      <c r="H144" t="s">
        <v>592</v>
      </c>
      <c r="I144" t="s">
        <v>593</v>
      </c>
      <c r="J144" t="s">
        <v>144</v>
      </c>
      <c r="K144" t="s">
        <v>871</v>
      </c>
      <c r="L144" t="s">
        <v>97</v>
      </c>
      <c r="M144" t="s">
        <v>918</v>
      </c>
      <c r="N144" t="s">
        <v>185</v>
      </c>
      <c r="O144" t="s">
        <v>91</v>
      </c>
      <c r="P144" t="s">
        <v>919</v>
      </c>
      <c r="Q144" t="s">
        <v>37</v>
      </c>
      <c r="R144" s="1">
        <v>45992</v>
      </c>
      <c r="S144">
        <v>0</v>
      </c>
      <c r="T144">
        <v>0</v>
      </c>
      <c r="U144" s="9">
        <f>Tabla13[[#This Row],[USD]]</f>
        <v>0</v>
      </c>
    </row>
    <row r="145" spans="1:21" ht="15" customHeight="1" x14ac:dyDescent="0.2">
      <c r="A145">
        <v>102279</v>
      </c>
      <c r="B145" t="s">
        <v>5</v>
      </c>
      <c r="C145" t="s">
        <v>920</v>
      </c>
      <c r="D145" t="s">
        <v>93</v>
      </c>
      <c r="H145" t="s">
        <v>592</v>
      </c>
      <c r="I145" t="s">
        <v>593</v>
      </c>
      <c r="J145" t="s">
        <v>144</v>
      </c>
      <c r="K145" t="s">
        <v>871</v>
      </c>
      <c r="L145" t="s">
        <v>97</v>
      </c>
      <c r="M145" t="s">
        <v>921</v>
      </c>
      <c r="N145" s="2" t="s">
        <v>922</v>
      </c>
      <c r="O145" t="s">
        <v>91</v>
      </c>
      <c r="P145" t="s">
        <v>923</v>
      </c>
      <c r="Q145" t="s">
        <v>37</v>
      </c>
      <c r="R145" s="1">
        <v>45992</v>
      </c>
      <c r="S145">
        <v>4</v>
      </c>
      <c r="T145">
        <v>100</v>
      </c>
      <c r="U145" s="9">
        <f>Tabla13[[#This Row],[USD]]</f>
        <v>100</v>
      </c>
    </row>
    <row r="146" spans="1:21" ht="15" customHeight="1" x14ac:dyDescent="0.2">
      <c r="A146">
        <v>102274</v>
      </c>
      <c r="B146" t="s">
        <v>5</v>
      </c>
      <c r="D146" t="s">
        <v>93</v>
      </c>
      <c r="H146" t="s">
        <v>592</v>
      </c>
      <c r="I146" t="s">
        <v>593</v>
      </c>
      <c r="J146" t="s">
        <v>144</v>
      </c>
      <c r="K146" t="s">
        <v>871</v>
      </c>
      <c r="L146" t="s">
        <v>97</v>
      </c>
      <c r="M146" t="s">
        <v>924</v>
      </c>
      <c r="N146" t="s">
        <v>185</v>
      </c>
      <c r="O146" t="s">
        <v>91</v>
      </c>
      <c r="P146" t="s">
        <v>925</v>
      </c>
      <c r="Q146" t="s">
        <v>37</v>
      </c>
      <c r="R146" s="1">
        <v>45992</v>
      </c>
      <c r="S146">
        <v>0</v>
      </c>
      <c r="T146">
        <v>0</v>
      </c>
      <c r="U146" s="9">
        <f>Tabla13[[#This Row],[USD]]</f>
        <v>0</v>
      </c>
    </row>
    <row r="147" spans="1:21" ht="15" customHeight="1" x14ac:dyDescent="0.2">
      <c r="A147">
        <v>104684</v>
      </c>
      <c r="B147" t="s">
        <v>2</v>
      </c>
      <c r="C147" t="s">
        <v>256</v>
      </c>
      <c r="D147" t="s">
        <v>86</v>
      </c>
      <c r="H147" t="s">
        <v>257</v>
      </c>
      <c r="I147" t="s">
        <v>258</v>
      </c>
      <c r="J147" t="s">
        <v>144</v>
      </c>
      <c r="K147" t="s">
        <v>262</v>
      </c>
      <c r="L147" t="s">
        <v>103</v>
      </c>
      <c r="M147" t="s">
        <v>259</v>
      </c>
      <c r="N147" s="2" t="s">
        <v>260</v>
      </c>
      <c r="O147" t="s">
        <v>91</v>
      </c>
      <c r="P147" t="s">
        <v>261</v>
      </c>
      <c r="Q147" t="s">
        <v>40</v>
      </c>
      <c r="R147" s="1">
        <v>46011</v>
      </c>
      <c r="S147">
        <v>3</v>
      </c>
      <c r="T147">
        <v>75</v>
      </c>
      <c r="U147" s="9">
        <f>Tabla13[[#This Row],[USD]]</f>
        <v>75</v>
      </c>
    </row>
    <row r="148" spans="1:21" ht="15" customHeight="1" x14ac:dyDescent="0.2">
      <c r="A148">
        <v>103617</v>
      </c>
      <c r="B148" t="s">
        <v>2</v>
      </c>
      <c r="C148" t="s">
        <v>542</v>
      </c>
      <c r="D148" t="s">
        <v>86</v>
      </c>
      <c r="E148" t="s">
        <v>543</v>
      </c>
      <c r="F148" t="s">
        <v>544</v>
      </c>
      <c r="G148" t="s">
        <v>545</v>
      </c>
      <c r="H148" t="s">
        <v>257</v>
      </c>
      <c r="I148" t="s">
        <v>258</v>
      </c>
      <c r="J148" t="s">
        <v>144</v>
      </c>
      <c r="K148" t="s">
        <v>504</v>
      </c>
      <c r="L148" t="s">
        <v>251</v>
      </c>
      <c r="M148" t="s">
        <v>546</v>
      </c>
      <c r="N148" s="5" t="s">
        <v>547</v>
      </c>
      <c r="O148" t="s">
        <v>91</v>
      </c>
      <c r="P148" t="s">
        <v>548</v>
      </c>
      <c r="Q148" t="s">
        <v>40</v>
      </c>
      <c r="R148" s="1">
        <v>46003</v>
      </c>
      <c r="S148">
        <v>3</v>
      </c>
      <c r="T148">
        <v>75</v>
      </c>
      <c r="U148" s="9">
        <f>Tabla13[[#This Row],[USD]]</f>
        <v>75</v>
      </c>
    </row>
    <row r="149" spans="1:21" ht="15" customHeight="1" x14ac:dyDescent="0.2">
      <c r="A149">
        <v>103397</v>
      </c>
      <c r="B149" t="s">
        <v>2</v>
      </c>
      <c r="C149" t="s">
        <v>628</v>
      </c>
      <c r="D149" t="s">
        <v>86</v>
      </c>
      <c r="H149" t="s">
        <v>257</v>
      </c>
      <c r="I149" t="s">
        <v>258</v>
      </c>
      <c r="J149" t="s">
        <v>144</v>
      </c>
      <c r="K149" t="s">
        <v>598</v>
      </c>
      <c r="L149" t="s">
        <v>97</v>
      </c>
      <c r="M149" t="s">
        <v>629</v>
      </c>
      <c r="N149" s="2" t="s">
        <v>630</v>
      </c>
      <c r="O149" t="s">
        <v>91</v>
      </c>
      <c r="P149" t="s">
        <v>631</v>
      </c>
      <c r="Q149" t="s">
        <v>40</v>
      </c>
      <c r="R149" s="1">
        <v>46001</v>
      </c>
      <c r="S149">
        <v>3</v>
      </c>
      <c r="T149">
        <v>75</v>
      </c>
      <c r="U149" s="9">
        <f>Tabla13[[#This Row],[USD]]</f>
        <v>75</v>
      </c>
    </row>
    <row r="150" spans="1:21" ht="15" customHeight="1" x14ac:dyDescent="0.2">
      <c r="A150">
        <v>102288</v>
      </c>
      <c r="B150" t="s">
        <v>2</v>
      </c>
      <c r="C150" t="s">
        <v>907</v>
      </c>
      <c r="D150" t="s">
        <v>86</v>
      </c>
      <c r="H150" t="s">
        <v>257</v>
      </c>
      <c r="I150" t="s">
        <v>258</v>
      </c>
      <c r="J150" t="s">
        <v>144</v>
      </c>
      <c r="K150" t="s">
        <v>909</v>
      </c>
      <c r="L150" t="s">
        <v>251</v>
      </c>
      <c r="M150" t="s">
        <v>908</v>
      </c>
      <c r="N150" s="2" t="s">
        <v>910</v>
      </c>
      <c r="O150" t="s">
        <v>91</v>
      </c>
      <c r="P150" t="s">
        <v>911</v>
      </c>
      <c r="Q150" t="s">
        <v>40</v>
      </c>
      <c r="R150" s="1">
        <v>45992</v>
      </c>
      <c r="S150">
        <v>3</v>
      </c>
      <c r="T150">
        <v>75</v>
      </c>
      <c r="U150" s="9">
        <f>Tabla13[[#This Row],[USD]]</f>
        <v>75</v>
      </c>
    </row>
    <row r="151" spans="1:21" ht="15" customHeight="1" x14ac:dyDescent="0.2">
      <c r="A151">
        <v>104140</v>
      </c>
      <c r="B151" t="s">
        <v>2</v>
      </c>
      <c r="C151" t="s">
        <v>411</v>
      </c>
      <c r="D151" t="s">
        <v>86</v>
      </c>
      <c r="H151" t="s">
        <v>412</v>
      </c>
      <c r="I151" t="s">
        <v>413</v>
      </c>
      <c r="J151" t="s">
        <v>144</v>
      </c>
      <c r="K151" t="s">
        <v>383</v>
      </c>
      <c r="L151" t="s">
        <v>103</v>
      </c>
      <c r="M151" t="s">
        <v>414</v>
      </c>
      <c r="N151" s="2" t="s">
        <v>415</v>
      </c>
      <c r="O151" t="s">
        <v>91</v>
      </c>
      <c r="P151" t="s">
        <v>416</v>
      </c>
      <c r="Q151" t="s">
        <v>39</v>
      </c>
      <c r="R151" s="1">
        <v>46007</v>
      </c>
      <c r="S151">
        <v>3</v>
      </c>
      <c r="T151">
        <v>75</v>
      </c>
      <c r="U151" s="9">
        <f>Tabla13[[#This Row],[USD]]</f>
        <v>75</v>
      </c>
    </row>
    <row r="152" spans="1:21" ht="15" customHeight="1" x14ac:dyDescent="0.2">
      <c r="A152">
        <v>103263</v>
      </c>
      <c r="B152" t="s">
        <v>2</v>
      </c>
      <c r="C152" t="s">
        <v>673</v>
      </c>
      <c r="D152" t="s">
        <v>86</v>
      </c>
      <c r="E152" s="2" t="s">
        <v>674</v>
      </c>
      <c r="F152" t="s">
        <v>251</v>
      </c>
      <c r="G152" t="s">
        <v>675</v>
      </c>
      <c r="H152" t="s">
        <v>412</v>
      </c>
      <c r="I152" t="s">
        <v>413</v>
      </c>
      <c r="J152" t="s">
        <v>144</v>
      </c>
      <c r="K152" t="s">
        <v>677</v>
      </c>
      <c r="L152" t="s">
        <v>251</v>
      </c>
      <c r="M152" t="s">
        <v>676</v>
      </c>
      <c r="N152" s="5" t="s">
        <v>678</v>
      </c>
      <c r="O152" t="s">
        <v>91</v>
      </c>
      <c r="P152" t="s">
        <v>679</v>
      </c>
      <c r="Q152" t="s">
        <v>39</v>
      </c>
      <c r="R152" s="1">
        <v>46000</v>
      </c>
      <c r="S152">
        <v>3</v>
      </c>
      <c r="T152">
        <v>75</v>
      </c>
      <c r="U152" s="9">
        <f>Tabla13[[#This Row],[USD]]</f>
        <v>75</v>
      </c>
    </row>
    <row r="153" spans="1:21" ht="15" customHeight="1" x14ac:dyDescent="0.2">
      <c r="A153">
        <v>103262</v>
      </c>
      <c r="B153" t="s">
        <v>5</v>
      </c>
      <c r="D153" t="s">
        <v>93</v>
      </c>
      <c r="H153" t="s">
        <v>412</v>
      </c>
      <c r="I153" t="s">
        <v>413</v>
      </c>
      <c r="J153" t="s">
        <v>144</v>
      </c>
      <c r="K153" t="s">
        <v>677</v>
      </c>
      <c r="L153" t="s">
        <v>97</v>
      </c>
      <c r="M153" t="s">
        <v>680</v>
      </c>
      <c r="N153" t="s">
        <v>185</v>
      </c>
      <c r="O153" t="s">
        <v>91</v>
      </c>
      <c r="P153" t="s">
        <v>681</v>
      </c>
      <c r="Q153" t="s">
        <v>39</v>
      </c>
      <c r="R153" s="1">
        <v>46000</v>
      </c>
      <c r="S153">
        <v>0</v>
      </c>
      <c r="T153">
        <v>0</v>
      </c>
      <c r="U153" s="9">
        <f>Tabla13[[#This Row],[USD]]</f>
        <v>0</v>
      </c>
    </row>
    <row r="154" spans="1:21" ht="15" customHeight="1" x14ac:dyDescent="0.2">
      <c r="A154">
        <v>103215</v>
      </c>
      <c r="B154" t="s">
        <v>2</v>
      </c>
      <c r="C154" t="s">
        <v>691</v>
      </c>
      <c r="D154" t="s">
        <v>86</v>
      </c>
      <c r="H154" t="s">
        <v>412</v>
      </c>
      <c r="I154" t="s">
        <v>413</v>
      </c>
      <c r="J154" t="s">
        <v>144</v>
      </c>
      <c r="K154" t="s">
        <v>686</v>
      </c>
      <c r="L154" t="s">
        <v>251</v>
      </c>
      <c r="M154" t="s">
        <v>692</v>
      </c>
      <c r="N154" t="s">
        <v>693</v>
      </c>
      <c r="O154" t="s">
        <v>91</v>
      </c>
      <c r="P154" t="s">
        <v>694</v>
      </c>
      <c r="Q154" t="s">
        <v>39</v>
      </c>
      <c r="R154" s="1">
        <v>45999</v>
      </c>
      <c r="S154">
        <v>0</v>
      </c>
      <c r="T154">
        <v>0</v>
      </c>
      <c r="U154" s="9">
        <f>Tabla13[[#This Row],[USD]]</f>
        <v>0</v>
      </c>
    </row>
    <row r="155" spans="1:21" ht="15" customHeight="1" x14ac:dyDescent="0.2">
      <c r="A155">
        <v>103773</v>
      </c>
      <c r="B155" t="s">
        <v>1</v>
      </c>
      <c r="C155" s="2" t="s">
        <v>507</v>
      </c>
      <c r="D155" t="s">
        <v>109</v>
      </c>
      <c r="E155" s="2" t="s">
        <v>508</v>
      </c>
      <c r="F155" t="s">
        <v>251</v>
      </c>
      <c r="G155" t="s">
        <v>509</v>
      </c>
      <c r="H155" t="s">
        <v>510</v>
      </c>
      <c r="I155" t="s">
        <v>511</v>
      </c>
      <c r="J155" t="s">
        <v>144</v>
      </c>
      <c r="K155" t="s">
        <v>406</v>
      </c>
      <c r="L155" t="s">
        <v>251</v>
      </c>
      <c r="M155" t="s">
        <v>512</v>
      </c>
      <c r="N155" s="2" t="s">
        <v>513</v>
      </c>
      <c r="O155" t="s">
        <v>91</v>
      </c>
      <c r="P155" t="s">
        <v>514</v>
      </c>
      <c r="Q155" t="s">
        <v>67</v>
      </c>
      <c r="R155" s="1">
        <v>46004</v>
      </c>
      <c r="S155">
        <v>0</v>
      </c>
      <c r="T155">
        <v>0</v>
      </c>
      <c r="U155" s="9">
        <f>Tabla13[[#This Row],[USD]]</f>
        <v>0</v>
      </c>
    </row>
    <row r="156" spans="1:21" ht="15" customHeight="1" x14ac:dyDescent="0.2">
      <c r="A156">
        <v>103388</v>
      </c>
      <c r="B156" t="s">
        <v>16</v>
      </c>
      <c r="C156" t="s">
        <v>640</v>
      </c>
      <c r="D156" t="s">
        <v>93</v>
      </c>
      <c r="E156" s="2" t="s">
        <v>641</v>
      </c>
      <c r="F156" t="s">
        <v>251</v>
      </c>
      <c r="G156" t="s">
        <v>642</v>
      </c>
      <c r="H156" t="s">
        <v>643</v>
      </c>
      <c r="I156" t="s">
        <v>644</v>
      </c>
      <c r="J156" t="s">
        <v>144</v>
      </c>
      <c r="K156" t="s">
        <v>504</v>
      </c>
      <c r="L156" t="s">
        <v>251</v>
      </c>
      <c r="M156" t="s">
        <v>645</v>
      </c>
      <c r="N156" s="2" t="s">
        <v>646</v>
      </c>
      <c r="O156" t="s">
        <v>91</v>
      </c>
      <c r="P156" t="s">
        <v>647</v>
      </c>
      <c r="Q156" t="s">
        <v>65</v>
      </c>
      <c r="R156" s="1">
        <v>46001</v>
      </c>
      <c r="S156">
        <v>0</v>
      </c>
      <c r="T156">
        <v>0</v>
      </c>
      <c r="U156" s="9">
        <f>Tabla13[[#This Row],[USD]]</f>
        <v>0</v>
      </c>
    </row>
    <row r="157" spans="1:21" ht="15" customHeight="1" x14ac:dyDescent="0.2">
      <c r="A157">
        <v>105011</v>
      </c>
      <c r="B157" t="s">
        <v>4</v>
      </c>
      <c r="C157" s="2" t="s">
        <v>192</v>
      </c>
      <c r="D157" t="s">
        <v>86</v>
      </c>
      <c r="H157" t="s">
        <v>193</v>
      </c>
      <c r="I157" t="s">
        <v>194</v>
      </c>
      <c r="J157" t="s">
        <v>144</v>
      </c>
      <c r="K157" t="s">
        <v>171</v>
      </c>
      <c r="L157" t="s">
        <v>119</v>
      </c>
      <c r="M157" t="s">
        <v>195</v>
      </c>
      <c r="N157" s="5" t="s">
        <v>196</v>
      </c>
      <c r="O157" t="s">
        <v>91</v>
      </c>
      <c r="P157" t="s">
        <v>197</v>
      </c>
      <c r="Q157" t="s">
        <v>45</v>
      </c>
      <c r="R157" s="1">
        <v>46014</v>
      </c>
      <c r="S157">
        <v>2</v>
      </c>
      <c r="T157">
        <v>50</v>
      </c>
      <c r="U157" s="9">
        <f>Tabla13[[#This Row],[USD]]</f>
        <v>50</v>
      </c>
    </row>
    <row r="158" spans="1:21" ht="15" customHeight="1" x14ac:dyDescent="0.2">
      <c r="A158">
        <v>104152</v>
      </c>
      <c r="B158" t="s">
        <v>2</v>
      </c>
      <c r="C158" s="2" t="s">
        <v>402</v>
      </c>
      <c r="D158" t="s">
        <v>86</v>
      </c>
      <c r="H158" t="s">
        <v>193</v>
      </c>
      <c r="I158" t="s">
        <v>194</v>
      </c>
      <c r="J158" t="s">
        <v>144</v>
      </c>
      <c r="K158" t="s">
        <v>406</v>
      </c>
      <c r="L158" t="s">
        <v>251</v>
      </c>
      <c r="M158" t="s">
        <v>403</v>
      </c>
      <c r="N158" t="s">
        <v>404</v>
      </c>
      <c r="O158" t="s">
        <v>91</v>
      </c>
      <c r="P158" t="s">
        <v>405</v>
      </c>
      <c r="Q158" t="s">
        <v>45</v>
      </c>
      <c r="R158" s="1">
        <v>46007</v>
      </c>
      <c r="S158">
        <v>0</v>
      </c>
      <c r="T158">
        <v>0</v>
      </c>
      <c r="U158" s="9">
        <f>Tabla13[[#This Row],[USD]]</f>
        <v>0</v>
      </c>
    </row>
    <row r="159" spans="1:21" ht="15" customHeight="1" x14ac:dyDescent="0.2">
      <c r="A159">
        <v>103521</v>
      </c>
      <c r="B159" t="s">
        <v>2</v>
      </c>
      <c r="C159" t="s">
        <v>585</v>
      </c>
      <c r="D159" t="s">
        <v>86</v>
      </c>
      <c r="H159" t="s">
        <v>193</v>
      </c>
      <c r="I159" t="s">
        <v>194</v>
      </c>
      <c r="J159" t="s">
        <v>144</v>
      </c>
      <c r="K159" t="s">
        <v>550</v>
      </c>
      <c r="L159" t="s">
        <v>251</v>
      </c>
      <c r="M159" t="s">
        <v>586</v>
      </c>
      <c r="N159" t="s">
        <v>587</v>
      </c>
      <c r="O159" t="s">
        <v>91</v>
      </c>
      <c r="P159" t="s">
        <v>588</v>
      </c>
      <c r="Q159" t="s">
        <v>45</v>
      </c>
      <c r="R159" s="1">
        <v>46002</v>
      </c>
      <c r="S159">
        <v>3</v>
      </c>
      <c r="T159">
        <v>75</v>
      </c>
      <c r="U159" s="9">
        <f>Tabla13[[#This Row],[USD]]</f>
        <v>75</v>
      </c>
    </row>
    <row r="160" spans="1:21" ht="15" customHeight="1" x14ac:dyDescent="0.2">
      <c r="A160">
        <v>104835</v>
      </c>
      <c r="B160" t="s">
        <v>8</v>
      </c>
      <c r="C160" t="s">
        <v>229</v>
      </c>
      <c r="D160" t="s">
        <v>86</v>
      </c>
      <c r="H160" t="s">
        <v>106</v>
      </c>
      <c r="I160" t="s">
        <v>107</v>
      </c>
      <c r="J160" t="s">
        <v>144</v>
      </c>
      <c r="K160" t="s">
        <v>234</v>
      </c>
      <c r="L160" t="s">
        <v>231</v>
      </c>
      <c r="M160" t="s">
        <v>230</v>
      </c>
      <c r="N160" s="2" t="s">
        <v>232</v>
      </c>
      <c r="O160" t="s">
        <v>91</v>
      </c>
      <c r="P160" t="s">
        <v>233</v>
      </c>
      <c r="Q160" t="s">
        <v>38</v>
      </c>
      <c r="R160" s="1">
        <v>46013</v>
      </c>
      <c r="S160">
        <v>4</v>
      </c>
      <c r="T160">
        <v>100</v>
      </c>
      <c r="U160" s="9">
        <f>Tabla13[[#This Row],[USD]]</f>
        <v>100</v>
      </c>
    </row>
    <row r="161" spans="1:21" ht="15" customHeight="1" x14ac:dyDescent="0.2">
      <c r="A161">
        <v>104124</v>
      </c>
      <c r="B161" t="s">
        <v>2</v>
      </c>
      <c r="C161" t="s">
        <v>422</v>
      </c>
      <c r="D161" t="s">
        <v>86</v>
      </c>
      <c r="H161" t="s">
        <v>106</v>
      </c>
      <c r="I161" t="s">
        <v>107</v>
      </c>
      <c r="J161" t="s">
        <v>144</v>
      </c>
      <c r="K161" t="s">
        <v>406</v>
      </c>
      <c r="L161" t="s">
        <v>97</v>
      </c>
      <c r="M161" t="s">
        <v>423</v>
      </c>
      <c r="N161" s="2" t="s">
        <v>424</v>
      </c>
      <c r="O161" t="s">
        <v>91</v>
      </c>
      <c r="P161" t="s">
        <v>425</v>
      </c>
      <c r="Q161" t="s">
        <v>38</v>
      </c>
      <c r="R161" s="1">
        <v>46007</v>
      </c>
      <c r="S161">
        <v>3</v>
      </c>
      <c r="T161">
        <v>75</v>
      </c>
      <c r="U161" s="9">
        <f>Tabla13[[#This Row],[USD]]</f>
        <v>75</v>
      </c>
    </row>
    <row r="162" spans="1:21" ht="15" customHeight="1" x14ac:dyDescent="0.2">
      <c r="A162">
        <v>102285</v>
      </c>
      <c r="B162" t="s">
        <v>2</v>
      </c>
      <c r="C162" s="2" t="s">
        <v>912</v>
      </c>
      <c r="D162" t="s">
        <v>86</v>
      </c>
      <c r="H162" t="s">
        <v>106</v>
      </c>
      <c r="I162" t="s">
        <v>107</v>
      </c>
      <c r="J162" t="s">
        <v>144</v>
      </c>
      <c r="K162" t="s">
        <v>909</v>
      </c>
      <c r="L162" t="s">
        <v>251</v>
      </c>
      <c r="M162" t="s">
        <v>913</v>
      </c>
      <c r="N162" s="5" t="s">
        <v>914</v>
      </c>
      <c r="O162" t="s">
        <v>91</v>
      </c>
      <c r="P162" t="s">
        <v>915</v>
      </c>
      <c r="Q162" t="s">
        <v>38</v>
      </c>
      <c r="R162" s="1">
        <v>45992</v>
      </c>
      <c r="S162">
        <v>3</v>
      </c>
      <c r="T162">
        <v>75</v>
      </c>
      <c r="U162" s="9">
        <f>Tabla13[[#This Row],[USD]]</f>
        <v>75</v>
      </c>
    </row>
    <row r="163" spans="1:21" ht="15" customHeight="1" x14ac:dyDescent="0.2">
      <c r="A163">
        <v>103872</v>
      </c>
      <c r="B163" t="s">
        <v>5</v>
      </c>
      <c r="C163" t="s">
        <v>472</v>
      </c>
      <c r="D163" t="s">
        <v>93</v>
      </c>
      <c r="E163" t="s">
        <v>473</v>
      </c>
      <c r="F163" t="s">
        <v>97</v>
      </c>
      <c r="G163" t="s">
        <v>474</v>
      </c>
      <c r="H163" t="s">
        <v>475</v>
      </c>
      <c r="I163" t="s">
        <v>476</v>
      </c>
      <c r="J163" t="s">
        <v>144</v>
      </c>
      <c r="K163" t="s">
        <v>406</v>
      </c>
      <c r="L163" t="s">
        <v>97</v>
      </c>
      <c r="M163" t="s">
        <v>477</v>
      </c>
      <c r="N163" s="2" t="s">
        <v>478</v>
      </c>
      <c r="O163" t="s">
        <v>91</v>
      </c>
      <c r="P163" t="s">
        <v>479</v>
      </c>
      <c r="Q163" t="s">
        <v>46</v>
      </c>
      <c r="R163" s="1">
        <v>46005</v>
      </c>
      <c r="S163">
        <v>3</v>
      </c>
      <c r="T163">
        <v>75</v>
      </c>
      <c r="U163" s="9">
        <f>Tabla13[[#This Row],[USD]]</f>
        <v>75</v>
      </c>
    </row>
    <row r="164" spans="1:21" ht="15" customHeight="1" x14ac:dyDescent="0.2">
      <c r="A164">
        <v>102899</v>
      </c>
      <c r="B164" t="s">
        <v>2</v>
      </c>
      <c r="C164" t="s">
        <v>761</v>
      </c>
      <c r="D164" t="s">
        <v>86</v>
      </c>
      <c r="H164" t="s">
        <v>475</v>
      </c>
      <c r="I164" t="s">
        <v>476</v>
      </c>
      <c r="J164" t="s">
        <v>144</v>
      </c>
      <c r="K164" t="s">
        <v>737</v>
      </c>
      <c r="L164" t="s">
        <v>97</v>
      </c>
      <c r="M164" t="s">
        <v>762</v>
      </c>
      <c r="N164" s="5" t="s">
        <v>763</v>
      </c>
      <c r="O164" t="s">
        <v>91</v>
      </c>
      <c r="P164" t="s">
        <v>764</v>
      </c>
      <c r="Q164" t="s">
        <v>46</v>
      </c>
      <c r="R164" s="1">
        <v>45997</v>
      </c>
      <c r="S164">
        <v>3</v>
      </c>
      <c r="T164">
        <v>75</v>
      </c>
      <c r="U164" s="9">
        <f>Tabla13[[#This Row],[USD]]</f>
        <v>75</v>
      </c>
    </row>
    <row r="165" spans="1:21" ht="15" customHeight="1" x14ac:dyDescent="0.2">
      <c r="A165">
        <v>102379</v>
      </c>
      <c r="B165" t="s">
        <v>5</v>
      </c>
      <c r="C165" s="2" t="s">
        <v>872</v>
      </c>
      <c r="D165" t="s">
        <v>93</v>
      </c>
      <c r="H165" t="s">
        <v>475</v>
      </c>
      <c r="I165" t="s">
        <v>476</v>
      </c>
      <c r="J165" t="s">
        <v>144</v>
      </c>
      <c r="K165" t="s">
        <v>871</v>
      </c>
      <c r="L165" t="s">
        <v>103</v>
      </c>
      <c r="M165" t="s">
        <v>873</v>
      </c>
      <c r="N165" s="2" t="s">
        <v>874</v>
      </c>
      <c r="O165" t="s">
        <v>91</v>
      </c>
      <c r="P165" t="s">
        <v>875</v>
      </c>
      <c r="Q165" t="s">
        <v>46</v>
      </c>
      <c r="R165" s="1">
        <v>45993</v>
      </c>
      <c r="S165">
        <v>3</v>
      </c>
      <c r="T165">
        <v>75</v>
      </c>
      <c r="U165" s="9">
        <f>Tabla13[[#This Row],[USD]]</f>
        <v>75</v>
      </c>
    </row>
    <row r="166" spans="1:21" ht="15" customHeight="1" x14ac:dyDescent="0.2">
      <c r="A166">
        <v>103892</v>
      </c>
      <c r="B166" t="s">
        <v>17</v>
      </c>
      <c r="C166" t="s">
        <v>468</v>
      </c>
      <c r="D166" t="s">
        <v>86</v>
      </c>
      <c r="H166" t="s">
        <v>469</v>
      </c>
      <c r="I166" t="s">
        <v>470</v>
      </c>
      <c r="J166" s="3" t="s">
        <v>144</v>
      </c>
      <c r="K166" t="s">
        <v>471</v>
      </c>
      <c r="M166" t="s">
        <v>90</v>
      </c>
      <c r="O166" t="s">
        <v>242</v>
      </c>
      <c r="P166" t="s">
        <v>471</v>
      </c>
      <c r="Q166" t="s">
        <v>68</v>
      </c>
      <c r="R166" s="1">
        <v>46005</v>
      </c>
      <c r="S166">
        <v>0</v>
      </c>
      <c r="T166">
        <v>0</v>
      </c>
      <c r="U166" s="9">
        <f>Tabla13[[#This Row],[USD]]</f>
        <v>0</v>
      </c>
    </row>
    <row r="167" spans="1:21" ht="15" customHeight="1" x14ac:dyDescent="0.2">
      <c r="R167" s="1"/>
      <c r="S167">
        <f>SUM(S2:S166)</f>
        <v>452</v>
      </c>
      <c r="U167">
        <f>SUM(U2:U166)</f>
        <v>11100</v>
      </c>
    </row>
    <row r="170" spans="1:21" ht="15" customHeight="1" x14ac:dyDescent="0.25">
      <c r="Q170" s="6" t="s">
        <v>942</v>
      </c>
      <c r="R170" s="6">
        <f>U167</f>
        <v>11100</v>
      </c>
      <c r="S170" s="7" t="s">
        <v>941</v>
      </c>
    </row>
    <row r="177" spans="21:21" ht="15" customHeight="1" x14ac:dyDescent="0.2">
      <c r="U177" s="3"/>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AA2E-3971-5F4C-9E4C-D14B30EE7396}">
  <dimension ref="C1:L29"/>
  <sheetViews>
    <sheetView tabSelected="1" topLeftCell="C1" workbookViewId="0">
      <selection activeCell="O22" sqref="O22"/>
    </sheetView>
  </sheetViews>
  <sheetFormatPr baseColWidth="10" defaultRowHeight="15" x14ac:dyDescent="0.2"/>
  <cols>
    <col min="3" max="3" width="45" bestFit="1" customWidth="1"/>
    <col min="4" max="12" width="11.1640625" customWidth="1"/>
  </cols>
  <sheetData>
    <row r="1" spans="3:12" x14ac:dyDescent="0.2">
      <c r="D1" s="3" t="s">
        <v>971</v>
      </c>
      <c r="E1" s="3" t="s">
        <v>972</v>
      </c>
      <c r="F1" s="3" t="s">
        <v>943</v>
      </c>
      <c r="G1" s="3" t="s">
        <v>944</v>
      </c>
      <c r="H1" s="3" t="s">
        <v>945</v>
      </c>
      <c r="I1" s="3" t="s">
        <v>946</v>
      </c>
      <c r="J1" s="3" t="s">
        <v>947</v>
      </c>
      <c r="K1" s="3" t="s">
        <v>948</v>
      </c>
      <c r="L1" s="3" t="s">
        <v>949</v>
      </c>
    </row>
    <row r="2" spans="3:12" x14ac:dyDescent="0.2">
      <c r="C2" s="3" t="s">
        <v>973</v>
      </c>
      <c r="D2" s="3">
        <v>84</v>
      </c>
      <c r="E2" s="3">
        <v>83</v>
      </c>
      <c r="F2">
        <v>92</v>
      </c>
      <c r="G2">
        <v>78</v>
      </c>
      <c r="H2">
        <v>123</v>
      </c>
      <c r="I2">
        <v>91</v>
      </c>
      <c r="J2">
        <v>100</v>
      </c>
      <c r="K2">
        <v>209</v>
      </c>
      <c r="L2">
        <v>452</v>
      </c>
    </row>
    <row r="3" spans="3:12" x14ac:dyDescent="0.2">
      <c r="C3" s="3" t="s">
        <v>950</v>
      </c>
      <c r="D3" s="3">
        <v>3</v>
      </c>
      <c r="E3" s="3">
        <v>3</v>
      </c>
      <c r="F3">
        <v>3</v>
      </c>
      <c r="G3">
        <v>3</v>
      </c>
      <c r="H3">
        <v>3</v>
      </c>
      <c r="I3">
        <v>2</v>
      </c>
      <c r="J3">
        <v>2</v>
      </c>
      <c r="K3">
        <v>4</v>
      </c>
      <c r="L3">
        <v>5</v>
      </c>
    </row>
    <row r="4" spans="3:12" x14ac:dyDescent="0.2">
      <c r="C4" s="3" t="s">
        <v>951</v>
      </c>
      <c r="D4" s="3">
        <v>1</v>
      </c>
      <c r="E4" s="3">
        <v>1</v>
      </c>
      <c r="F4">
        <v>1</v>
      </c>
      <c r="G4">
        <v>1</v>
      </c>
      <c r="H4">
        <v>0</v>
      </c>
      <c r="I4">
        <v>1</v>
      </c>
      <c r="J4">
        <v>1</v>
      </c>
      <c r="K4">
        <v>0</v>
      </c>
      <c r="L4">
        <v>1</v>
      </c>
    </row>
    <row r="5" spans="3:12" x14ac:dyDescent="0.2">
      <c r="C5" s="3" t="s">
        <v>953</v>
      </c>
      <c r="D5" s="3">
        <v>0</v>
      </c>
      <c r="E5" s="3">
        <v>0</v>
      </c>
      <c r="F5">
        <v>0</v>
      </c>
      <c r="G5">
        <v>0</v>
      </c>
      <c r="H5">
        <v>7</v>
      </c>
      <c r="I5">
        <v>35</v>
      </c>
      <c r="J5">
        <v>18</v>
      </c>
      <c r="K5">
        <v>9</v>
      </c>
      <c r="L5">
        <v>3</v>
      </c>
    </row>
    <row r="6" spans="3:12" x14ac:dyDescent="0.2">
      <c r="C6" s="3" t="s">
        <v>952</v>
      </c>
      <c r="D6" s="3">
        <v>0</v>
      </c>
      <c r="E6" s="3">
        <v>0</v>
      </c>
      <c r="F6">
        <v>0</v>
      </c>
      <c r="G6">
        <v>0</v>
      </c>
      <c r="H6">
        <v>0</v>
      </c>
      <c r="I6">
        <v>0</v>
      </c>
      <c r="J6">
        <v>0</v>
      </c>
      <c r="K6">
        <v>5</v>
      </c>
      <c r="L6">
        <v>10</v>
      </c>
    </row>
    <row r="7" spans="3:12" x14ac:dyDescent="0.2">
      <c r="C7" s="3" t="s">
        <v>970</v>
      </c>
      <c r="D7" s="3">
        <v>1825</v>
      </c>
      <c r="E7" s="3">
        <v>1725</v>
      </c>
      <c r="F7">
        <v>1925</v>
      </c>
      <c r="G7">
        <v>1876</v>
      </c>
      <c r="H7">
        <v>3075</v>
      </c>
      <c r="I7">
        <v>2275</v>
      </c>
      <c r="J7">
        <v>2500</v>
      </c>
      <c r="K7">
        <v>5225</v>
      </c>
      <c r="L7">
        <v>11100</v>
      </c>
    </row>
    <row r="14" spans="3:12" x14ac:dyDescent="0.2">
      <c r="C14" s="3" t="s">
        <v>959</v>
      </c>
      <c r="D14" s="3"/>
      <c r="E14" s="3"/>
    </row>
    <row r="15" spans="3:12" x14ac:dyDescent="0.2">
      <c r="C15" s="3" t="s">
        <v>961</v>
      </c>
      <c r="D15" s="3"/>
      <c r="E15" s="3"/>
    </row>
    <row r="16" spans="3:12" x14ac:dyDescent="0.2">
      <c r="C16" s="3" t="s">
        <v>960</v>
      </c>
      <c r="D16" s="3"/>
      <c r="E16" s="3"/>
    </row>
    <row r="17" spans="3:5" x14ac:dyDescent="0.2">
      <c r="C17" s="3" t="s">
        <v>966</v>
      </c>
      <c r="D17" s="3"/>
      <c r="E17" s="3"/>
    </row>
    <row r="18" spans="3:5" x14ac:dyDescent="0.2">
      <c r="C18" s="3" t="s">
        <v>967</v>
      </c>
      <c r="D18" s="3"/>
      <c r="E18" s="3"/>
    </row>
    <row r="19" spans="3:5" x14ac:dyDescent="0.2">
      <c r="C19" s="3" t="s">
        <v>954</v>
      </c>
      <c r="D19" s="3"/>
      <c r="E19" s="3"/>
    </row>
    <row r="20" spans="3:5" x14ac:dyDescent="0.2">
      <c r="C20" s="3" t="s">
        <v>955</v>
      </c>
      <c r="D20" s="3"/>
      <c r="E20" s="3"/>
    </row>
    <row r="21" spans="3:5" x14ac:dyDescent="0.2">
      <c r="C21" s="3" t="s">
        <v>956</v>
      </c>
      <c r="D21" s="3"/>
      <c r="E21" s="3"/>
    </row>
    <row r="22" spans="3:5" x14ac:dyDescent="0.2">
      <c r="C22" s="3" t="s">
        <v>957</v>
      </c>
      <c r="D22" s="3"/>
      <c r="E22" s="3"/>
    </row>
    <row r="23" spans="3:5" x14ac:dyDescent="0.2">
      <c r="C23" s="3" t="s">
        <v>958</v>
      </c>
      <c r="D23" s="3"/>
      <c r="E23" s="3"/>
    </row>
    <row r="24" spans="3:5" x14ac:dyDescent="0.2">
      <c r="C24" s="3" t="s">
        <v>962</v>
      </c>
      <c r="D24" s="3"/>
      <c r="E24" s="3"/>
    </row>
    <row r="25" spans="3:5" x14ac:dyDescent="0.2">
      <c r="C25" s="3" t="s">
        <v>963</v>
      </c>
      <c r="D25" s="3"/>
      <c r="E25" s="3"/>
    </row>
    <row r="26" spans="3:5" x14ac:dyDescent="0.2">
      <c r="C26" s="3" t="s">
        <v>964</v>
      </c>
      <c r="D26" s="3"/>
      <c r="E26" s="3"/>
    </row>
    <row r="27" spans="3:5" x14ac:dyDescent="0.2">
      <c r="C27" s="3" t="s">
        <v>965</v>
      </c>
      <c r="D27" s="3"/>
      <c r="E27" s="3"/>
    </row>
    <row r="28" spans="3:5" x14ac:dyDescent="0.2">
      <c r="C28" s="3" t="s">
        <v>968</v>
      </c>
      <c r="D28" s="3"/>
      <c r="E28" s="3"/>
    </row>
    <row r="29" spans="3:5" x14ac:dyDescent="0.2">
      <c r="C29" s="3" t="s">
        <v>969</v>
      </c>
      <c r="D29" s="3"/>
      <c r="E29" s="3"/>
    </row>
  </sheetData>
  <phoneticPr fontId="4"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Horas Franquicia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Saavedra</dc:creator>
  <cp:lastModifiedBy>Cristian Merlo</cp:lastModifiedBy>
  <cp:lastPrinted>2026-01-12T14:02:17Z</cp:lastPrinted>
  <dcterms:created xsi:type="dcterms:W3CDTF">2026-01-05T12:12:51Z</dcterms:created>
  <dcterms:modified xsi:type="dcterms:W3CDTF">2026-01-12T18:51:08Z</dcterms:modified>
</cp:coreProperties>
</file>