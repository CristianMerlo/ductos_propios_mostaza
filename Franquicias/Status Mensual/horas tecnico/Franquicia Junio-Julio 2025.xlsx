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CR1S714N/Downloads/001 Mosti/Locales/Franquicias/Horas Tecnico/"/>
    </mc:Choice>
  </mc:AlternateContent>
  <xr:revisionPtr revIDLastSave="0" documentId="13_ncr:1_{E6AB3BAA-8156-C24D-86DC-A36B8EB014D8}" xr6:coauthVersionLast="47" xr6:coauthVersionMax="47" xr10:uidLastSave="{00000000-0000-0000-0000-000000000000}"/>
  <bookViews>
    <workbookView xWindow="0" yWindow="500" windowWidth="27060" windowHeight="14980" tabRatio="500" activeTab="3" xr2:uid="{0F22E823-E1DB-47B2-A81E-E66DECED4DEE}"/>
  </bookViews>
  <sheets>
    <sheet name="Repuestos Junio" sheetId="6" r:id="rId1"/>
    <sheet name="Repuestos Julio" sheetId="7" r:id="rId2"/>
    <sheet name=" Junio Horas Tecnico" sheetId="3" r:id="rId3"/>
    <sheet name="Julio Horas Tecnico"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8" i="7" l="1"/>
  <c r="J45" i="6"/>
  <c r="O58" i="5"/>
  <c r="N62" i="5" s="1"/>
  <c r="O87" i="3"/>
  <c r="N91" i="3" s="1"/>
</calcChain>
</file>

<file path=xl/sharedStrings.xml><?xml version="1.0" encoding="utf-8"?>
<sst xmlns="http://schemas.openxmlformats.org/spreadsheetml/2006/main" count="2298" uniqueCount="862">
  <si>
    <t>Código</t>
  </si>
  <si>
    <t>Ticket</t>
  </si>
  <si>
    <t>Descripción</t>
  </si>
  <si>
    <t>Última respuesta</t>
  </si>
  <si>
    <t>Responde</t>
  </si>
  <si>
    <t>Sucursal</t>
  </si>
  <si>
    <t>Resuelve</t>
  </si>
  <si>
    <t>Estado</t>
  </si>
  <si>
    <t>Actualización de estado</t>
  </si>
  <si>
    <t>Prioridad</t>
  </si>
  <si>
    <t>Categoría</t>
  </si>
  <si>
    <t>Subcategoría</t>
  </si>
  <si>
    <t>Inicio</t>
  </si>
  <si>
    <t>horas realizadas</t>
  </si>
  <si>
    <t>Resuelto</t>
  </si>
  <si>
    <t>Once</t>
  </si>
  <si>
    <t>Varios</t>
  </si>
  <si>
    <t>Equipos Mostrador</t>
  </si>
  <si>
    <t>Bin de Hielo</t>
  </si>
  <si>
    <t>Lujan</t>
  </si>
  <si>
    <t>Cafetera</t>
  </si>
  <si>
    <t>Cabildo</t>
  </si>
  <si>
    <t>Mendoza Centro</t>
  </si>
  <si>
    <t>Pompeya</t>
  </si>
  <si>
    <t>Avellaneda</t>
  </si>
  <si>
    <t>Palmas del Pilar</t>
  </si>
  <si>
    <t>Equipos de Frío</t>
  </si>
  <si>
    <t>Lanus 2</t>
  </si>
  <si>
    <t>CIMBALI</t>
  </si>
  <si>
    <t>Temperatura</t>
  </si>
  <si>
    <t>Error 55</t>
  </si>
  <si>
    <t>San Martin Auto</t>
  </si>
  <si>
    <t>Arnaldo Gonzalez</t>
  </si>
  <si>
    <t>Cimballi</t>
  </si>
  <si>
    <t>No llega a temperatura</t>
  </si>
  <si>
    <t>Quilmes Peatonal</t>
  </si>
  <si>
    <t>Berazategui</t>
  </si>
  <si>
    <t>No sale leche</t>
  </si>
  <si>
    <t>Primera Junta</t>
  </si>
  <si>
    <t>Monte Grande</t>
  </si>
  <si>
    <t>Cafetera 1</t>
  </si>
  <si>
    <t>Lanus Auto</t>
  </si>
  <si>
    <t>No sale cafe</t>
  </si>
  <si>
    <t>Republica de Los niños</t>
  </si>
  <si>
    <t>Moreno</t>
  </si>
  <si>
    <t>Boedo</t>
  </si>
  <si>
    <t>Leche fría</t>
  </si>
  <si>
    <t>Resuelto por el local</t>
  </si>
  <si>
    <t>No sale café</t>
  </si>
  <si>
    <t>Guemes</t>
  </si>
  <si>
    <t>Callao</t>
  </si>
  <si>
    <t>Error 58</t>
  </si>
  <si>
    <t>Ezeiza</t>
  </si>
  <si>
    <t>La Plata 2</t>
  </si>
  <si>
    <t>Flores</t>
  </si>
  <si>
    <t>Grand Bourg</t>
  </si>
  <si>
    <t>Laferrere 2</t>
  </si>
  <si>
    <t>San Miguel Auto</t>
  </si>
  <si>
    <t>La Plata 3</t>
  </si>
  <si>
    <t>Calibracion</t>
  </si>
  <si>
    <t>Jose C paz</t>
  </si>
  <si>
    <t>Merlo</t>
  </si>
  <si>
    <t>Pablo Aviles</t>
  </si>
  <si>
    <t>San Martín peatonal</t>
  </si>
  <si>
    <t>No muele cafe</t>
  </si>
  <si>
    <t>San Fernando</t>
  </si>
  <si>
    <t>Cafetera 2</t>
  </si>
  <si>
    <t>Sale leche fria</t>
  </si>
  <si>
    <t>Cámara de Frío</t>
  </si>
  <si>
    <t>Liniers</t>
  </si>
  <si>
    <t>NO SALE CAFE</t>
  </si>
  <si>
    <t>Urquiza</t>
  </si>
  <si>
    <t>Error 8</t>
  </si>
  <si>
    <t>Agua</t>
  </si>
  <si>
    <t>cafetera</t>
  </si>
  <si>
    <t>Se tapo la caldera</t>
  </si>
  <si>
    <t>BUENOS DÍAS. Te tapo la caldera hace un mes Venia diciendo cambiar filtro de agua !</t>
  </si>
  <si>
    <t>Se revisa caldera, se limpia caldera, se cambia codo G, se arma, realiza lavado y deja operativo, se recomienda realizar un cambio de caldera ya que se encuentra con sarro muy solidificada lo que impide realizar una correcta limpieza manual, horario de servicio 3hs</t>
  </si>
  <si>
    <t>Carr Quilmes</t>
  </si>
  <si>
    <t>2025-06-04 13:16:14</t>
  </si>
  <si>
    <t>2025-06-01 08:19:07</t>
  </si>
  <si>
    <t>No absorve leche maquina cimballi</t>
  </si>
  <si>
    <t>Buenos dias, podran a pasar a revisar las maquinas cimbalis, son dos y no estan absorviendo leche que esta en la heladera de servicio</t>
  </si>
  <si>
    <t>Se revisan ambas cafeteras.
Ambas cafeteras quedan funcionando.
Nota: cafetera nro1 tiene los apoyos del cabezal de la bomba deformado,los ejes de rodillo ambos rayados por la fricción,a causa de no usar la máquina con los filtros de leche.
Se realizó limpieza del circuito de leche,se rectifican los apoyos de los rodillos de la bomba,pero igualmente se debe reemplazar la bomba,o solo el cabezal con los rodillos,según lo que haya en stock.
Cafetera nro2 se limpia circuito de leche sucio,la máquina se encontraba funcionando sin el filtro de leche.
Se recomienda reemplazar la bomba ya que el bobinado no tiene fuerza para succionar desde el refrigerador bajo mesada.</t>
  </si>
  <si>
    <t>2025-06-02 16:27:07</t>
  </si>
  <si>
    <t>2025-06-02 10:13:59</t>
  </si>
  <si>
    <t>Calibración de Cimbali</t>
  </si>
  <si>
    <t>Necesitamos que calibren la cimbali ya que el café espresso sale muy corto.</t>
  </si>
  <si>
    <t>Se calibran ambas cafeteras y se notifica a ambas gerentes de turno.</t>
  </si>
  <si>
    <t>Matias Albarracín</t>
  </si>
  <si>
    <t>2025-06-08 19:04:19</t>
  </si>
  <si>
    <t>2025-06-02 10:54:00</t>
  </si>
  <si>
    <t>No toma temperatura</t>
  </si>
  <si>
    <t>Buenas, la cafetera no toma temperatura</t>
  </si>
  <si>
    <t>Se revisa equipo,al momento de llegar estaba en funcionamiento,se detecta válvulas G obstruidas,se limpian y queda operando.
Al momento de llegar no funcionaba el circuito de leche,se desarma,limpia y de 2 bombas de leche se arma 1 y queda funcionando.
A la máquina se debe reemplazar válvula ELF3.
Se recomienda especial atención al tupper de leche que usan en refrigerador bajo mesada,por el agujero donde baja la manguera cae mugre y va todo al tupper,la bomba succiona esa mugre y el circuito se tapa y deja de funcionar.
Se limpia también grupo de café tapado de café,se enfereza pala de grupo de café doblada(no empujaba correctamente la pastilla hacia el costado).
Se limpia interior y costado del circuito de leche sucio con café molido,se recomienda vaciar cajón de pozos cuando la máquina lo pide ya que se rebalsa y cae el café a los costados del grupo de café.</t>
  </si>
  <si>
    <t>2025-06-03 16:09:26</t>
  </si>
  <si>
    <t>2025-06-03 09:10:38</t>
  </si>
  <si>
    <t>No calienta la cafetera, queda tildada sin levantar temperatura</t>
  </si>
  <si>
    <t>Se revisa equipo.
Se encuentra pérdida de agua en válvula que moja las conexiones eléctricas de caldera,se repara y queda funcionando.
Nota: se debe cambiar par de muelas de mm2 ya que no poseen filo para triturar bien el café.</t>
  </si>
  <si>
    <t>2025-06-03 18:27:17</t>
  </si>
  <si>
    <t>2025-06-03 09:18:49</t>
  </si>
  <si>
    <t>Café frío</t>
  </si>
  <si>
    <t>Salen los cafés fríos de la cafetera 1</t>
  </si>
  <si>
    <t>2025-06-21 14:18:41</t>
  </si>
  <si>
    <t>2025-06-03 14:00:09</t>
  </si>
  <si>
    <t>CAFETERA 1. No sale leche</t>
  </si>
  <si>
    <t>Estimados Buenos días, en la cafetera 1 no sale leche. Reiteradas veces ocurre el problema, tiene el filtro colocado y stockeada la lechera.
Muchas gracias! 
Saludos Ezequiel.</t>
  </si>
  <si>
    <t>Se revisa circuito de leche.
Se encuentra bomba de leche tapada,ya que el tupper contenedor está lleno de granos de café,la bomba succiona eso y se tapa,por eso el problema constante.
Se recomienda comprar un kit de leche con acoples,instalar dichos acoples sobre la mesada y sellar los agujeros para que los residuos de la mesa no caigan en el tupper.
También de destrabó muela de cafetera Nro 2 y quedan ambas máquinas funcionando.</t>
  </si>
  <si>
    <t>2025-06-04 17:31:41</t>
  </si>
  <si>
    <t>2025-06-04 05:47:32</t>
  </si>
  <si>
    <t>No sale la leche de calidad y sale fría</t>
  </si>
  <si>
    <t>Hola!
No sale leche de calidad de la cafetera y sale fría.</t>
  </si>
  <si>
    <t>Se calibraron alturas de leche, se limpio salida de leche, horario de servicio 1hs</t>
  </si>
  <si>
    <t>2025-06-12 15:47:14</t>
  </si>
  <si>
    <t>2025-06-04 08:03:13</t>
  </si>
  <si>
    <t>Cafetera 2 no sale cafe</t>
  </si>
  <si>
    <t>Se revisa grupo, se encuentra resortes y pistón sueltos, y manguera tapada de café, se saca y limpia grupo, pistón y manguera, se arma coloca tornillo nuevo, realiza prueba y deja operativo, horario de servicio 2hs</t>
  </si>
  <si>
    <t>2025-06-04 15:35:14</t>
  </si>
  <si>
    <t>2025-06-04 12:48:15</t>
  </si>
  <si>
    <t>No absorve leche la cafetera</t>
  </si>
  <si>
    <t>Buenos dias,
Necesitaria que vengan a chequear la cafetera por que no absorve cafe, vinieron a verla hace 2 dias. No se resolvio el problema .. y rs que jay que cambiar la valvula .. que se cambio hace un año
Aguardo pronta respuesta</t>
  </si>
  <si>
    <t>Resuelto por el local,proveedor externo</t>
  </si>
  <si>
    <t>2025-06-14 17:30:20</t>
  </si>
  <si>
    <t>2025-06-04 15:27:00</t>
  </si>
  <si>
    <t>Buenas tardes, llegaron al local los repuestos para la cafetera</t>
  </si>
  <si>
    <t>Buenas tardes ya se realizó la visita técnica y se notifica a Gerencia de turno Jazmín y Pamela y también se notifica a Rocío Gerente de Zona. Se espera coordinar nueva visita con repuesto en la sucursal.</t>
  </si>
  <si>
    <t>2025-06-10 15:35:16</t>
  </si>
  <si>
    <t>2025-06-05 13:15:49</t>
  </si>
  <si>
    <t>Gotea de una manguera interna</t>
  </si>
  <si>
    <t>Estimados notamos que se llena de agua y café abajo del equipo. Cae por el lateral izquierdo del equipo. Al abrirlo notamos que de una manguera cae bastante líquido al parecer es café. Necesitamos que la vengan a revisar xon urgencia. Probablemente se haya pinchado alguna manguera o tenga algún oring movido qué no podemos detectar</t>
  </si>
  <si>
    <t>Se busca perdida de agua, se encuentra en la salida del grupo una manguera pinchada, se corta un tramo pinchado, debida a la perdida de rompe botón de encendido, se realiza un puenteado para poder encender la máquina, se realiza lavado y deja operativo, se recomienda colocar un nuevo botón, y cambiar bandeja de lavado la cual se encuentra quebrada , horario de servicio 1hs</t>
  </si>
  <si>
    <t>2025-06-06 17:18:07</t>
  </si>
  <si>
    <t>2025-06-05 19:57:20</t>
  </si>
  <si>
    <t>No calienta el agua</t>
  </si>
  <si>
    <t>Cuando enciendo la cafetera no hace el proceso de calentar el agua y siempre aparece el icono de frio, impidiendome utilizar el agua para un te o para calentar</t>
  </si>
  <si>
    <t>Quedo resuelto</t>
  </si>
  <si>
    <t>San Telmo</t>
  </si>
  <si>
    <t>2025-06-13 17:49:43</t>
  </si>
  <si>
    <t>2025-06-05 21:08:37</t>
  </si>
  <si>
    <t>Cambiar repuesto</t>
  </si>
  <si>
    <t>Buenas días, hay que cambiar repuesto para que empieze a funcionar. El repuesto ya se encuentran en el local</t>
  </si>
  <si>
    <t>Se cambiaron los repuestos, se dejó operativo</t>
  </si>
  <si>
    <t>2025-06-11 09:19:58</t>
  </si>
  <si>
    <t>2025-06-06 09:46:39</t>
  </si>
  <si>
    <t>Reparación y cambio de respuesto.</t>
  </si>
  <si>
    <t>Estimado. 
Buenas tardes. 
Tenemos el respuesto para cambiar de la cafetera que estaba reparada provisoriamente.</t>
  </si>
  <si>
    <t>Cafetera 2 y Cafetera 1 operando. Se notifica con video a Gerente de zona y Gerencia de turno.</t>
  </si>
  <si>
    <t>2025-06-08 18:59:21</t>
  </si>
  <si>
    <t>2025-06-06 18:15:10</t>
  </si>
  <si>
    <t>Cafetera no acepta lavado ni saca cafe</t>
  </si>
  <si>
    <t>La cimbaly presenta el error 67</t>
  </si>
  <si>
    <t>Se revisa equipo,se encuentra falso contacto en táctil de pantalla.
Se deben reemplazar kit de orrings de ambos grupos de café ya que no prendan del todo el café,pedir presupuesto a depósito.
Se recomienda que a ambas máquinas se realice al menos una vez al mes un preventivo por el alto volumen de venta para evitar dejar de vender por problemas mayores.</t>
  </si>
  <si>
    <t>2025-06-10 18:29:43</t>
  </si>
  <si>
    <t>2025-06-07 02:43:01</t>
  </si>
  <si>
    <t>No nos calienta la cafetera</t>
  </si>
  <si>
    <t>Nos llegó el repuesto que faltaba para la caldera de la cafetera</t>
  </si>
  <si>
    <t>Cafetera operativa , se elimina error de pantalla, se instalo repuesto de bomba .</t>
  </si>
  <si>
    <t>2025-06-08 19:03:04</t>
  </si>
  <si>
    <t>2025-06-07 13:06:23</t>
  </si>
  <si>
    <t>Cafetera con error 54 no sale leche, se le hizo el lavado y la manguera sigue con agua</t>
  </si>
  <si>
    <t>Se revisa circuito de leche, se limpia y realiza prueba se deja operativo, las 2 cafeteras se encuentran sin pico de leche, se recomienda colocarlas para que vuelva a taparse el circuitol, horario de servicio 2hs</t>
  </si>
  <si>
    <t>2025-06-09 09:59:06</t>
  </si>
  <si>
    <t>2025-06-07 13:06:26</t>
  </si>
  <si>
    <t>no sale cafe</t>
  </si>
  <si>
    <t>Se revisa cafetera, se encuentra motor haciendo ruido, se revisa y encuentra entrada de agua tapada, se limpia realiza prueba, lavado y deja operativo horario de servicio 2hs</t>
  </si>
  <si>
    <t>2025-06-09 09:57:29</t>
  </si>
  <si>
    <t>2025-06-07 22:57:09</t>
  </si>
  <si>
    <t>No toma pastilla y no calienta</t>
  </si>
  <si>
    <t>Buenas , se depuró la cafetera para que el agua salga limpia pero no calienta ni toma la pastilla depuró lavado</t>
  </si>
  <si>
    <t>Quedó resuelto,se reemplazó motor y bomba de agua.</t>
  </si>
  <si>
    <t>2025-06-13 17:48:56</t>
  </si>
  <si>
    <t>2025-06-08 17:35:03</t>
  </si>
  <si>
    <t>Cimbali se traba</t>
  </si>
  <si>
    <t>Hola buenas noches elevo ticket porque la cimbali se traba y deja de salir leche.</t>
  </si>
  <si>
    <t>Se realiza la visita técnica y se observa: 
Válvula EM rajada perdida de fluido, circuito eléctrico mojado y activación de termomagnético durante la mañana y la tarde. 
Se recomienda no encender la máquina, se notifica a Gerencia y Supervisión, se coordina nueva visita con repuesto en sucursal.</t>
  </si>
  <si>
    <t>2025-06-10 15:33:02</t>
  </si>
  <si>
    <t>2025-06-09 00:45:47</t>
  </si>
  <si>
    <t>Buenos días necesito que vengan a cambiar el sensor ya tengo el repuesto en el local</t>
  </si>
  <si>
    <t>Se instalo repuesto de STG y se realizaron las pruebas de temperatura. Se elimino error de pantalla y se recomienda revisión de caldera. Se notifica a la Gerente de turno.</t>
  </si>
  <si>
    <t>2025-06-09 18:21:56</t>
  </si>
  <si>
    <t>2025-06-09 11:03:18</t>
  </si>
  <si>
    <t>Espuma</t>
  </si>
  <si>
    <t>Buena día no está saliendo espuma al finalizar los cafés</t>
  </si>
  <si>
    <t>Se realiza visita técnica y se observa: 
*Perdida de fluido, válvula EM rajada.
* Circuitos mojados 
* Obstrucción de fluido 
Se notifica a Gerencia y Supervisión se desarrolla un mail y se espera el repuesto.</t>
  </si>
  <si>
    <t>2025-06-10 15:28:36</t>
  </si>
  <si>
    <t>2025-06-10 09:21:51</t>
  </si>
  <si>
    <t>Los cafés que llevan leche salen fríos</t>
  </si>
  <si>
    <t>Cafetera se encuentra operativo, Se revisa equipo, bomba de leche con perdida de fuerza, se recomienda usar con lachera sobre mesada para poder seguir realizando la venta, realizar pedido de bomba para poder realizar el cambio y volver a tener la lechera en heladera</t>
  </si>
  <si>
    <t>2025-06-21 14:17:57</t>
  </si>
  <si>
    <t>2025-06-10 11:50:54</t>
  </si>
  <si>
    <t>Cambio de bomba de leche</t>
  </si>
  <si>
    <t>Buen día, solicito un técnico para  el cambio de la bomba de leche, urgente porfavor. Gracias</t>
  </si>
  <si>
    <t>Se cambiaron bombas de leche, horario de servicio 2hs</t>
  </si>
  <si>
    <t>2025-06-11 15:04:34</t>
  </si>
  <si>
    <t>2025-06-11 09:37:56</t>
  </si>
  <si>
    <t>NO SE FABRICA LA PASTILLA DE CAFE</t>
  </si>
  <si>
    <t>estimados, buenos dias.
Solicito la visita de un tecnico para solucionar el error 8 de la cafetera, por favor indicar fecha aproximada. 
Saludos
Conochelli Maria</t>
  </si>
  <si>
    <t>Se reemplazan sensores y se lubrica grupo de café queda operativa la máquina.</t>
  </si>
  <si>
    <t>2025-06-13 12:52:48</t>
  </si>
  <si>
    <t>2025-06-11 12:29:27</t>
  </si>
  <si>
    <t>CAFETERA NO SALE LA LECHE</t>
  </si>
  <si>
    <t>Buenas tardes, nuevamente no sale leche de la cafetera.</t>
  </si>
  <si>
    <t>Se revisa y limpia circuito de leche, se deja operativo horario de servicio 1hs</t>
  </si>
  <si>
    <t>2025-06-18 13:42:54</t>
  </si>
  <si>
    <t>2025-06-11 12:51:57</t>
  </si>
  <si>
    <t>sale mal cafe</t>
  </si>
  <si>
    <t>el café sale amargo y aguado</t>
  </si>
  <si>
    <t>Se revisa grupo de café,se limpia y se deja operativo,se recomienda reemplazar sensor de temperatura de grupo de café.</t>
  </si>
  <si>
    <t>2025-06-16 16:34:55</t>
  </si>
  <si>
    <t>2025-06-11 18:15:50</t>
  </si>
  <si>
    <t>La cafetera no saca leche</t>
  </si>
  <si>
    <t>La cafetera no saca los cafés con leche 
Por favor pasar lo antes posible 
Gracias</t>
  </si>
  <si>
    <t>Tiket resuelto proveedor</t>
  </si>
  <si>
    <t>2025-06-14 13:43:54</t>
  </si>
  <si>
    <t>2025-06-12 08:26:32</t>
  </si>
  <si>
    <t>Gramaje de leche y café</t>
  </si>
  <si>
    <t>Al modificar las moliendas el gramaje no cambia en ningún momento
Mm1 sale grumoso
Leche sale con menos peso</t>
  </si>
  <si>
    <t>Se realiza limpieza completa de máquina, se calibran molienda llevándola a los segundos correspondientes, se hacen varias pruebas Late, capuchino, Flat, y queda operativa.</t>
  </si>
  <si>
    <t>2025-06-17 18:38:12</t>
  </si>
  <si>
    <t>2025-06-12 11:46:28</t>
  </si>
  <si>
    <t>Solicitud cambio de motor y bomba</t>
  </si>
  <si>
    <t>Hola, Ya tenemos el motor y la bomba de la cafetera para realizar el cambio lo antes posible! Muchas gracias</t>
  </si>
  <si>
    <t>Se reemplaza motor y bomba de la máquina.
Se realiza instalación de flexible no original provisto por el local.
Se purga caldera,se realiza puesta en marcha y queda operativa.</t>
  </si>
  <si>
    <t>2025-06-13 17:48:02</t>
  </si>
  <si>
    <t>2025-06-12 17:16:04</t>
  </si>
  <si>
    <t>Pierde agua</t>
  </si>
  <si>
    <t>Buenas tardes la cafetera pierde agua y la espuma no está saliendo bien.</t>
  </si>
  <si>
    <t>Se busca perdida, se encuentra válvula esm perdiendo, se intercambia por la elf3, de realiza prueba y deja de perder agua, el cambio de válvula no interfiere con la venta pero habría que reponerla cuando se pueda, falta pico de leche muy importante tenerla para que no se tape el circuito de leche, se regulo espuma estar atento a qué no se descalibre, horario de servicio 2hs</t>
  </si>
  <si>
    <t>2025-06-14 16:01:51</t>
  </si>
  <si>
    <t>2025-06-13 15:51:35</t>
  </si>
  <si>
    <t>Muele café pero no sale</t>
  </si>
  <si>
    <t>Buenas tardes, la cafetera muele el café pero no sale x la máquina, las moliendas giran y están ok pero no sale el café, veo café molido en la parte donde se pone la pastilla de limpieza, necesitamos por fi que alguien me ayude a resolverlo o verla, gracias</t>
  </si>
  <si>
    <t>Exelente!
De nada para eso estamos!
Saludos</t>
  </si>
  <si>
    <t>2025-06-13 18:49:21</t>
  </si>
  <si>
    <t>2025-06-13 16:25:23</t>
  </si>
  <si>
    <t>Cafetera nuevamente presenta inconvenientes errores 55 ya vinieron 3 veces</t>
  </si>
  <si>
    <t>Quedan notificados gerencia y sr Ranquel esperamos coordinar nueva visita para la instalación de los repuestos.</t>
  </si>
  <si>
    <t>2025-06-17 10:10:05</t>
  </si>
  <si>
    <t>2025-06-13 18:55:53</t>
  </si>
  <si>
    <t>Cafetera no completa cafés y usa mucha leche</t>
  </si>
  <si>
    <t>Buenas noches, cimbali no completa los cafés y está usando demasiada leche! Usa un litro para tres lattes y no genera espuma</t>
  </si>
  <si>
    <t>Se regula espuma de leche, se realizan pruebas en los cafés, se regulan alturas de cafés y deja operando, horario de servicio 1hs</t>
  </si>
  <si>
    <t>2025-06-14 16:09:26</t>
  </si>
  <si>
    <t>2025-06-13 20:25:58</t>
  </si>
  <si>
    <t>Café americano aguado</t>
  </si>
  <si>
    <t>Limpieza de sensores, se destrabó tolva y tobogan, se realizó limpieza de conducto y válvulas, la máquina queda operativa, se realiza varias pruebas con Gerente de turno Martínez y Supervisora Iris , quedando satisfecha con el trabajo realizado.</t>
  </si>
  <si>
    <t>2025-06-16 15:46:55</t>
  </si>
  <si>
    <t>2025-06-14 17:44:41</t>
  </si>
  <si>
    <t>Bloqueo</t>
  </si>
  <si>
    <t>Hola buenos dias, la cafetera pide el lavado reiteradas veces y se bloquea. No permite usarla</t>
  </si>
  <si>
    <t>Se realizó visita técnica y se desbloquea la máquina, se recomienda nuevamente la instalación de una osmosis para el agua.</t>
  </si>
  <si>
    <t>2025-06-21 08:45:13</t>
  </si>
  <si>
    <t>2025-06-15 08:10:05</t>
  </si>
  <si>
    <t>Címballi</t>
  </si>
  <si>
    <t>Se revisa equipo se encuentra pescador de caldera y todo circuito de agua tapado con sarro,se desarma,limpia y se pone en funcionamiento,queda operativa.
IMPORTANTE: Se recomienda instalar un sistema de ósmosis para evitar que la caldera,resistencias de caldera y circuito de agua se sigan tapando y que el café salga frío por ese problema.</t>
  </si>
  <si>
    <t>2025-06-16 16:33:56</t>
  </si>
  <si>
    <t>2025-06-15 10:40:40</t>
  </si>
  <si>
    <t>La cafetera presenta el error 8 ,no la podemos usar</t>
  </si>
  <si>
    <t>Limpieza de sensores, lavado completo de leche y café, reparación pieza del grupo.</t>
  </si>
  <si>
    <t>2025-06-16 14:07:03</t>
  </si>
  <si>
    <t>2025-06-15 12:39:47</t>
  </si>
  <si>
    <t>Buenas como estan??
No sale leche de la cafetera, no chupa leche</t>
  </si>
  <si>
    <t>Se limpia circuito de leche l, se realiza prueba y deja operativo, se reitera colocarle picos de leche a las 2 mangueras ya que si no las tienen se ensucia y tapa el circuito de leche y la bomba</t>
  </si>
  <si>
    <t>2025-06-16 14:58:58</t>
  </si>
  <si>
    <t>2025-06-16 08:13:38</t>
  </si>
  <si>
    <t>No sale leche ni espuma</t>
  </si>
  <si>
    <t>Hola buenos dias elevo ticket porque no sale ni leche ni espuma.</t>
  </si>
  <si>
    <t>Se revisa equipo.
Se reemplaza sensor volumétrico averiado,se limpia circuito de leche y queda operativo.
NOTA:Deben pedir el filtro de leche,ya que sin eso el circuito se va a volver a obstruir y va a dejar de salir leche</t>
  </si>
  <si>
    <t>2025-06-18 16:57:31</t>
  </si>
  <si>
    <t>2025-06-16 09:38:21</t>
  </si>
  <si>
    <t>Cafetera no llega temperatura</t>
  </si>
  <si>
    <t>Estimados buenos días. 
Necesitamos que vengan de manera urgente a ver la cafetera ya que arroja error 58 , no llega a temperatura el agua ni la leche. 
Desde ya muchas gracias!</t>
  </si>
  <si>
    <t>Se revisa equipo,se encuentra sensor de nivel de caldera levantado,se acomoda,se realizan pruebas y queda operativa.</t>
  </si>
  <si>
    <t>2025-06-16 12:49:26</t>
  </si>
  <si>
    <t>2025-06-16 10:17:09</t>
  </si>
  <si>
    <t>Sale café por debajo de la máquina</t>
  </si>
  <si>
    <t>Se repara pico de salida de grupo de café,queda operativa nuevamente la cafetera.</t>
  </si>
  <si>
    <t>2025-06-20 15:32:20</t>
  </si>
  <si>
    <t>2025-06-16 11:42:56</t>
  </si>
  <si>
    <t>Sale frío el agua para el té</t>
  </si>
  <si>
    <t>Se limpia lanza y deja operativo hs servicio 1hs</t>
  </si>
  <si>
    <t>2025-06-18 12:01:44</t>
  </si>
  <si>
    <t>2025-06-16 15:22:20</t>
  </si>
  <si>
    <t>Perdida de agua</t>
  </si>
  <si>
    <t>Hola buenas, tenemos una perdida de agua por las mangueras que estan abajo de la cafetera</t>
  </si>
  <si>
    <t>Se realiza visita técnica y se encuentra manguera de grupo suelta y pérdida de café se realiza nuevamente la instalación y se observa pieza de grupo en mal estado, se repara y se hacen varias pruebas quedando operativa la máquina. Se recomienda cambio de pieza.</t>
  </si>
  <si>
    <t>Francisco  Alvarez</t>
  </si>
  <si>
    <t>2025-06-17 18:42:06</t>
  </si>
  <si>
    <t>2025-06-16 16:40:50</t>
  </si>
  <si>
    <t>Hola buenas tardes, hace un rato no estaba saliendo café, destape el tobogán del café ya que estaba revalsado quedó ok y después de unos 20 minutos dejo de salir nuevamente café. Pero veo que hay una parte de la cafetera que está trabado. Adjunto fotos</t>
  </si>
  <si>
    <t>Se revisa equipo en el historial de fallas,se encuentra falla error 8,se procede a desarmar grupo de café,se realiza limpieza y lubricación de rodamiento,se prueba equipo y queda funcionando.
Esto importante,antes de dar ok a la limpieza de grupo de café con pastilla abrir puerta de la máquina y corroborar que la pastilla caiga dentro del depósito para evitar que se trabe.</t>
  </si>
  <si>
    <t>2025-06-17 12:33:04</t>
  </si>
  <si>
    <t>2025-06-16 18:23:01</t>
  </si>
  <si>
    <t>Cafeteras pierden y no llegan a gramaje correcto</t>
  </si>
  <si>
    <t>Las cafeteras no llegan a los gramajes de café y no calientan como corresponde además que aparecen error 54 en ambas desde que que se cambiaron los sensores y la cafetera dos está perdiendo</t>
  </si>
  <si>
    <t>Máquinas operando, se coordinará nueva visita para programación.</t>
  </si>
  <si>
    <t>2025-06-22 09:22:03</t>
  </si>
  <si>
    <t>2025-06-16 20:48:34</t>
  </si>
  <si>
    <t>Cafetera 1 y 2 no funcionan</t>
  </si>
  <si>
    <t>La cafetera 1 no sale Café y la cafetera 2, no toma temperatura, ambas con error 54</t>
  </si>
  <si>
    <t>Se realiza visita técnica y quedan operando ambas cafeteras.</t>
  </si>
  <si>
    <t>2025-06-21 09:18:08</t>
  </si>
  <si>
    <t>2025-06-18 15:38:15</t>
  </si>
  <si>
    <t>Café frío y poca leche</t>
  </si>
  <si>
    <t>Algunos cafés salen fríos y la leche sale en poca cantidad, dejando los cafés hechos hasta la mitad y sin espuma.</t>
  </si>
  <si>
    <t>Se realizó visita técnica se hace una revisión de EV y se repara EM , la máquina queda operativa. Se notifica a Gerente de turno</t>
  </si>
  <si>
    <t>2025-06-21 13:48:57</t>
  </si>
  <si>
    <t>2025-06-18 18:45:21</t>
  </si>
  <si>
    <t>La leche sale fría y sin espuma</t>
  </si>
  <si>
    <t>Buenos días, la leche esta saliendo fría y sin espuma</t>
  </si>
  <si>
    <t>Se realizó visita técnica y se reparo válvula EM</t>
  </si>
  <si>
    <t>2025-06-22 08:38:16</t>
  </si>
  <si>
    <t>2025-06-19 09:21:18</t>
  </si>
  <si>
    <t>Marca error 55</t>
  </si>
  <si>
    <t>Se debe reemplazar resistencia de grupo de café,pedir presupuesto a taller y abrir ticket cuando cuenten con el repuesto para reemplazar</t>
  </si>
  <si>
    <t>2025-06-20 15:23:39</t>
  </si>
  <si>
    <t>2025-06-19 17:12:43</t>
  </si>
  <si>
    <t>Molienda</t>
  </si>
  <si>
    <t>Estimados buenos días, ya verique todos los fallos posible como sacar la tolva limpiarla, el lavado de la cafetera y vericar el tobogán, todo se encuentra ok, no está moliendo café la maquina</t>
  </si>
  <si>
    <t>Se revisa equipo,se destraban molinillos manualmente,se realizan pruebas y queda funcionando nuevamente.</t>
  </si>
  <si>
    <t>2025-06-20 11:20:23</t>
  </si>
  <si>
    <t>2025-06-20 09:12:13</t>
  </si>
  <si>
    <t>Muela MM2 CIMBALLI 1</t>
  </si>
  <si>
    <t>No muele correctamente la mm2 de la cimballi 1. Necesitamos que la revisen por favor</t>
  </si>
  <si>
    <t>Calibración de Moliendas, tiempos y café . 
La máquina queda operativa.</t>
  </si>
  <si>
    <t>2025-06-22 17:05:18</t>
  </si>
  <si>
    <t>2025-06-20 13:51:19</t>
  </si>
  <si>
    <t>BOMBA DE LECHE CIMBALLI 2</t>
  </si>
  <si>
    <t>No se puede calibrar la bomba de leche, se realizaron varias pruebas y no se pudo realizar, necesitamos que revisen la bomba de leche.</t>
  </si>
  <si>
    <t>Se realiza visita técnica y se observa:
* Moliendas mal calibradas por personal no idóneo.
* Exceso de café en posillo 
* Tiempos fuera de los parámetros 
* Leche fuera del peso de los parámetros 
Se procede a la calibración tanto de la Cimbali 1 como de la 2 y ambas quedan operativas.</t>
  </si>
  <si>
    <t>2025-06-22 17:15:16</t>
  </si>
  <si>
    <t>2025-06-20 14:00:03</t>
  </si>
  <si>
    <t>Al hacer 2 cafés juntos quedan por la mitad</t>
  </si>
  <si>
    <t>Al hacer 2 cafés juntos 
Quedan por la mitad 
Y la leche sale tibia en vez de caliente</t>
  </si>
  <si>
    <t>Se realizó visita técnica y se encuentra diferencia en programación de recetas en tiempos , se ajusta temperatura de leche elevándola a 60 /65 grados.</t>
  </si>
  <si>
    <t>2025-06-21 19:01:12</t>
  </si>
  <si>
    <t>2025-06-20 19:27:18</t>
  </si>
  <si>
    <t>Cimbali</t>
  </si>
  <si>
    <t>No me prende la cafetera, hace corto circuito</t>
  </si>
  <si>
    <t>Cortocircuito en Bomba se coordinará nueva visita con repuesto en sucursal.</t>
  </si>
  <si>
    <t>2025-06-23 15:15:05</t>
  </si>
  <si>
    <t>2025-06-23 08:05:53</t>
  </si>
  <si>
    <t>No saca cafe</t>
  </si>
  <si>
    <t>Cafetera 2 no barre pastilla y no sale cafe</t>
  </si>
  <si>
    <t>Se revisa equipo,se repara válvula ESMprovisoriamente pero deben pedir el repuesto</t>
  </si>
  <si>
    <t>2025-06-30 12:46:07</t>
  </si>
  <si>
    <t>2025-06-23 10:58:48</t>
  </si>
  <si>
    <t>Hola buenos dias! La cafetera pide el lavado reireradas veces</t>
  </si>
  <si>
    <t>Reemplazo de cafetera mientras esperan repuesto</t>
  </si>
  <si>
    <t>2025-07-09 17:43:41</t>
  </si>
  <si>
    <t>2025-06-23 11:12:56</t>
  </si>
  <si>
    <t>VÁLVULA RP VERS ERP EM VERS</t>
  </si>
  <si>
    <t>La válvula no funciona , por ende estamos sin leche en la cafetera</t>
  </si>
  <si>
    <t>Se debe pedir repuesto válvula EM y coordinar la instalación</t>
  </si>
  <si>
    <t>Walmart Santa fe</t>
  </si>
  <si>
    <t>2025-06-23 15:44:01</t>
  </si>
  <si>
    <t>2025-06-23 13:16:16</t>
  </si>
  <si>
    <t>Buenas tardes, la cafetera 1 tiene una pérdida de agua por debajo del equipo</t>
  </si>
  <si>
    <t>Se revisa equipo.
Se repara pérdida de agua en válvula ESM y se destapa desagüe de la máquina .
NOTA: La bomba de leche tiene poca fuerza para succionar desde el refrigerador bajo mesada,se recomienda reemplazarla cuanto antes para que la leche salga a temperatura correcta.</t>
  </si>
  <si>
    <t>2025-06-24 14:14:04</t>
  </si>
  <si>
    <t>2025-06-23 14:05:23</t>
  </si>
  <si>
    <t>No absorbe leche maquina</t>
  </si>
  <si>
    <t>Buenoa dias,
El motivo del tk es por que una de las maquinaa no absorbe leche- es una de las maquinas que tiene ok la bomba.. podran venir a revisarlo ? Al parecer una valvula funciona de forma incorrecta</t>
  </si>
  <si>
    <t>Se revisa equipo.
Se realiza limpieza de circuito de leche y queda operativo.
NOTA:Se debe reemplazar la bomba de leche ya que no tiene fuerza para succionar desde el bajo mesada en el refrigerador.
Se debe pedir filtro de leche ya que no lo tiene y sin eso se volverá a tapar el circuito de leche.</t>
  </si>
  <si>
    <t>2025-06-24 12:52:45</t>
  </si>
  <si>
    <t>2025-06-23 14:52:33</t>
  </si>
  <si>
    <t>Error 8/9</t>
  </si>
  <si>
    <t>Estimados buenas noches. La cafetera arroja error 8 y error 9.
No permite hacer la limpieza del cafe y no deja sacar ningún tipo de café. 
Les pido por favor si mañana a primera hora podría ir un técnico a solucionar este  problema. 
Desde ya muchas gracias 
Saludos :Caren Avila</t>
  </si>
  <si>
    <t>Se realiza visita técnica y se eliminan errores 8,9 y lavado constante. La máquina queda operativa. 
Se notifica a Gerencia Sr. Norma</t>
  </si>
  <si>
    <t>2025-06-24 17:13:34</t>
  </si>
  <si>
    <t>2025-06-23 22:46:13</t>
  </si>
  <si>
    <t>Cafetera se apaga</t>
  </si>
  <si>
    <t>Cuando se usa la cafetera salta la térmica de los equipos conectados</t>
  </si>
  <si>
    <t>Se coordinará nueva visita con repuesto en sucursal por deformación del mismo y pérdida de fluidos.</t>
  </si>
  <si>
    <t>2025-06-24 17:23:06</t>
  </si>
  <si>
    <t>2025-06-24 07:20:17</t>
  </si>
  <si>
    <t>Buenas tardes ! La cafetera no funciona ya que dejo de salir café y dejo también de calentar la leche y espuma.</t>
  </si>
  <si>
    <t>Se realiza visita técnica y se observa. * Falta de agua * perdida * bomba sin funcionar * error 59 * perdida de vapor * cortocircuito por café húmedo.
LA MÁQUINA QUEDA OPERATIVA, se comunica a Gerente de turno Srita GUILLERMINA y a su SUPERVISORA ELIANA</t>
  </si>
  <si>
    <t>2025-06-30 08:29:21</t>
  </si>
  <si>
    <t>2025-06-24 15:59:28</t>
  </si>
  <si>
    <t>MTO CIMBALLIS</t>
  </si>
  <si>
    <t>Buenas tardes, 1 de las cimballis sale la leche fria y en la otra necesito que le hagan mantenimiento preventivo</t>
  </si>
  <si>
    <t>Se realiza mantenimiento preventivo a las 2 cafeteras, se limpiaron interior de grupos y grupos, moliendas, se realizan pruebas de salida de cafés y leche, cafetera 1 se debe realizar un cambio de sensor de temperatura de grupo y válvula EM ya que la leche sale fría, lo demás se encuentra todo ok, horario de servicio 2hs</t>
  </si>
  <si>
    <t>2025-06-26 14:53:33</t>
  </si>
  <si>
    <t>2025-06-24 16:22:46</t>
  </si>
  <si>
    <t>café sin espuma. y calidad del café</t>
  </si>
  <si>
    <t>necesito saber si pueden venir a arreglarla</t>
  </si>
  <si>
    <t>Sucursal 9 de Julio</t>
  </si>
  <si>
    <t>9 de Julio</t>
  </si>
  <si>
    <t>2025-06-28 22:22:38</t>
  </si>
  <si>
    <t>2025-06-24 17:39:52</t>
  </si>
  <si>
    <t>Buenas noches, podrían venir a ver la cafetera?
Estamos teniendo reclamos de clientes xq el café está frío</t>
  </si>
  <si>
    <t>Se realiza visita técnica y se observa:
* Motor de bomba fuera de funcionamiento 
* Capacitor defectuoso 
Se coordina nueva visita con repuesto en sucursal. Se notifica a Gerente de turno Srita Melanie y Administradora Mónica . 
Saludos atte.servicio técnico Cimbali</t>
  </si>
  <si>
    <t>2025-06-27 13:03:47</t>
  </si>
  <si>
    <t>2025-06-24 20:57:00</t>
  </si>
  <si>
    <t>Buenos días, las mangueras de la cafetera pierden agua. Podrán venir a solucionarlo? Muchas gracias</t>
  </si>
  <si>
    <t>Se revisa embudo donde se encuentran las mangueras de vapor, se encuentra tapada con café se realiza limpieza y deja operativo, horario de servicio 1hs</t>
  </si>
  <si>
    <t>2025-07-06 19:48:38</t>
  </si>
  <si>
    <t>2025-06-25 11:44:21</t>
  </si>
  <si>
    <t>Cimballi no sale café</t>
  </si>
  <si>
    <t>No sale café de ninguna molienda</t>
  </si>
  <si>
    <t>Se destraba muela manualmente,queda la máquina operativa</t>
  </si>
  <si>
    <t>2025-06-27 10:50:25</t>
  </si>
  <si>
    <t>2025-06-25 14:55:19</t>
  </si>
  <si>
    <t>Buenas tardes,al día de la fecha tenemos la cafetera con el error 58,está no realiza el lavado del equipo,al colocar está opción,nos muestra un cartel en la pantalla de "equipo frío" , inhabilitando la posibilidad de hacer cualquier café,espero puedan ayudarnos</t>
  </si>
  <si>
    <t>El error 55 es un aviso de que el sensor del grupo donde comprime la pastilla está funcionando mal no va a dificultar el uso de la cafetera, pidan el repuesto y cuando lo tengan en el local abran ticket así se puede ir a reemplazar.</t>
  </si>
  <si>
    <t>2025-07-03 13:16:55</t>
  </si>
  <si>
    <t>2025-06-27 09:35:38</t>
  </si>
  <si>
    <t>Cafetera no llega a temperatura</t>
  </si>
  <si>
    <t>Buenos días, la cafetera no llega a temperatura.</t>
  </si>
  <si>
    <t>Se detallan trabajos más abajo.</t>
  </si>
  <si>
    <t>2025-06-30 14:24:12</t>
  </si>
  <si>
    <t>2025-06-27 10:51:30</t>
  </si>
  <si>
    <t>Se calibración ambas moliendas, la molienda dos esta en 23gr en tres vasos ( dentro del rango) pero la molienda uno no. Los cafés están saliendo muy aguados. Por otro lado la calibración de la leche no es la correcta y hay cafés que no salen con espuma, en lo que va del mes nos faltan 500L de leche por eso solicito una revisión . Muchas gracias</t>
  </si>
  <si>
    <t>Se realiza visita técnica y se observa: 
* Moliendas mal calibradas 
* Faltante de leche 
* Errogador posterior tapado 
 Chicler obstruido 
*Circuito de leche obstruido 
* Bomba de leche deteriorada
 Válvulas colgando y tapas abiertas 
Conclusión.
Se realiza una limpieza completa de máquina, errogador, bomba de leche, circuito de leche y válvulas. Se realiza calibración de MM1 Y MM2 . La calibración de leche se pudo elevar de 140 a 163 máximo , después de la limpieza de piezas y lavado de circuito, ya que la bomba se encuentra deteriorada es el máximo que dió en peso. Se regulo espuma y se hizo una serie de pruebas con la Gerente de turno, quedando notificada de todo el trabajo realizado. 
Saludos atte servicio Técnico Cimbali</t>
  </si>
  <si>
    <t>2025-07-03 17:31:22</t>
  </si>
  <si>
    <t>2025-06-27 15:47:02</t>
  </si>
  <si>
    <t>Pesaje de leche incorrecto</t>
  </si>
  <si>
    <t>Buenas noches, calibrando la cimballi verificamos que el pesaje de leche no alcanzo los 180 cc, solicito visita para corregirlo, desde ya, muchas gracias</t>
  </si>
  <si>
    <t>Se realiza calibración de leche verificando que no se encuentra en el peso correcto, se calibra realiza pruebas y deja el peso dentro de los parámetros correctos.</t>
  </si>
  <si>
    <t>2025-07-10 14:38:20</t>
  </si>
  <si>
    <t>2025-06-27 21:48:20</t>
  </si>
  <si>
    <t>La leche sale fría, hace falta una válvula de leche</t>
  </si>
  <si>
    <t>Avisar cuando esté el repuesto en el local</t>
  </si>
  <si>
    <t>2025-07-07 12:45:05</t>
  </si>
  <si>
    <t>2025-06-28 13:15:06</t>
  </si>
  <si>
    <t>Sin espuma</t>
  </si>
  <si>
    <t>Buenas tardes. Los cafés siguen saliendo sin espuma.</t>
  </si>
  <si>
    <t>Abrir tiket cuando esté el repuesto en el local</t>
  </si>
  <si>
    <t>2025-07-07 12:38:27</t>
  </si>
  <si>
    <t>2025-06-28 13:22:27</t>
  </si>
  <si>
    <t>Revisión de moliendas y válvula de leche</t>
  </si>
  <si>
    <t>Se realiza visita técnica y se observa.
Moliendas mal calibradas por personal no idóneo.
Error 54 en pantalla.
Café estancado por toda la máquina. 
CONCLUSIÓN 
se realiza limpieza completa, calibración de Moliendas y leche en ambas máquinas. 
Quedando operativas , se notifica a Gerente Vanina y Gerente de Zona Camilo.</t>
  </si>
  <si>
    <t>2025-06-30 20:12:03</t>
  </si>
  <si>
    <t>2025-06-28 22:01:26</t>
  </si>
  <si>
    <t>Revisión de moliendas, hay que llevarlas a 150 y revisión de válvula de leche.</t>
  </si>
  <si>
    <t>Trabajo realizado, máquinas operativas .</t>
  </si>
  <si>
    <t>2025-07-02 09:24:28</t>
  </si>
  <si>
    <t>2025-06-28 22:02:03</t>
  </si>
  <si>
    <t>La cafetera no calienta</t>
  </si>
  <si>
    <t>Avisar cuando el repuesto esté en el local</t>
  </si>
  <si>
    <t>2025-07-07 12:44:41</t>
  </si>
  <si>
    <t>2025-06-29 10:32:14</t>
  </si>
  <si>
    <t>sale sin espuma el cafe</t>
  </si>
  <si>
    <t>sale café sin espuma y muy aguado</t>
  </si>
  <si>
    <t>2025-07-07 12:39:10</t>
  </si>
  <si>
    <t>2025-06-29 11:17:49</t>
  </si>
  <si>
    <t>No llega a temperatura las bebidas</t>
  </si>
  <si>
    <t>Se realiza visita técnica, se elimina error 58/59/8/9 de pantalla, se realiza una serie de pruebas con Gerente de turno Mar y la máquina queda operativa.</t>
  </si>
  <si>
    <t>2025-07-03 17:46:02</t>
  </si>
  <si>
    <t>2025-06-29 11:32:00</t>
  </si>
  <si>
    <t>Buenas tardes no está moliendo una de las tolvas</t>
  </si>
  <si>
    <t>Se encuentra molienda trabada, se saca y limpia muelas, deja operativo horario de servicio 1hs</t>
  </si>
  <si>
    <t>2025-07-09 12:25:13</t>
  </si>
  <si>
    <t>2025-06-29 16:27:35</t>
  </si>
  <si>
    <t>Sensor y calibración</t>
  </si>
  <si>
    <t>Sensor de cafetera roto, calibración de cafés y mangueras tapadas</t>
  </si>
  <si>
    <t>Por favor indicar cuál de todos los sensores</t>
  </si>
  <si>
    <t>2025-07-09 13:47:40</t>
  </si>
  <si>
    <t>2025-06-29 17:54:22</t>
  </si>
  <si>
    <t>Pastilla de cafe y poca leche</t>
  </si>
  <si>
    <t>Buenas ,la pastilla de cafe sale todo en polvo (las moliendas estan muy abiertas) y la leche no tiene nada de espuma, por favor solicitamos un técnico urgente!</t>
  </si>
  <si>
    <t>Se realiza puesta cero, empieza el circuito de leche y calibración de espuma se deja operativo, horario de servicio 2hs</t>
  </si>
  <si>
    <t>2025-07-06 19:47:40</t>
  </si>
  <si>
    <t>2025-06-29 23:18:39</t>
  </si>
  <si>
    <t>bloqueado</t>
  </si>
  <si>
    <t>nos encontramos con la cimballi bloqueada.</t>
  </si>
  <si>
    <t>Se revisa equipo.
Se encuentra caldera de servicio totalmente tapada por sarro,se limpia,se limpia circuito de agua totalmente tapado por el sarro,se realiza lavado y queda operativa.
Nota: se debe pedir filtro de leche ya que no tiene y eso afecta el peso y espuma de la leche.
* se debe pedir lluvia de lanza de té que no la tiene,se adjunta foto.
*Se recomienda instalar un sistema de ósmosis para la máquina,es la 4ta vez que acudimos por el mismo problema del sarro</t>
  </si>
  <si>
    <t>2025-07-02 17:33:15</t>
  </si>
  <si>
    <t>2025-07-01 11:55:03</t>
  </si>
  <si>
    <t>CAFESS AGUADOS Y FRIOS.</t>
  </si>
  <si>
    <t>Hola buenas, les solicito ayuda ya que ambas cafeteras presentan un cafe aguado, frio y con poca espuma. Las dos indican error 54, tambien a veces se traban las moliendas y cortan antes, es decir no se llena el vaso de cafe. Necesitamos si pueden venir a la brevedad, gracias desde ya.</t>
  </si>
  <si>
    <t>Se revisa tobogán el cual se encuentra con café pegado se limpia y estrada café se estaba molienda uno se limpian tubos de salida de molienda ya que se encuentra café trabado se limpia grupo y se calibran alturas de cafés de las dos cafeteras y espuma, se recomienda hacer un cambio de horrings en cafetera 2 ya que se encuentran desgastadas y cuando se realiza la compresión de la pastilla queda húmedo y se pega el café molido, horario de servicio 4horas</t>
  </si>
  <si>
    <t>2025-07-03 12:19:33</t>
  </si>
  <si>
    <t>2025-07-01 13:03:34</t>
  </si>
  <si>
    <t>SALTA LA TERMICA, Y NO SALE LECHE</t>
  </si>
  <si>
    <t>Buenas tardes, no podemos usar la cafetera ya que salta la térmica y no nos sale leche.</t>
  </si>
  <si>
    <t>Se realiza visita técnica y se encuentra causas del cortocircuito. Errogador posterior, se chequea circuito de leche y bomba y se encuentra chicler invertido, como resultado la bomba fue forzada y su funcionamiento se reduce a un 25% . 
La máquina queda operativa y se notifica a Gerencia y Mantenimiento.</t>
  </si>
  <si>
    <t>2025-07-02 16:04:31</t>
  </si>
  <si>
    <t>2025-07-01 14:05:21</t>
  </si>
  <si>
    <t>La cafetera directamente no funciona ! Necesito con urgencia que la vean. Gracias</t>
  </si>
  <si>
    <t>Trabajo realizado</t>
  </si>
  <si>
    <t>2025-07-03 17:40:47</t>
  </si>
  <si>
    <t>2025-07-01 15:55:47</t>
  </si>
  <si>
    <t>Molienda trabada</t>
  </si>
  <si>
    <t>Estimado! Buenas tardes. 
Se los trabó la molienda de la cafetera 1 (al lado de la heladera vertical). Necesitaríamos si pueden venir a verla. 
Muchas gracias. 
Saludos, 
Luciano Luna</t>
  </si>
  <si>
    <t>2025-07-07 09:10:57</t>
  </si>
  <si>
    <t>2025-07-01 17:05:00</t>
  </si>
  <si>
    <t>No muele bien la pastilla</t>
  </si>
  <si>
    <t>No muele bien los granos, la pastilla sale desarmada</t>
  </si>
  <si>
    <t>Se realiza puesta a cero de las dos moliendas, se encuentra muelas de molienda 2 desgastadas, se realiza prueba y deja operativo, horario de servicio 2hs</t>
  </si>
  <si>
    <t>2025-07-06 19:46:44</t>
  </si>
  <si>
    <t>2025-07-01 19:38:51</t>
  </si>
  <si>
    <t>Buen día no sale leche de la cafetera</t>
  </si>
  <si>
    <t>Se realiza limpieza de circuito de leche, se encuentra la bomba de leche tapada, se calibran peso de leche, se calibra espuma de café, se debe reemplazar válvula ELF3 y colocar pico de leche ya que sin esta se podría volver a tapar el filtro, horario de servicio 3hs</t>
  </si>
  <si>
    <t>2025-07-04 08:54:56</t>
  </si>
  <si>
    <t>2025-07-03 08:03:20</t>
  </si>
  <si>
    <t>No funciona</t>
  </si>
  <si>
    <t>Buen día tenemos la cimballi sin funcionar no calienta los cafés sale todo en rojo y no sale agua</t>
  </si>
  <si>
    <t>Resuelto por técnico de propios</t>
  </si>
  <si>
    <t>2025-07-09 13:46:23</t>
  </si>
  <si>
    <t>2025-07-03 12:45:27</t>
  </si>
  <si>
    <t>Buenas noches, la cafetera sale con error 55 y el café sale frío</t>
  </si>
  <si>
    <t>Se debe solicitar repuesto,luego de eso abrir nuevo ticket solicitando el reemplazo</t>
  </si>
  <si>
    <t>2025-07-07 09:12:32</t>
  </si>
  <si>
    <t>2025-07-03 19:35:53</t>
  </si>
  <si>
    <t>FUERA DE SERVICIO</t>
  </si>
  <si>
    <t>la cafetera me da un cartel "FUERA DE SERVICIO" intenté apagarla etc y sigue igual</t>
  </si>
  <si>
    <t>Reemplazaron cimballi por otra cafetera</t>
  </si>
  <si>
    <t>2025-07-09 17:44:28</t>
  </si>
  <si>
    <t>2025-07-04 08:41:38</t>
  </si>
  <si>
    <t>Leche sale fria</t>
  </si>
  <si>
    <t>Buenas tarde la leche sale fría, el café sale sin espuma</t>
  </si>
  <si>
    <t>Se revisó alturas y temperaturas de cafés, se calibraron temperaturas y espuma de cafés</t>
  </si>
  <si>
    <t>2025-07-05 13:36:40</t>
  </si>
  <si>
    <t>2025-07-04 16:57:17</t>
  </si>
  <si>
    <t>La leche no llega ni a consistencia ni a temperatura</t>
  </si>
  <si>
    <t>Estimados, buenas tardes.
 Necesitamos la visita de un tecnico ya que la leche sale fria y poco consistente. Ya le habiamos realizado previamente un cambio de la válvula de leche. 
Aguardo pronta respuesta.
Saludos 
Conochelli Maria.</t>
  </si>
  <si>
    <t>Se realizó visita técnica y se observa:
*Leche y café fríos
* Electroválvula A/C fallando 
* Perdida de vapor 
Conclusión 
Se realiza medición y mantenimiento de electroválvulas se repara la perdida de vapor, se realiza cambio de repuesto, se elimina error de pantalla y se prueba junto a Franquiciado Sr Ranquel. La máquina queda operativa se notifica a Gerente de turno Srita María</t>
  </si>
  <si>
    <t>2025-07-06 09:27:41</t>
  </si>
  <si>
    <t>2025-07-04 19:13:59</t>
  </si>
  <si>
    <t>Solicitar repuesto a depósito y abrir ticket para reemplazar</t>
  </si>
  <si>
    <t>2025-07-13 20:21:17</t>
  </si>
  <si>
    <t>2025-07-04 20:23:55</t>
  </si>
  <si>
    <t>buenas noches. quería saber si me pueden pasar en detallado lo que vieron en la cafetera por el tk anterior, ya que la cafetera sigue igual no se arregló</t>
  </si>
  <si>
    <t>Se realiza visita técnica nuevamente y se observa.
* Moliendas mal calibradas * leche fuera de peso * espuma regular * balanza en mal estado* Faltante de circuito de leche ELF 3 * Bomba de leche trabajando al 50% . CONCLUSIÓN. se realiza calibración de MM1 MM2 Y se obtiene los 8 gramos, se recomienda cambio de balanza su plato está inclinado a la derecha y sus resultados son 2 puntos arriba según donde apoye el vaso , se realizo limpieza de Máquina, se hizo el pesaje de leche y se elevó hasta 158 , 10 puntos más . Se recomienda cambio de bomba de leche y pedir válvula ELF 3 del mismo circuito. Saludos atte servicio técnico Cimbali</t>
  </si>
  <si>
    <t>2025-07-06 08:54:43</t>
  </si>
  <si>
    <t>2025-07-05 01:55:46</t>
  </si>
  <si>
    <t>ERROR 58</t>
  </si>
  <si>
    <t>Error 58 no se puede usar ya que aparece frío</t>
  </si>
  <si>
    <t>Máquina Operativa</t>
  </si>
  <si>
    <t>2025-07-07 10:09:44</t>
  </si>
  <si>
    <t>2025-07-05 16:17:59</t>
  </si>
  <si>
    <t>No hace espuma las cafeteras</t>
  </si>
  <si>
    <t>Hola buenas, no sale espuma con las cafeteras, y no llenan los cafer</t>
  </si>
  <si>
    <t>Se encuentra lechera congelada y manguera sin pico de leche, se regulan espuma y alturas de todos los cafés, horario de servicio 2hs</t>
  </si>
  <si>
    <t>2025-07-06 19:44:20</t>
  </si>
  <si>
    <t>2025-07-05 20:34:37</t>
  </si>
  <si>
    <t>Buenas noches, la cafetera está en modo frío, no sale ningún café</t>
  </si>
  <si>
    <t>2025-07-07 09:19:42</t>
  </si>
  <si>
    <t>2025-07-05 20:40:41</t>
  </si>
  <si>
    <t>Cinballin</t>
  </si>
  <si>
    <t>Hola buen día, no me anda la máquina ya lo apague y lo prendí y me muestra que está frio todavia.
 Hice el lavado y me muestra que está frio todavia</t>
  </si>
  <si>
    <t>Se realizó visita técnica se elimino error de pantalla se hizo lavado completo y seguimiento de venta la máquina queda operativa.</t>
  </si>
  <si>
    <t>2025-07-07 22:07:26</t>
  </si>
  <si>
    <t>2025-07-06 08:28:09</t>
  </si>
  <si>
    <t>Placa triac</t>
  </si>
  <si>
    <t>Buenos días, no deja de salir vapor de la placa de seguridad (placa triac averiada).</t>
  </si>
  <si>
    <t>Se reemplaza placa triac queda operativa</t>
  </si>
  <si>
    <t>Av de Mayo 1</t>
  </si>
  <si>
    <t>2025-07-07 15:15:31</t>
  </si>
  <si>
    <t>2025-07-06 12:23:55</t>
  </si>
  <si>
    <t>Calibración correcta y tira un error</t>
  </si>
  <si>
    <t>Buenas tardes, ya contamos con cafetera necesitamos si pueden pasar a calibrarla correctamente y también lo que es Latte sale solo hasta la mitad y no sale la leche</t>
  </si>
  <si>
    <t>Se realizó visita técnica y se observa: 
*Moliendas mal calibradas 
* Se error de pantalla 
* Polaridad de tensión invertida 
CONCLUSIÓN 
Se elimina error de pantalla, se calibran moliendas MM1 MM2 , LECHE Y ESPUMA, se encuentra error en enchufe trifásico con POLARIDAD INVERTIDA se notifica a Gerencia de turno Sr. Matías y se me da por respuesta que hoy mismo mantenimiento pasará a reparar el enchufe.</t>
  </si>
  <si>
    <t>2025-07-07 22:04:23</t>
  </si>
  <si>
    <t>2025-07-06 13:45:14</t>
  </si>
  <si>
    <t>Ninguno de los cafés saca leche</t>
  </si>
  <si>
    <t>ninguno de los cafés saca leche</t>
  </si>
  <si>
    <t>Se encuentra manguera sin pico de leche, se limpia circuito de leche más bomba de leche tapados, se calibra espuma y deja operativo horario de servicio 1hs</t>
  </si>
  <si>
    <t>2025-07-06 19:43:03</t>
  </si>
  <si>
    <t>2025-07-06 15:23:58</t>
  </si>
  <si>
    <t>Problema con las caldera</t>
  </si>
  <si>
    <t>Hola buenas estamos teniendo problemas con las calderas , vinieron a ver hace unas horas la misma cimbali por error 58 y ahora al hacer cafe larga olor feo y a humedad. También el agua caliente sale fea y sucia.</t>
  </si>
  <si>
    <t>Solucionado por particular llamado por el local</t>
  </si>
  <si>
    <t>2025-07-09 12:24:07</t>
  </si>
  <si>
    <t>2025-07-06 17:17:02</t>
  </si>
  <si>
    <t>Pierde cafe y sale mal</t>
  </si>
  <si>
    <t>Hola buen día, estamos detectando muy fuerte la lagrima, el expresso sale con gusto a quemado, el cortado sale muy lento, y pierde cafe por la bandeja de abajo. Necesito una solución urgente.</t>
  </si>
  <si>
    <t>Se limpio grupo y salidas de café, se debe cambiar válvula ED por perdida</t>
  </si>
  <si>
    <t>2025-07-09 16:11:01</t>
  </si>
  <si>
    <t>2025-07-07 09:37:20</t>
  </si>
  <si>
    <t>NO FUNCIONA CAFETERA</t>
  </si>
  <si>
    <t>Buenas ! La cafetera no funciona, se traban las moliendas, sale vapor internamente y hace que se moje todo y así salte la térmica. También estamos sin bomba de leche, por lo tanto solo la estábamos usando con café.</t>
  </si>
  <si>
    <t>Se instaló máquina nueva en reemplazo</t>
  </si>
  <si>
    <t>2025-07-13 11:34:03</t>
  </si>
  <si>
    <t>2025-07-07 13:05:07</t>
  </si>
  <si>
    <t>Cafetera no larga leche</t>
  </si>
  <si>
    <t>Al poner un café con leche solo sale café pero cuando tiene que salir leche solo larga vapor</t>
  </si>
  <si>
    <t>Se realiza visita técnica, se calibran moliendas y leche también se regula espuma La máquina queda operativa.</t>
  </si>
  <si>
    <t>2025-07-15 14:07:10</t>
  </si>
  <si>
    <t>2025-07-07 14:57:26</t>
  </si>
  <si>
    <t>Hola buenas reabro ticket ya que no nos sale cafe. Les pido que por favor que nos ayuden a solucionar ya que nos afecta a la operación. Muchas gracias</t>
  </si>
  <si>
    <t>Se adjuntan fotos del trabajo realizado junto con las sugerencias y estado de la máquina .</t>
  </si>
  <si>
    <t>2025-07-09 13:38:21</t>
  </si>
  <si>
    <t>2025-07-08 12:26:43</t>
  </si>
  <si>
    <t>Cimbali no saca café</t>
  </si>
  <si>
    <t>La cimbali no saca café</t>
  </si>
  <si>
    <t>Se realizó visita técnica y se observa: 
* No sale café 
* Moliendas mal calibradas 
* Espuma irregular 
* Error 55 en pantalla 
CONCLUSIÓN 
Se elimina error de pantalla, se calibran moliendas, se repara circuitos de café y se regula espuma . Se demuestra el trabajo realizado a Gerencia de turno Sr Satia la máquina queda operativa</t>
  </si>
  <si>
    <t>2025-07-10 08:19:04</t>
  </si>
  <si>
    <t>2025-07-08 13:50:56</t>
  </si>
  <si>
    <t>Mal funcionamiento</t>
  </si>
  <si>
    <t>Hola buenas noches, los cafés están saliendo muy fríos y,  lo que es el cafe expreso esta saliendo aguado y el cafe quemado</t>
  </si>
  <si>
    <t>Se revisa circuito de leche, se limpia cliché, se revisa válvula de retención de em a esm, se debe cambiar válvula ED por pequeña pérdida y bomba de leche, se calibra espuma de leche se deja operativa, horario de servicio 1hs</t>
  </si>
  <si>
    <t>2025-07-09 16:09:48</t>
  </si>
  <si>
    <t>2025-07-08 19:45:20</t>
  </si>
  <si>
    <t>Buenoas días. Se nos bloqueo la cafetera.
Podrían pasar a verla por favor.</t>
  </si>
  <si>
    <t>Queda resuelto junto con el ticket anterior</t>
  </si>
  <si>
    <t>2025-07-10 15:49:59</t>
  </si>
  <si>
    <t>2025-07-09 09:29:24</t>
  </si>
  <si>
    <t>No muele el cafe</t>
  </si>
  <si>
    <t>Buenos días, la cafetera no me está moliendo el café, y hace que no salga y salga así.</t>
  </si>
  <si>
    <t>Se realiza limpieza de grupo y interior de cafetera se realiza prueba y el grupo no reacciona a los comandos, Se debe cambiar motor de grupo y sensores</t>
  </si>
  <si>
    <t>2025-07-09 16:12:17</t>
  </si>
  <si>
    <t>2025-07-09 10:22:26</t>
  </si>
  <si>
    <t>CAMBIO DE SENSOR DE LECHE Y GRAMAJES</t>
  </si>
  <si>
    <t>Buenas necesito el cambio de sensor de leche por que no funciona y gramajes de cafes</t>
  </si>
  <si>
    <t>Solicitar repuesto a depósito luego se realizará el cambio</t>
  </si>
  <si>
    <t>2025-07-11 17:13:52</t>
  </si>
  <si>
    <t>2025-07-09 11:50:18</t>
  </si>
  <si>
    <t>Pierde leche por abajo de la cimballi</t>
  </si>
  <si>
    <t>Hola buenas, la cimballi pierde por abajo no sabemos el motivo, necesito una solución urgente. Gracias</t>
  </si>
  <si>
    <t>Abrir nuevo ticket cuando reciban el repuesto</t>
  </si>
  <si>
    <t>2025-07-13 11:35:42</t>
  </si>
  <si>
    <t>2025-07-10 08:20:57</t>
  </si>
  <si>
    <t>falla cafe</t>
  </si>
  <si>
    <t>no sale café, solo cortado.</t>
  </si>
  <si>
    <t>Descripción del trabajo más abajo.</t>
  </si>
  <si>
    <t>2025-07-10 15:49:21</t>
  </si>
  <si>
    <t>2025-07-10 10:41:29</t>
  </si>
  <si>
    <t>INSTALACIÓN CIMBALLI</t>
  </si>
  <si>
    <t>Buenas tardes, necesito instalación de equipo nuevo ! Gracias</t>
  </si>
  <si>
    <t>Se realizó instalación de Máquina, se cargó su programación y se hacen todo tipo de pruebas con Administración Sr Florencia Gerencia y Mantenimiento. LA MÁQUINA QUEDA OPERATIVA</t>
  </si>
  <si>
    <t>2025-07-14 12:13:55</t>
  </si>
  <si>
    <t>2025-07-10 12:45:22</t>
  </si>
  <si>
    <t>Problema Cafetera</t>
  </si>
  <si>
    <t>Se revisa pérdida de en cafetera, embudo blanco se encuentra quebrada se colocan precintos para poder seguir la venta hasta que pidan repuestos ,manguera de leche se encuentra sin pico se debe colocar urgente para no tapar el circuito de leche, lanza de té tapada se limpia y deja operando, tiempos de molienda se encuentran dentro de los parámetros correctos, horario de servicio 1hs</t>
  </si>
  <si>
    <t>2025-07-12 13:16:11</t>
  </si>
  <si>
    <t>2025-07-11 16:43:23</t>
  </si>
  <si>
    <t>Estimados, buenas tardes. 
Necesitamos la visita de un tecnico ya que la cafetera tira error 8 y no sale cafe.</t>
  </si>
  <si>
    <t>Se revisa grupo se limpia sensores se realiza prueba y el grupo no sube ni baja se debe cambiar el motor del grupo para poder comprimir las pastillas, también se debe cambiar tobogán ya que se encuentra quebrado, horario de servicio 1hs</t>
  </si>
  <si>
    <t>2025-07-13 16:37:37</t>
  </si>
  <si>
    <t>2025-07-12 16:36:46</t>
  </si>
  <si>
    <t>Fuga de corriente</t>
  </si>
  <si>
    <t>Buenos días, la maquina de café tiene una fuga de corriente, necesitamos que vengan a verla, da un cosquilleo bastante fuerte al tocarla.</t>
  </si>
  <si>
    <t>Se realiza visita técnica y se observa: 
Fuga de tensión, perdida de leche y agua por drenaje , línea trifásica compartida con Broiler y Taylor. 
SE REALIZA MEDICIÓN Y AISLAMIENTO SE HACEN LAS PRUEBAS PERTINENTE CON GERENCIA SRITA CLARA LA MÁQUINA QUEDA OPERATIVA.</t>
  </si>
  <si>
    <t>2025-07-15 14:10:35</t>
  </si>
  <si>
    <t>2025-07-13 10:14:14</t>
  </si>
  <si>
    <t>Estimados buenas noches! El lado izquierdo de la cafetera no muele café eso hace que algunos café no salgan como corresponde pero al funcionar el lado derecho se pueden hacer algunos cafe ej el latte y el expreso doble todo lo demas no funciona sale agua en vez de café.</t>
  </si>
  <si>
    <t>Se destraba molinillo manualmente y se limpia grupo de café,se realiza limpieza de grupo de café además con pastilla de lavado,ya que el interior del grupo de café se encontraba con grumos grandes de café,provocando que el café molido no cayera correctamente dentro del depósito del grupo.
NOTA: se recomienda hacer lavado de grupo al menos una o 2 veces al día con la pastilla de lavado.</t>
  </si>
  <si>
    <t>2025-07-14 14:22:09</t>
  </si>
  <si>
    <t>2025-07-14 00:41:50</t>
  </si>
  <si>
    <t>Cambio de repuesto</t>
  </si>
  <si>
    <t>Estimados, buenos dias.
Solicitamos la visita de un tecnico para cambio de repuesto a la mayor brevedad posible ya que la cafetera está sin funcionar.
Saludos</t>
  </si>
  <si>
    <t>Se reemplaza motor de grupo de café,queda la máquina operativa.
NOTA: El motor que no funcionaba queda en el local por si lo quieren repararar.
Además se debe cambiar el tobogán del grupo de café ya que se encuentra partido pero en funcionamiento igualmente.</t>
  </si>
  <si>
    <t>2025-07-14 12:14:10</t>
  </si>
  <si>
    <t>2025-07-14 06:32:41</t>
  </si>
  <si>
    <t>Problemas con lechera y perdida de agua</t>
  </si>
  <si>
    <t>Buenas noches, la lechera de la cafetera está funcionando incorrectamente, la leche sale fría y sin espuma. Adicional a esto la cafetera pierde agua, pero no es posible ver de dónde pierde.</t>
  </si>
  <si>
    <t>Se realizó visita técnica y se observa: 
Deposito sin filtro de leche 
Leche fría 
Falla en circuito de vapor 
Se realiza reparación de circuito vapor EM ESM , se mide temperatura con pirómetro.LA MÁQUINA QUEDA OPERATIVA SE NOTIFICA A GERENTE DE TURNO</t>
  </si>
  <si>
    <t>2025-07-15 16:58:38</t>
  </si>
  <si>
    <t>2025-07-14 18:55:15</t>
  </si>
  <si>
    <t>1 hs</t>
  </si>
  <si>
    <t>2 hs</t>
  </si>
  <si>
    <t xml:space="preserve">1 hs </t>
  </si>
  <si>
    <t xml:space="preserve">2 hs </t>
  </si>
  <si>
    <t>1hs</t>
  </si>
  <si>
    <t xml:space="preserve"> 1 hs</t>
  </si>
  <si>
    <t>Horas</t>
  </si>
  <si>
    <t>usd</t>
  </si>
  <si>
    <t>articulo</t>
  </si>
  <si>
    <t>descripcion</t>
  </si>
  <si>
    <t>fecha</t>
  </si>
  <si>
    <t>modulo</t>
  </si>
  <si>
    <t>cbte</t>
  </si>
  <si>
    <t>numero</t>
  </si>
  <si>
    <t>cantidad</t>
  </si>
  <si>
    <t>razon</t>
  </si>
  <si>
    <t>Precio compra</t>
  </si>
  <si>
    <t>Precio venta Franquicia</t>
  </si>
  <si>
    <t>10009</t>
  </si>
  <si>
    <t>SENSOR DE LLAMA NACIONAL</t>
  </si>
  <si>
    <t>VTAS</t>
  </si>
  <si>
    <t>DBM</t>
  </si>
  <si>
    <t>00004031</t>
  </si>
  <si>
    <t>JERAL MOSTAZA S.A.S.</t>
  </si>
  <si>
    <t>10020</t>
  </si>
  <si>
    <t>Válvula Seguridad 532392700</t>
  </si>
  <si>
    <t>00004071</t>
  </si>
  <si>
    <t>FERNANDEZ NATALIA Y DE ZUBIZAR</t>
  </si>
  <si>
    <t>10090</t>
  </si>
  <si>
    <t>966936010 Kit fotocélula conector</t>
  </si>
  <si>
    <t>00004037</t>
  </si>
  <si>
    <t>BURGERBUS S.A.</t>
  </si>
  <si>
    <t>00004107</t>
  </si>
  <si>
    <t>GUSPABEL-SOL S.A.</t>
  </si>
  <si>
    <t>10091</t>
  </si>
  <si>
    <t>KIT  ORINGS TAYLOR 713</t>
  </si>
  <si>
    <t>00003978</t>
  </si>
  <si>
    <t>MUSTARD S.R.L.</t>
  </si>
  <si>
    <t>10092</t>
  </si>
  <si>
    <t>CUCHILLAS TAYLOR 713</t>
  </si>
  <si>
    <t>10107</t>
  </si>
  <si>
    <t>Motor cimballi</t>
  </si>
  <si>
    <t>00004036</t>
  </si>
  <si>
    <t>ROSDA S.R.L.</t>
  </si>
  <si>
    <t>00004131</t>
  </si>
  <si>
    <t>CLONI S.A</t>
  </si>
  <si>
    <t>10119</t>
  </si>
  <si>
    <t>537056100 KIT DE CONDUCTO (TOBOGAN)</t>
  </si>
  <si>
    <t>00003971</t>
  </si>
  <si>
    <t>MTZ (PORTAL LOMAS)</t>
  </si>
  <si>
    <t>00003998</t>
  </si>
  <si>
    <t>ACENDRADO FAST FOOD S.A.</t>
  </si>
  <si>
    <t>10133</t>
  </si>
  <si>
    <t>966492000 PROTECTOR DE GOMA DE VALVULA DE PRESION</t>
  </si>
  <si>
    <t>10188</t>
  </si>
  <si>
    <t>RESORTE GUIA PISTON SUP</t>
  </si>
  <si>
    <t>10208</t>
  </si>
  <si>
    <t>Sensor de Temp.Grupo 966486000</t>
  </si>
  <si>
    <t>00003985</t>
  </si>
  <si>
    <t>VILLA MATILDE MDQ S.A (LA PERL</t>
  </si>
  <si>
    <t>00003999</t>
  </si>
  <si>
    <t>BUENAS OPERACIONES S.R.L</t>
  </si>
  <si>
    <t>10259</t>
  </si>
  <si>
    <t>TUBO ALIMENTACION CATTABRIGA</t>
  </si>
  <si>
    <t>00003942</t>
  </si>
  <si>
    <t>TEFLON TOSTA VERTICAL NACIONAL</t>
  </si>
  <si>
    <t>00004151</t>
  </si>
  <si>
    <t>COMERCIAL BOLIVAR S.A</t>
  </si>
  <si>
    <t>10320</t>
  </si>
  <si>
    <t>kit banda siliconada TOSTADORA IMPORTADA</t>
  </si>
  <si>
    <t>10382</t>
  </si>
  <si>
    <t>PLACA TRIACK S30 USADO</t>
  </si>
  <si>
    <t>00003963</t>
  </si>
  <si>
    <t>SOBREMESA S.R.L.</t>
  </si>
  <si>
    <t>10409</t>
  </si>
  <si>
    <t>MUELLE PISTON INF. 431036020</t>
  </si>
  <si>
    <t>10413</t>
  </si>
  <si>
    <t>CAPACITOR 10MF 531494300</t>
  </si>
  <si>
    <t>00004160</t>
  </si>
  <si>
    <t>PARADOR 71 SRL(LINIERS)</t>
  </si>
  <si>
    <t>10416</t>
  </si>
  <si>
    <t>EMPALME PORTA GOMA 532600700</t>
  </si>
  <si>
    <t>10419</t>
  </si>
  <si>
    <t>BOMBA INOX 533180010</t>
  </si>
  <si>
    <t>00004007</t>
  </si>
  <si>
    <t>00004119</t>
  </si>
  <si>
    <t>10420</t>
  </si>
  <si>
    <t>KIT E3 781742000</t>
  </si>
  <si>
    <t>00003974</t>
  </si>
  <si>
    <t>10433</t>
  </si>
  <si>
    <t>KIT B 966952000</t>
  </si>
  <si>
    <t>10434</t>
  </si>
  <si>
    <t>KIT E1  966953000</t>
  </si>
  <si>
    <t>10440</t>
  </si>
  <si>
    <t>BOMBA LECHE USADO</t>
  </si>
  <si>
    <t>00004022</t>
  </si>
  <si>
    <t>MOSTAZA 2530 S.A</t>
  </si>
  <si>
    <t>10498</t>
  </si>
  <si>
    <t>940072002F RACOR DIFUSOR CALENTADOR 1/8 GAS</t>
  </si>
  <si>
    <t>00003976</t>
  </si>
  <si>
    <t>BARSI FOODS SA</t>
  </si>
  <si>
    <t>00004159</t>
  </si>
  <si>
    <t>10500</t>
  </si>
  <si>
    <t>946810000 CONJ.SONDA DE NIVEL</t>
  </si>
  <si>
    <t>10562</t>
  </si>
  <si>
    <t>KIT QUEMADORES PITCO</t>
  </si>
  <si>
    <t>00004121</t>
  </si>
  <si>
    <t>FGC FUELS MARKETING SA (PUMA)</t>
  </si>
  <si>
    <t>00003960</t>
  </si>
  <si>
    <t>OCTOPUS GROUP SA (c. quilmes)</t>
  </si>
  <si>
    <t>10587</t>
  </si>
  <si>
    <t>VALVULA EM USADA</t>
  </si>
  <si>
    <t>00004003</t>
  </si>
  <si>
    <t>EL SEÑUELO SAS (MORENO)</t>
  </si>
  <si>
    <t>6004</t>
  </si>
  <si>
    <t>RACOR DIFUSOR CALDERA</t>
  </si>
  <si>
    <t>00004019</t>
  </si>
  <si>
    <t>MTZ CABILDO SAS</t>
  </si>
  <si>
    <t>00004034</t>
  </si>
  <si>
    <t>BOEDO GOURMET SRL</t>
  </si>
  <si>
    <t>Valvula G</t>
  </si>
  <si>
    <t>00004035</t>
  </si>
  <si>
    <t>10580</t>
  </si>
  <si>
    <t>534393100 CONTADOR VOLUMETRICO GICAR CON ADAPT Usa</t>
  </si>
  <si>
    <t>00004080</t>
  </si>
  <si>
    <t>Caldera Grande Usada</t>
  </si>
  <si>
    <t>00004120</t>
  </si>
  <si>
    <t>00004161</t>
  </si>
  <si>
    <t>total</t>
  </si>
  <si>
    <t>10067</t>
  </si>
  <si>
    <t>FLEXIBLES QUEMADORES AIRE LARGO NACIONAL</t>
  </si>
  <si>
    <t>00004187</t>
  </si>
  <si>
    <t>FARTRES MDZ S.A</t>
  </si>
  <si>
    <t>10068</t>
  </si>
  <si>
    <t>CADENA GRANDE BROILER JF63/2 330 mm</t>
  </si>
  <si>
    <t>10373</t>
  </si>
  <si>
    <t>CONJUNTO CALDERA GRANDE</t>
  </si>
  <si>
    <t>10010</t>
  </si>
  <si>
    <t>SENSOR DE TEMP. NACIONAL</t>
  </si>
  <si>
    <t>00004193</t>
  </si>
  <si>
    <t>PLAM FOXTER S.A.</t>
  </si>
  <si>
    <t>10072</t>
  </si>
  <si>
    <t>BUJE BRONCE BROILER</t>
  </si>
  <si>
    <t>10121</t>
  </si>
  <si>
    <t>KIT ORINGS TAYLOR 716</t>
  </si>
  <si>
    <t>10303</t>
  </si>
  <si>
    <t>EJE DELANTERO GRANDE JF64</t>
  </si>
  <si>
    <t>10304</t>
  </si>
  <si>
    <t>EJE DELANTERO CHICO JF64 / JF63N GRANDE</t>
  </si>
  <si>
    <t>10307</t>
  </si>
  <si>
    <t>LAMPARA 375W</t>
  </si>
  <si>
    <t>10560</t>
  </si>
  <si>
    <t>SOPLADOR DE BROILER ORIGINAL</t>
  </si>
  <si>
    <t>6012</t>
  </si>
  <si>
    <t>TEFLON TOSTADORA VERTICAL IMPORTADA</t>
  </si>
  <si>
    <t>00004203</t>
  </si>
  <si>
    <t>10139</t>
  </si>
  <si>
    <t>REGADERAS</t>
  </si>
  <si>
    <t>00004227</t>
  </si>
  <si>
    <t>LOS INVENCIBLES S.A. (villa ur</t>
  </si>
  <si>
    <t>10332</t>
  </si>
  <si>
    <t>Junta Teflon 402302000</t>
  </si>
  <si>
    <t>00004204</t>
  </si>
  <si>
    <t>TREVAGO S.A.</t>
  </si>
  <si>
    <t>10512</t>
  </si>
  <si>
    <t>966513002F TUBO SENSOR PRESION</t>
  </si>
  <si>
    <t>00004230</t>
  </si>
  <si>
    <t>00004226</t>
  </si>
  <si>
    <t>00004242</t>
  </si>
  <si>
    <t>EVOLUCION DRF S.R.L</t>
  </si>
  <si>
    <t>431914010 MOTOR 24V 420RPM</t>
  </si>
  <si>
    <t>10258</t>
  </si>
  <si>
    <t>ORING CATTABRIGA                                  </t>
  </si>
  <si>
    <t>00004255</t>
  </si>
  <si>
    <t>10582</t>
  </si>
  <si>
    <t>VALVULA EAR USADA</t>
  </si>
  <si>
    <t>00004263</t>
  </si>
  <si>
    <t>00004258</t>
  </si>
  <si>
    <t xml:space="preserve">VALVULA ELF3 USADO                                                                                  </t>
  </si>
  <si>
    <t>00004262</t>
  </si>
  <si>
    <t xml:space="preserve">REGULADOR DE ESPUMA USADO                                                                           </t>
  </si>
  <si>
    <t>00004312</t>
  </si>
  <si>
    <t>10368</t>
  </si>
  <si>
    <t>JF64 SEPARADOR CHICO</t>
  </si>
  <si>
    <t>10369</t>
  </si>
  <si>
    <t>JF64 SEPARADOR GRANDE</t>
  </si>
  <si>
    <t>00004294</t>
  </si>
  <si>
    <t>00004330</t>
  </si>
  <si>
    <t>10267</t>
  </si>
  <si>
    <t>Resorte Inferior Tope Grupo Café</t>
  </si>
  <si>
    <t>00004329</t>
  </si>
  <si>
    <t>10436</t>
  </si>
  <si>
    <t>KIT EM 966957000</t>
  </si>
  <si>
    <t>00004349</t>
  </si>
  <si>
    <t>10598</t>
  </si>
  <si>
    <t>ARIADOR USADO</t>
  </si>
  <si>
    <t>00004346</t>
  </si>
  <si>
    <t>ARLEQUINO SRL</t>
  </si>
  <si>
    <t>10644</t>
  </si>
  <si>
    <t>484391000 KIT B manguera de leche</t>
  </si>
  <si>
    <t>10061</t>
  </si>
  <si>
    <t>FLEXIBLES QUEMADORES AIRE CORTO NACIONAL</t>
  </si>
  <si>
    <t>00004363</t>
  </si>
  <si>
    <t>00004386</t>
  </si>
  <si>
    <t>00004385</t>
  </si>
  <si>
    <t>MOSTABERA SAS</t>
  </si>
  <si>
    <t xml:space="preserve">EMPALME DESAGUE SERIE1	</t>
  </si>
  <si>
    <t>00004380</t>
  </si>
  <si>
    <t>Total Horas Tecnico jUNIO</t>
  </si>
  <si>
    <t>Total Horas Tecnico JULIO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</si>
</sst>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_-[$$-2C0A]\ * #,##0_-;\-[$$-2C0A]\ * #,##0_-;_-[$$-2C0A]\ * &quot;-&quot;??_-;_-@_-"/>
  </numFmts>
  <fonts count="4" x14ac:knownFonts="1">
    <font>
      <sz val="10"/>
      <name val="Arial"/>
      <family val="2"/>
    </font>
    <font>
      <b/>
      <sz val="10"/>
      <name val="Arial"/>
      <family val="2"/>
    </font>
    <font>
      <sz val="8"/>
      <name val="Arial"/>
      <family val="2"/>
    </font>
    <font>
      <sz val="10"/>
      <name val="Arial"/>
      <family val="2"/>
    </font>
  </fonts>
  <fills count="8">
    <fill>
      <patternFill patternType="none"/>
    </fill>
    <fill>
      <patternFill patternType="gray125"/>
    </fill>
    <fill>
      <patternFill patternType="solid">
        <fgColor indexed="13"/>
        <bgColor indexed="34"/>
      </patternFill>
    </fill>
    <fill>
      <patternFill patternType="solid">
        <fgColor theme="6"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3" fillId="0" borderId="0" applyFont="0" applyFill="0" applyBorder="0" applyAlignment="0" applyProtection="0"/>
  </cellStyleXfs>
  <cellXfs count="15">
    <xf numFmtId="0" fontId="0" fillId="0" borderId="0" xfId="0"/>
    <xf numFmtId="0" fontId="1" fillId="2" borderId="1" xfId="0" applyFont="1" applyFill="1" applyBorder="1"/>
    <xf numFmtId="0" fontId="0" fillId="0" borderId="1" xfId="0" applyBorder="1"/>
    <xf numFmtId="0" fontId="0" fillId="0" borderId="1" xfId="0" applyBorder="1" applyAlignment="1">
      <alignment horizontal="center"/>
    </xf>
    <xf numFmtId="0" fontId="0" fillId="3" borderId="1" xfId="0" applyFill="1" applyBorder="1" applyAlignment="1">
      <alignment horizontal="center"/>
    </xf>
    <xf numFmtId="0" fontId="0" fillId="4" borderId="1" xfId="0" applyFill="1" applyBorder="1"/>
    <xf numFmtId="0" fontId="1" fillId="5" borderId="0" xfId="0" applyFont="1" applyFill="1"/>
    <xf numFmtId="0" fontId="1" fillId="5" borderId="0" xfId="0" applyFont="1" applyFill="1" applyAlignment="1">
      <alignment horizontal="center"/>
    </xf>
    <xf numFmtId="0" fontId="0" fillId="6" borderId="1" xfId="0" applyFill="1" applyBorder="1"/>
    <xf numFmtId="0" fontId="0" fillId="0" borderId="0" xfId="0" applyAlignment="1">
      <alignment horizontal="center"/>
    </xf>
    <xf numFmtId="0" fontId="1" fillId="2" borderId="1" xfId="0" applyFont="1" applyFill="1" applyBorder="1" applyAlignment="1">
      <alignment horizontal="center"/>
    </xf>
    <xf numFmtId="0" fontId="0" fillId="7" borderId="1" xfId="0" applyFill="1" applyBorder="1" applyAlignment="1">
      <alignment horizontal="center"/>
    </xf>
    <xf numFmtId="165" fontId="3" fillId="0" borderId="0" xfId="1" applyNumberFormat="1"/>
    <xf numFmtId="14" fontId="0" fillId="0" borderId="0" xfId="0" applyNumberFormat="1"/>
    <xf numFmtId="0" fontId="0" fillId="0" borderId="0" xfId="0" applyAlignment="1">
      <alignment horizontal="left"/>
    </xf>
  </cellXfs>
  <cellStyles count="2">
    <cellStyle name="Moneda" xfId="1" builtinId="4"/>
    <cellStyle name="Normal" xfId="0" builtinId="0"/>
  </cellStyles>
  <dxfs count="12">
    <dxf>
      <numFmt numFmtId="165" formatCode="_-[$$-2C0A]\ * #,##0_-;\-[$$-2C0A]\ * #,##0_-;_-[$$-2C0A]\ * &quot;-&quot;??_-;_-@_-"/>
    </dxf>
    <dxf>
      <numFmt numFmtId="165" formatCode="_-[$$-2C0A]\ * #,##0_-;\-[$$-2C0A]\ * #,##0_-;_-[$$-2C0A]\ * &quot;-&quot;??_-;_-@_-"/>
    </dxf>
    <dxf>
      <numFmt numFmtId="165" formatCode="_-[$$-2C0A]\ * #,##0_-;\-[$$-2C0A]\ * #,##0_-;_-[$$-2C0A]\ * &quot;-&quot;??_-;_-@_-"/>
    </dxf>
    <dxf>
      <numFmt numFmtId="165" formatCode="_-[$$-2C0A]\ * #,##0_-;\-[$$-2C0A]\ * #,##0_-;_-[$$-2C0A]\ * &quot;-&quot;??_-;_-@_-"/>
    </dxf>
    <dxf>
      <numFmt numFmtId="166" formatCode="d/m/yyyy"/>
    </dxf>
    <dxf>
      <numFmt numFmtId="166" formatCode="d/m/yyyy"/>
    </dxf>
    <dxf>
      <numFmt numFmtId="165" formatCode="_-[$$-2C0A]\ * #,##0_-;\-[$$-2C0A]\ * #,##0_-;_-[$$-2C0A]\ * &quot;-&quot;??_-;_-@_-"/>
    </dxf>
    <dxf>
      <numFmt numFmtId="165" formatCode="_-[$$-2C0A]\ * #,##0_-;\-[$$-2C0A]\ * #,##0_-;_-[$$-2C0A]\ * &quot;-&quot;??_-;_-@_-"/>
    </dxf>
    <dxf>
      <numFmt numFmtId="165" formatCode="_-[$$-2C0A]\ * #,##0_-;\-[$$-2C0A]\ * #,##0_-;_-[$$-2C0A]\ * &quot;-&quot;??_-;_-@_-"/>
    </dxf>
    <dxf>
      <numFmt numFmtId="165" formatCode="_-[$$-2C0A]\ * #,##0_-;\-[$$-2C0A]\ * #,##0_-;_-[$$-2C0A]\ * &quot;-&quot;??_-;_-@_-"/>
    </dxf>
    <dxf>
      <numFmt numFmtId="166" formatCode="d/m/yyyy"/>
    </dxf>
    <dxf>
      <numFmt numFmtId="166"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287132-1BFC-4CDE-B44B-3A97E836CB8F}" name="Tabla1" displayName="Tabla1" ref="A1:J45" totalsRowCount="1">
  <autoFilter ref="A1:J44" xr:uid="{CE287132-1BFC-4CDE-B44B-3A97E836CB8F}"/>
  <tableColumns count="10">
    <tableColumn id="1" xr3:uid="{B2A0298B-33B4-49CE-9933-1BEAF212A1DE}" name="articulo"/>
    <tableColumn id="2" xr3:uid="{A52EDF1E-40E2-49CA-8A6C-E3F3DBCDAC7A}" name="descripcion"/>
    <tableColumn id="3" xr3:uid="{0E62421A-352F-4738-92EA-7B600E8EE3BC}" name="fecha" dataDxfId="11" totalsRowDxfId="10"/>
    <tableColumn id="4" xr3:uid="{97BD51F8-4C83-4386-93D6-46BDB2D7CD69}" name="modulo"/>
    <tableColumn id="5" xr3:uid="{0C50C094-FC16-43E8-B718-2FFD90AA916C}" name="cbte"/>
    <tableColumn id="6" xr3:uid="{0494A83C-99D0-40F5-BC36-A969EE540461}" name="numero"/>
    <tableColumn id="7" xr3:uid="{C1C2CE4C-F828-45C4-BA29-3B5D7DFAF358}" name="cantidad"/>
    <tableColumn id="8" xr3:uid="{64B62404-2FD9-411B-A9F7-1E14CEB50A9D}" name="razon"/>
    <tableColumn id="9" xr3:uid="{30899AC3-3B14-4D27-A793-76EF842F08D4}" name="Precio compra" dataDxfId="9" totalsRowDxfId="8" dataCellStyle="Moneda" totalsRowCellStyle="Moneda"/>
    <tableColumn id="10" xr3:uid="{88D03F2A-3E4F-4F92-8975-6C78AC3C373E}" name="Precio venta Franquicia" totalsRowFunction="custom" dataDxfId="7" totalsRowDxfId="6" dataCellStyle="Moneda" totalsRowCellStyle="Moneda">
      <totalsRowFormula>SUM(J2:J44)</totalsRow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309BF2-97FB-4A98-BA11-E562964EAD56}" name="Tabla2" displayName="Tabla2" ref="A1:J48" totalsRowCount="1">
  <autoFilter ref="A1:J47" xr:uid="{E9309BF2-97FB-4A98-BA11-E562964EAD56}"/>
  <sortState xmlns:xlrd2="http://schemas.microsoft.com/office/spreadsheetml/2017/richdata2" ref="A2:J47">
    <sortCondition ref="C1:C47"/>
  </sortState>
  <tableColumns count="10">
    <tableColumn id="1" xr3:uid="{792CC63D-0501-4FCD-BD29-A2F3B3D7204D}" name="articulo"/>
    <tableColumn id="2" xr3:uid="{FE5BBEEC-CEE8-4A12-B891-5E3629DD4B0F}" name="descripcion"/>
    <tableColumn id="3" xr3:uid="{4850FCEC-0579-40EF-88B8-EB63BAA01A8D}" name="fecha" dataDxfId="5" totalsRowDxfId="4"/>
    <tableColumn id="4" xr3:uid="{35C53FAD-17D5-401A-8536-EC5D8D9554E7}" name="modulo"/>
    <tableColumn id="5" xr3:uid="{B3F2BBC0-B781-43E7-BB36-4A065AAAEC41}" name="cbte"/>
    <tableColumn id="6" xr3:uid="{427E5008-6A93-4026-A118-7A7184F8F6CB}" name="numero"/>
    <tableColumn id="7" xr3:uid="{B31D293C-77A2-4EFA-BC8D-686272A0F4A0}" name="cantidad"/>
    <tableColumn id="8" xr3:uid="{B8795BA6-C8C3-4DE1-A87A-1A11DA702BEC}" name="razon"/>
    <tableColumn id="9" xr3:uid="{649CA7E8-B113-4CF4-BA9D-7BA2355C15FF}" name="Precio compra" dataDxfId="3" totalsRowDxfId="2" dataCellStyle="Moneda" totalsRowCellStyle="Moneda"/>
    <tableColumn id="10" xr3:uid="{DF44B59E-EE7E-4805-BB23-3C674575FEA1}" name="Precio venta Franquicia" totalsRowFunction="custom" dataDxfId="1" totalsRowDxfId="0" dataCellStyle="Moneda" totalsRowCellStyle="Moneda">
      <totalsRowFormula>SUM(Tabla2[Precio venta Franquicia])</totalsRowFormula>
    </tableColumn>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9C6A7-0B54-4EBF-ABDD-72989CA6CB80}">
  <dimension ref="A1:K45"/>
  <sheetViews>
    <sheetView topLeftCell="A7" workbookViewId="0">
      <selection activeCell="B19" sqref="B19"/>
    </sheetView>
  </sheetViews>
  <sheetFormatPr baseColWidth="10" defaultRowHeight="13" x14ac:dyDescent="0.15"/>
  <cols>
    <col min="2" max="2" width="57.5" bestFit="1" customWidth="1"/>
    <col min="7" max="7" width="11.1640625" bestFit="1" customWidth="1"/>
    <col min="8" max="8" width="34.1640625" bestFit="1" customWidth="1"/>
    <col min="9" max="9" width="16.83203125" hidden="1" customWidth="1"/>
    <col min="10" max="10" width="26.5" bestFit="1" customWidth="1"/>
  </cols>
  <sheetData>
    <row r="1" spans="1:10" x14ac:dyDescent="0.15">
      <c r="A1" t="s">
        <v>660</v>
      </c>
      <c r="B1" t="s">
        <v>661</v>
      </c>
      <c r="C1" t="s">
        <v>662</v>
      </c>
      <c r="D1" t="s">
        <v>663</v>
      </c>
      <c r="E1" t="s">
        <v>664</v>
      </c>
      <c r="F1" t="s">
        <v>665</v>
      </c>
      <c r="G1" t="s">
        <v>666</v>
      </c>
      <c r="H1" t="s">
        <v>667</v>
      </c>
      <c r="I1" s="12" t="s">
        <v>668</v>
      </c>
      <c r="J1" s="12" t="s">
        <v>669</v>
      </c>
    </row>
    <row r="2" spans="1:10" x14ac:dyDescent="0.15">
      <c r="A2" t="s">
        <v>670</v>
      </c>
      <c r="B2" t="s">
        <v>671</v>
      </c>
      <c r="C2" s="13">
        <v>45819</v>
      </c>
      <c r="D2" t="s">
        <v>672</v>
      </c>
      <c r="E2" t="s">
        <v>673</v>
      </c>
      <c r="F2" t="s">
        <v>674</v>
      </c>
      <c r="G2">
        <v>-1</v>
      </c>
      <c r="H2" t="s">
        <v>675</v>
      </c>
      <c r="I2" s="12">
        <v>70740</v>
      </c>
      <c r="J2" s="12">
        <v>113184</v>
      </c>
    </row>
    <row r="3" spans="1:10" x14ac:dyDescent="0.15">
      <c r="A3" t="s">
        <v>676</v>
      </c>
      <c r="B3" t="s">
        <v>677</v>
      </c>
      <c r="C3" s="13">
        <v>45826</v>
      </c>
      <c r="D3" t="s">
        <v>672</v>
      </c>
      <c r="E3" t="s">
        <v>673</v>
      </c>
      <c r="F3" t="s">
        <v>678</v>
      </c>
      <c r="G3">
        <v>-1</v>
      </c>
      <c r="H3" t="s">
        <v>679</v>
      </c>
      <c r="I3" s="12">
        <v>39221.4</v>
      </c>
      <c r="J3" s="12">
        <v>62754.240000000005</v>
      </c>
    </row>
    <row r="4" spans="1:10" x14ac:dyDescent="0.15">
      <c r="A4" t="s">
        <v>680</v>
      </c>
      <c r="B4" t="s">
        <v>681</v>
      </c>
      <c r="C4" s="13">
        <v>45820</v>
      </c>
      <c r="D4" t="s">
        <v>672</v>
      </c>
      <c r="E4" t="s">
        <v>673</v>
      </c>
      <c r="F4" t="s">
        <v>682</v>
      </c>
      <c r="G4">
        <v>-1</v>
      </c>
      <c r="H4" t="s">
        <v>683</v>
      </c>
      <c r="I4" s="12">
        <v>259301.4</v>
      </c>
      <c r="J4" s="12">
        <v>414882.24</v>
      </c>
    </row>
    <row r="5" spans="1:10" x14ac:dyDescent="0.15">
      <c r="A5" t="s">
        <v>680</v>
      </c>
      <c r="B5" t="s">
        <v>681</v>
      </c>
      <c r="C5" s="13">
        <v>45831</v>
      </c>
      <c r="D5" t="s">
        <v>672</v>
      </c>
      <c r="E5" t="s">
        <v>673</v>
      </c>
      <c r="F5" t="s">
        <v>684</v>
      </c>
      <c r="G5">
        <v>-1</v>
      </c>
      <c r="H5" t="s">
        <v>685</v>
      </c>
      <c r="I5" s="12">
        <v>259301.4</v>
      </c>
      <c r="J5" s="12">
        <v>414882.24</v>
      </c>
    </row>
    <row r="6" spans="1:10" x14ac:dyDescent="0.15">
      <c r="A6" t="s">
        <v>686</v>
      </c>
      <c r="B6" t="s">
        <v>687</v>
      </c>
      <c r="C6" s="13">
        <v>45813</v>
      </c>
      <c r="D6" t="s">
        <v>672</v>
      </c>
      <c r="E6" t="s">
        <v>673</v>
      </c>
      <c r="F6" t="s">
        <v>688</v>
      </c>
      <c r="G6">
        <v>-1</v>
      </c>
      <c r="H6" t="s">
        <v>689</v>
      </c>
      <c r="I6" s="12">
        <v>106398.2</v>
      </c>
      <c r="J6" s="12">
        <v>170237.12</v>
      </c>
    </row>
    <row r="7" spans="1:10" x14ac:dyDescent="0.15">
      <c r="A7" t="s">
        <v>690</v>
      </c>
      <c r="B7" t="s">
        <v>691</v>
      </c>
      <c r="C7" s="13">
        <v>45813</v>
      </c>
      <c r="D7" t="s">
        <v>672</v>
      </c>
      <c r="E7" t="s">
        <v>673</v>
      </c>
      <c r="F7" t="s">
        <v>688</v>
      </c>
      <c r="G7">
        <v>-4</v>
      </c>
      <c r="H7" t="s">
        <v>689</v>
      </c>
      <c r="I7" s="12">
        <v>18628.2</v>
      </c>
      <c r="J7" s="12">
        <v>-119220.48000000001</v>
      </c>
    </row>
    <row r="8" spans="1:10" x14ac:dyDescent="0.15">
      <c r="A8" t="s">
        <v>692</v>
      </c>
      <c r="B8" t="s">
        <v>693</v>
      </c>
      <c r="C8" s="13">
        <v>45820</v>
      </c>
      <c r="D8" t="s">
        <v>672</v>
      </c>
      <c r="E8" t="s">
        <v>673</v>
      </c>
      <c r="F8" t="s">
        <v>694</v>
      </c>
      <c r="G8">
        <v>-1</v>
      </c>
      <c r="H8" t="s">
        <v>695</v>
      </c>
      <c r="I8" s="12">
        <v>255292.79999999999</v>
      </c>
      <c r="J8" s="12">
        <v>408468.47999999998</v>
      </c>
    </row>
    <row r="9" spans="1:10" x14ac:dyDescent="0.15">
      <c r="A9" t="s">
        <v>692</v>
      </c>
      <c r="B9" t="s">
        <v>693</v>
      </c>
      <c r="C9" s="13">
        <v>45834</v>
      </c>
      <c r="D9" t="s">
        <v>672</v>
      </c>
      <c r="E9" t="s">
        <v>673</v>
      </c>
      <c r="F9" t="s">
        <v>696</v>
      </c>
      <c r="G9">
        <v>-1</v>
      </c>
      <c r="H9" t="s">
        <v>697</v>
      </c>
      <c r="I9" s="12">
        <v>255292.79999999999</v>
      </c>
      <c r="J9" s="12">
        <v>408468.47999999998</v>
      </c>
    </row>
    <row r="10" spans="1:10" x14ac:dyDescent="0.15">
      <c r="A10" t="s">
        <v>698</v>
      </c>
      <c r="B10" t="s">
        <v>699</v>
      </c>
      <c r="C10" s="13">
        <v>45812</v>
      </c>
      <c r="D10" t="s">
        <v>672</v>
      </c>
      <c r="E10" t="s">
        <v>673</v>
      </c>
      <c r="F10" t="s">
        <v>700</v>
      </c>
      <c r="G10">
        <v>-1</v>
      </c>
      <c r="H10" t="s">
        <v>701</v>
      </c>
      <c r="I10" s="12">
        <v>39129.700000000004</v>
      </c>
      <c r="J10" s="12">
        <v>62607.520000000011</v>
      </c>
    </row>
    <row r="11" spans="1:10" x14ac:dyDescent="0.15">
      <c r="A11" t="s">
        <v>698</v>
      </c>
      <c r="B11" t="s">
        <v>699</v>
      </c>
      <c r="C11" s="13">
        <v>45814</v>
      </c>
      <c r="D11" t="s">
        <v>672</v>
      </c>
      <c r="E11" t="s">
        <v>673</v>
      </c>
      <c r="F11" t="s">
        <v>702</v>
      </c>
      <c r="G11">
        <v>-1</v>
      </c>
      <c r="H11" t="s">
        <v>703</v>
      </c>
      <c r="I11" s="12">
        <v>39129.700000000004</v>
      </c>
      <c r="J11" s="12">
        <v>62607.520000000011</v>
      </c>
    </row>
    <row r="12" spans="1:10" x14ac:dyDescent="0.15">
      <c r="A12" t="s">
        <v>704</v>
      </c>
      <c r="B12" t="s">
        <v>705</v>
      </c>
      <c r="C12" s="13">
        <v>45826</v>
      </c>
      <c r="D12" t="s">
        <v>672</v>
      </c>
      <c r="E12" t="s">
        <v>673</v>
      </c>
      <c r="F12" t="s">
        <v>678</v>
      </c>
      <c r="G12">
        <v>-1</v>
      </c>
      <c r="H12" t="s">
        <v>679</v>
      </c>
      <c r="I12" s="12">
        <v>11659</v>
      </c>
      <c r="J12" s="12">
        <v>18654.400000000001</v>
      </c>
    </row>
    <row r="13" spans="1:10" x14ac:dyDescent="0.15">
      <c r="A13" t="s">
        <v>706</v>
      </c>
      <c r="B13" t="s">
        <v>707</v>
      </c>
      <c r="C13" s="13">
        <v>45813</v>
      </c>
      <c r="D13" t="s">
        <v>672</v>
      </c>
      <c r="E13" t="s">
        <v>673</v>
      </c>
      <c r="F13" t="s">
        <v>688</v>
      </c>
      <c r="G13">
        <v>-1</v>
      </c>
      <c r="H13" t="s">
        <v>689</v>
      </c>
      <c r="I13" s="12">
        <v>21000</v>
      </c>
      <c r="J13" s="12">
        <v>33600</v>
      </c>
    </row>
    <row r="14" spans="1:10" x14ac:dyDescent="0.15">
      <c r="A14" t="s">
        <v>708</v>
      </c>
      <c r="B14" t="s">
        <v>709</v>
      </c>
      <c r="C14" s="13">
        <v>45813</v>
      </c>
      <c r="D14" t="s">
        <v>672</v>
      </c>
      <c r="E14" t="s">
        <v>673</v>
      </c>
      <c r="F14" t="s">
        <v>710</v>
      </c>
      <c r="G14">
        <v>-1</v>
      </c>
      <c r="H14" t="s">
        <v>711</v>
      </c>
      <c r="I14" s="12">
        <v>58950</v>
      </c>
      <c r="J14" s="12">
        <v>94320</v>
      </c>
    </row>
    <row r="15" spans="1:10" x14ac:dyDescent="0.15">
      <c r="A15" t="s">
        <v>708</v>
      </c>
      <c r="B15" t="s">
        <v>709</v>
      </c>
      <c r="C15" s="13">
        <v>45814</v>
      </c>
      <c r="D15" t="s">
        <v>672</v>
      </c>
      <c r="E15" t="s">
        <v>673</v>
      </c>
      <c r="F15" t="s">
        <v>712</v>
      </c>
      <c r="G15">
        <v>-1</v>
      </c>
      <c r="H15" t="s">
        <v>713</v>
      </c>
      <c r="I15" s="12">
        <v>58950</v>
      </c>
      <c r="J15" s="12">
        <v>94320</v>
      </c>
    </row>
    <row r="16" spans="1:10" x14ac:dyDescent="0.15">
      <c r="A16" t="s">
        <v>708</v>
      </c>
      <c r="B16" t="s">
        <v>709</v>
      </c>
      <c r="C16" s="13">
        <v>45814</v>
      </c>
      <c r="D16" t="s">
        <v>672</v>
      </c>
      <c r="E16" t="s">
        <v>673</v>
      </c>
      <c r="F16" t="s">
        <v>702</v>
      </c>
      <c r="G16">
        <v>-1</v>
      </c>
      <c r="H16" t="s">
        <v>703</v>
      </c>
      <c r="I16" s="12">
        <v>58950</v>
      </c>
      <c r="J16" s="12">
        <v>94320</v>
      </c>
    </row>
    <row r="17" spans="1:10" x14ac:dyDescent="0.15">
      <c r="A17" t="s">
        <v>714</v>
      </c>
      <c r="B17" t="s">
        <v>715</v>
      </c>
      <c r="C17" s="13">
        <v>45810</v>
      </c>
      <c r="D17" t="s">
        <v>672</v>
      </c>
      <c r="E17" t="s">
        <v>673</v>
      </c>
      <c r="F17" t="s">
        <v>716</v>
      </c>
      <c r="G17">
        <v>-1</v>
      </c>
      <c r="H17" t="s">
        <v>701</v>
      </c>
      <c r="I17" s="12">
        <v>101525</v>
      </c>
      <c r="J17" s="12">
        <v>162440</v>
      </c>
    </row>
    <row r="18" spans="1:10" x14ac:dyDescent="0.15">
      <c r="A18" s="14">
        <v>6012</v>
      </c>
      <c r="B18" t="s">
        <v>717</v>
      </c>
      <c r="C18" s="13">
        <v>45835</v>
      </c>
      <c r="D18" t="s">
        <v>672</v>
      </c>
      <c r="E18" t="s">
        <v>673</v>
      </c>
      <c r="F18" t="s">
        <v>718</v>
      </c>
      <c r="G18">
        <v>-1</v>
      </c>
      <c r="H18" t="s">
        <v>719</v>
      </c>
      <c r="I18" s="12">
        <v>35487.9</v>
      </c>
      <c r="J18" s="12">
        <v>56780.640000000007</v>
      </c>
    </row>
    <row r="19" spans="1:10" x14ac:dyDescent="0.15">
      <c r="A19" t="s">
        <v>720</v>
      </c>
      <c r="B19" t="s">
        <v>721</v>
      </c>
      <c r="C19" s="13">
        <v>45835</v>
      </c>
      <c r="D19" t="s">
        <v>672</v>
      </c>
      <c r="E19" t="s">
        <v>673</v>
      </c>
      <c r="F19" t="s">
        <v>718</v>
      </c>
      <c r="G19">
        <v>-1</v>
      </c>
      <c r="H19" t="s">
        <v>719</v>
      </c>
      <c r="I19" s="12">
        <v>326045.89999999997</v>
      </c>
      <c r="J19" s="12">
        <v>521673.43999999994</v>
      </c>
    </row>
    <row r="20" spans="1:10" x14ac:dyDescent="0.15">
      <c r="A20" t="s">
        <v>722</v>
      </c>
      <c r="B20" t="s">
        <v>723</v>
      </c>
      <c r="C20" s="13">
        <v>45812</v>
      </c>
      <c r="D20" t="s">
        <v>672</v>
      </c>
      <c r="E20" t="s">
        <v>673</v>
      </c>
      <c r="F20" t="s">
        <v>724</v>
      </c>
      <c r="G20">
        <v>-1</v>
      </c>
      <c r="H20" t="s">
        <v>725</v>
      </c>
      <c r="I20" s="12">
        <v>281126</v>
      </c>
      <c r="J20" s="12">
        <v>449801.60000000003</v>
      </c>
    </row>
    <row r="21" spans="1:10" x14ac:dyDescent="0.15">
      <c r="A21" t="s">
        <v>726</v>
      </c>
      <c r="B21" t="s">
        <v>727</v>
      </c>
      <c r="C21" s="13">
        <v>45813</v>
      </c>
      <c r="D21" t="s">
        <v>672</v>
      </c>
      <c r="E21" t="s">
        <v>673</v>
      </c>
      <c r="F21" t="s">
        <v>688</v>
      </c>
      <c r="G21">
        <v>-1</v>
      </c>
      <c r="H21" t="s">
        <v>689</v>
      </c>
      <c r="I21" s="12">
        <v>17423</v>
      </c>
      <c r="J21" s="12">
        <v>27876.800000000003</v>
      </c>
    </row>
    <row r="22" spans="1:10" x14ac:dyDescent="0.15">
      <c r="A22" t="s">
        <v>728</v>
      </c>
      <c r="B22" t="s">
        <v>729</v>
      </c>
      <c r="C22" s="13">
        <v>45834</v>
      </c>
      <c r="D22" t="s">
        <v>672</v>
      </c>
      <c r="E22" t="s">
        <v>673</v>
      </c>
      <c r="F22" t="s">
        <v>696</v>
      </c>
      <c r="G22">
        <v>-1</v>
      </c>
      <c r="H22" t="s">
        <v>697</v>
      </c>
      <c r="I22" s="12">
        <v>19977.5</v>
      </c>
      <c r="J22" s="12">
        <v>31964</v>
      </c>
    </row>
    <row r="23" spans="1:10" x14ac:dyDescent="0.15">
      <c r="A23" t="s">
        <v>728</v>
      </c>
      <c r="B23" t="s">
        <v>729</v>
      </c>
      <c r="C23" s="13">
        <v>45838</v>
      </c>
      <c r="D23" t="s">
        <v>672</v>
      </c>
      <c r="E23" t="s">
        <v>673</v>
      </c>
      <c r="F23" t="s">
        <v>730</v>
      </c>
      <c r="G23">
        <v>-1</v>
      </c>
      <c r="H23" t="s">
        <v>731</v>
      </c>
      <c r="I23" s="12">
        <v>19977.5</v>
      </c>
      <c r="J23" s="12">
        <v>31964</v>
      </c>
    </row>
    <row r="24" spans="1:10" x14ac:dyDescent="0.15">
      <c r="A24" t="s">
        <v>732</v>
      </c>
      <c r="B24" t="s">
        <v>733</v>
      </c>
      <c r="C24" s="13">
        <v>45826</v>
      </c>
      <c r="D24" t="s">
        <v>672</v>
      </c>
      <c r="E24" t="s">
        <v>673</v>
      </c>
      <c r="F24" t="s">
        <v>678</v>
      </c>
      <c r="G24">
        <v>-1</v>
      </c>
      <c r="H24" t="s">
        <v>679</v>
      </c>
      <c r="I24" s="12">
        <v>4951.8</v>
      </c>
      <c r="J24" s="12">
        <v>7922.880000000001</v>
      </c>
    </row>
    <row r="25" spans="1:10" x14ac:dyDescent="0.15">
      <c r="A25" t="s">
        <v>734</v>
      </c>
      <c r="B25" t="s">
        <v>735</v>
      </c>
      <c r="C25" s="13">
        <v>45817</v>
      </c>
      <c r="D25" t="s">
        <v>672</v>
      </c>
      <c r="E25" t="s">
        <v>673</v>
      </c>
      <c r="F25" t="s">
        <v>736</v>
      </c>
      <c r="G25">
        <v>-1</v>
      </c>
      <c r="H25" t="s">
        <v>695</v>
      </c>
      <c r="I25" s="12">
        <v>246149</v>
      </c>
      <c r="J25" s="12">
        <v>393838.4</v>
      </c>
    </row>
    <row r="26" spans="1:10" x14ac:dyDescent="0.15">
      <c r="A26" t="s">
        <v>734</v>
      </c>
      <c r="B26" t="s">
        <v>735</v>
      </c>
      <c r="C26" s="13">
        <v>45820</v>
      </c>
      <c r="D26" t="s">
        <v>672</v>
      </c>
      <c r="E26" t="s">
        <v>673</v>
      </c>
      <c r="F26" t="s">
        <v>694</v>
      </c>
      <c r="G26">
        <v>-1</v>
      </c>
      <c r="H26" t="s">
        <v>695</v>
      </c>
      <c r="I26" s="12">
        <v>246149</v>
      </c>
      <c r="J26" s="12">
        <v>393838.4</v>
      </c>
    </row>
    <row r="27" spans="1:10" x14ac:dyDescent="0.15">
      <c r="A27" t="s">
        <v>734</v>
      </c>
      <c r="B27" t="s">
        <v>735</v>
      </c>
      <c r="C27" s="13">
        <v>45833</v>
      </c>
      <c r="D27" t="s">
        <v>672</v>
      </c>
      <c r="E27" t="s">
        <v>673</v>
      </c>
      <c r="F27" t="s">
        <v>737</v>
      </c>
      <c r="G27">
        <v>-1</v>
      </c>
      <c r="H27" t="s">
        <v>697</v>
      </c>
      <c r="I27" s="12">
        <v>246149</v>
      </c>
      <c r="J27" s="12">
        <v>393838.4</v>
      </c>
    </row>
    <row r="28" spans="1:10" x14ac:dyDescent="0.15">
      <c r="A28" t="s">
        <v>738</v>
      </c>
      <c r="B28" t="s">
        <v>739</v>
      </c>
      <c r="C28" s="13">
        <v>45812</v>
      </c>
      <c r="D28" t="s">
        <v>672</v>
      </c>
      <c r="E28" t="s">
        <v>673</v>
      </c>
      <c r="F28" t="s">
        <v>740</v>
      </c>
      <c r="G28">
        <v>-1</v>
      </c>
      <c r="H28" t="s">
        <v>731</v>
      </c>
      <c r="I28" s="12">
        <v>434304.3</v>
      </c>
      <c r="J28" s="12">
        <v>694886.88</v>
      </c>
    </row>
    <row r="29" spans="1:10" x14ac:dyDescent="0.15">
      <c r="A29" t="s">
        <v>738</v>
      </c>
      <c r="B29" t="s">
        <v>739</v>
      </c>
      <c r="C29" s="13">
        <v>45813</v>
      </c>
      <c r="D29" t="s">
        <v>672</v>
      </c>
      <c r="E29" t="s">
        <v>673</v>
      </c>
      <c r="F29" t="s">
        <v>710</v>
      </c>
      <c r="G29">
        <v>-1</v>
      </c>
      <c r="H29" t="s">
        <v>711</v>
      </c>
      <c r="I29" s="12">
        <v>434304.3</v>
      </c>
      <c r="J29" s="12">
        <v>694886.88</v>
      </c>
    </row>
    <row r="30" spans="1:10" x14ac:dyDescent="0.15">
      <c r="A30" t="s">
        <v>741</v>
      </c>
      <c r="B30" t="s">
        <v>742</v>
      </c>
      <c r="C30" s="13">
        <v>45813</v>
      </c>
      <c r="D30" t="s">
        <v>672</v>
      </c>
      <c r="E30" t="s">
        <v>673</v>
      </c>
      <c r="F30" t="s">
        <v>688</v>
      </c>
      <c r="G30">
        <v>-1</v>
      </c>
      <c r="H30" t="s">
        <v>689</v>
      </c>
      <c r="I30" s="12">
        <v>175972.30000000002</v>
      </c>
      <c r="J30" s="12">
        <v>281555.68000000005</v>
      </c>
    </row>
    <row r="31" spans="1:10" x14ac:dyDescent="0.15">
      <c r="A31" t="s">
        <v>743</v>
      </c>
      <c r="B31" t="s">
        <v>744</v>
      </c>
      <c r="C31" s="13">
        <v>45813</v>
      </c>
      <c r="D31" t="s">
        <v>672</v>
      </c>
      <c r="E31" t="s">
        <v>673</v>
      </c>
      <c r="F31" t="s">
        <v>688</v>
      </c>
      <c r="G31">
        <v>-1</v>
      </c>
      <c r="H31" t="s">
        <v>689</v>
      </c>
      <c r="I31" s="12">
        <v>364402.7</v>
      </c>
      <c r="J31" s="12">
        <v>583044.32000000007</v>
      </c>
    </row>
    <row r="32" spans="1:10" x14ac:dyDescent="0.15">
      <c r="A32" t="s">
        <v>745</v>
      </c>
      <c r="B32" t="s">
        <v>746</v>
      </c>
      <c r="C32" s="13">
        <v>45818</v>
      </c>
      <c r="D32" t="s">
        <v>672</v>
      </c>
      <c r="E32" t="s">
        <v>673</v>
      </c>
      <c r="F32" t="s">
        <v>747</v>
      </c>
      <c r="G32">
        <v>-1</v>
      </c>
      <c r="H32" t="s">
        <v>748</v>
      </c>
      <c r="I32" s="12">
        <v>397628.66666666669</v>
      </c>
      <c r="J32" s="12">
        <v>636205.8666666667</v>
      </c>
    </row>
    <row r="33" spans="1:11" x14ac:dyDescent="0.15">
      <c r="A33" t="s">
        <v>749</v>
      </c>
      <c r="B33" t="s">
        <v>750</v>
      </c>
      <c r="C33" s="13">
        <v>45813</v>
      </c>
      <c r="D33" t="s">
        <v>672</v>
      </c>
      <c r="E33" t="s">
        <v>673</v>
      </c>
      <c r="F33" t="s">
        <v>751</v>
      </c>
      <c r="G33">
        <v>-1</v>
      </c>
      <c r="H33" t="s">
        <v>752</v>
      </c>
      <c r="I33" s="12">
        <v>55360.6</v>
      </c>
      <c r="J33" s="12">
        <v>88576.960000000006</v>
      </c>
    </row>
    <row r="34" spans="1:11" x14ac:dyDescent="0.15">
      <c r="A34" t="s">
        <v>749</v>
      </c>
      <c r="B34" t="s">
        <v>750</v>
      </c>
      <c r="C34" s="13">
        <v>45838</v>
      </c>
      <c r="D34" t="s">
        <v>672</v>
      </c>
      <c r="E34" t="s">
        <v>673</v>
      </c>
      <c r="F34" t="s">
        <v>753</v>
      </c>
      <c r="G34">
        <v>-1</v>
      </c>
      <c r="H34" t="s">
        <v>685</v>
      </c>
      <c r="I34" s="12">
        <v>55360.6</v>
      </c>
      <c r="J34" s="12">
        <v>88576.960000000006</v>
      </c>
    </row>
    <row r="35" spans="1:11" x14ac:dyDescent="0.15">
      <c r="A35" t="s">
        <v>754</v>
      </c>
      <c r="B35" t="s">
        <v>755</v>
      </c>
      <c r="C35" s="13">
        <v>45812</v>
      </c>
      <c r="D35" t="s">
        <v>672</v>
      </c>
      <c r="E35" t="s">
        <v>673</v>
      </c>
      <c r="F35" t="s">
        <v>724</v>
      </c>
      <c r="G35">
        <v>-1</v>
      </c>
      <c r="H35" t="s">
        <v>725</v>
      </c>
      <c r="I35" s="12">
        <v>28990.3</v>
      </c>
      <c r="J35" s="12">
        <v>46384.480000000003</v>
      </c>
    </row>
    <row r="36" spans="1:11" x14ac:dyDescent="0.15">
      <c r="A36" t="s">
        <v>756</v>
      </c>
      <c r="B36" t="s">
        <v>757</v>
      </c>
      <c r="C36" s="13">
        <v>45834</v>
      </c>
      <c r="D36" t="s">
        <v>672</v>
      </c>
      <c r="E36" t="s">
        <v>673</v>
      </c>
      <c r="F36" t="s">
        <v>758</v>
      </c>
      <c r="G36">
        <v>-1</v>
      </c>
      <c r="H36" t="s">
        <v>759</v>
      </c>
      <c r="I36" s="12">
        <v>862271.8</v>
      </c>
      <c r="J36" s="12">
        <v>1379634.8800000001</v>
      </c>
    </row>
    <row r="37" spans="1:11" x14ac:dyDescent="0.15">
      <c r="A37" t="s">
        <v>749</v>
      </c>
      <c r="B37" t="s">
        <v>750</v>
      </c>
      <c r="C37" s="13">
        <v>45811</v>
      </c>
      <c r="D37" t="s">
        <v>672</v>
      </c>
      <c r="E37" t="s">
        <v>673</v>
      </c>
      <c r="F37" t="s">
        <v>760</v>
      </c>
      <c r="G37">
        <v>-1</v>
      </c>
      <c r="H37" t="s">
        <v>761</v>
      </c>
      <c r="I37" s="12">
        <v>55360.6</v>
      </c>
      <c r="J37" s="12">
        <v>88576.960000000006</v>
      </c>
    </row>
    <row r="38" spans="1:11" x14ac:dyDescent="0.15">
      <c r="A38" t="s">
        <v>762</v>
      </c>
      <c r="B38" t="s">
        <v>763</v>
      </c>
      <c r="C38" s="13">
        <v>45814</v>
      </c>
      <c r="D38" t="s">
        <v>672</v>
      </c>
      <c r="E38" t="s">
        <v>673</v>
      </c>
      <c r="F38" t="s">
        <v>764</v>
      </c>
      <c r="G38">
        <v>-1</v>
      </c>
      <c r="H38" t="s">
        <v>765</v>
      </c>
      <c r="I38" s="12">
        <v>136698.5</v>
      </c>
      <c r="J38" s="12">
        <v>218717.6</v>
      </c>
    </row>
    <row r="39" spans="1:11" x14ac:dyDescent="0.15">
      <c r="A39" t="s">
        <v>766</v>
      </c>
      <c r="B39" t="s">
        <v>767</v>
      </c>
      <c r="C39" s="13">
        <v>45814</v>
      </c>
      <c r="D39" t="s">
        <v>672</v>
      </c>
      <c r="E39" t="s">
        <v>673</v>
      </c>
      <c r="F39" t="s">
        <v>768</v>
      </c>
      <c r="G39">
        <v>-2</v>
      </c>
      <c r="H39" t="s">
        <v>769</v>
      </c>
      <c r="I39" s="12">
        <v>39038</v>
      </c>
      <c r="J39" s="12">
        <v>62460.800000000003</v>
      </c>
    </row>
    <row r="40" spans="1:11" x14ac:dyDescent="0.15">
      <c r="A40" t="s">
        <v>762</v>
      </c>
      <c r="B40" t="s">
        <v>763</v>
      </c>
      <c r="C40" s="13">
        <v>45820</v>
      </c>
      <c r="D40" t="s">
        <v>672</v>
      </c>
      <c r="E40" t="s">
        <v>673</v>
      </c>
      <c r="F40" t="s">
        <v>770</v>
      </c>
      <c r="G40">
        <v>-1</v>
      </c>
      <c r="H40" t="s">
        <v>771</v>
      </c>
      <c r="I40" s="12">
        <v>136698.5</v>
      </c>
      <c r="J40" s="12">
        <v>218717.6</v>
      </c>
    </row>
    <row r="41" spans="1:11" x14ac:dyDescent="0.15">
      <c r="A41" t="s">
        <v>766</v>
      </c>
      <c r="B41" t="s">
        <v>772</v>
      </c>
      <c r="C41" s="13">
        <v>45820</v>
      </c>
      <c r="D41" t="s">
        <v>672</v>
      </c>
      <c r="E41" t="s">
        <v>673</v>
      </c>
      <c r="F41" t="s">
        <v>773</v>
      </c>
      <c r="G41">
        <v>-1</v>
      </c>
      <c r="H41" t="s">
        <v>711</v>
      </c>
      <c r="I41" s="12">
        <v>113970</v>
      </c>
      <c r="J41" s="12">
        <v>182352</v>
      </c>
    </row>
    <row r="42" spans="1:11" x14ac:dyDescent="0.15">
      <c r="A42" t="s">
        <v>774</v>
      </c>
      <c r="B42" t="s">
        <v>775</v>
      </c>
      <c r="C42" s="13">
        <v>45826</v>
      </c>
      <c r="D42" t="s">
        <v>672</v>
      </c>
      <c r="E42" t="s">
        <v>673</v>
      </c>
      <c r="F42" t="s">
        <v>776</v>
      </c>
      <c r="G42">
        <v>-1</v>
      </c>
      <c r="H42" t="s">
        <v>771</v>
      </c>
      <c r="I42" s="12">
        <v>46334.7</v>
      </c>
      <c r="J42" s="12">
        <v>74135.520000000004</v>
      </c>
    </row>
    <row r="43" spans="1:11" x14ac:dyDescent="0.15">
      <c r="A43" t="s">
        <v>766</v>
      </c>
      <c r="B43" t="s">
        <v>777</v>
      </c>
      <c r="C43" s="13">
        <v>45833</v>
      </c>
      <c r="D43" t="s">
        <v>672</v>
      </c>
      <c r="E43" t="s">
        <v>673</v>
      </c>
      <c r="F43" t="s">
        <v>778</v>
      </c>
      <c r="G43">
        <v>-1</v>
      </c>
      <c r="H43" t="s">
        <v>761</v>
      </c>
      <c r="I43" s="12">
        <v>382681</v>
      </c>
      <c r="J43" s="12">
        <v>612289.6</v>
      </c>
    </row>
    <row r="44" spans="1:11" x14ac:dyDescent="0.15">
      <c r="A44" t="s">
        <v>762</v>
      </c>
      <c r="B44" t="s">
        <v>763</v>
      </c>
      <c r="C44" s="13">
        <v>45838</v>
      </c>
      <c r="D44" t="s">
        <v>672</v>
      </c>
      <c r="E44" t="s">
        <v>673</v>
      </c>
      <c r="F44" t="s">
        <v>779</v>
      </c>
      <c r="G44">
        <v>-1</v>
      </c>
      <c r="H44" t="s">
        <v>685</v>
      </c>
      <c r="I44" s="12">
        <v>136698.5</v>
      </c>
      <c r="J44" s="12">
        <v>218717.6</v>
      </c>
    </row>
    <row r="45" spans="1:11" x14ac:dyDescent="0.15">
      <c r="C45" s="13"/>
      <c r="I45" s="12"/>
      <c r="J45" s="12">
        <f>SUM(J2:J44)</f>
        <v>10975744.906666668</v>
      </c>
      <c r="K45" t="s">
        <v>780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E841-3373-4708-86E5-CBB75DFB54A7}">
  <dimension ref="A1:K48"/>
  <sheetViews>
    <sheetView topLeftCell="A19" workbookViewId="0">
      <selection activeCell="B25" sqref="B25"/>
    </sheetView>
  </sheetViews>
  <sheetFormatPr baseColWidth="10" defaultRowHeight="13" x14ac:dyDescent="0.15"/>
  <cols>
    <col min="2" max="2" width="76" bestFit="1" customWidth="1"/>
    <col min="8" max="8" width="34.1640625" bestFit="1" customWidth="1"/>
    <col min="9" max="9" width="16.5" bestFit="1" customWidth="1"/>
    <col min="10" max="10" width="23" customWidth="1"/>
  </cols>
  <sheetData>
    <row r="1" spans="1:10" x14ac:dyDescent="0.15">
      <c r="A1" t="s">
        <v>660</v>
      </c>
      <c r="B1" t="s">
        <v>661</v>
      </c>
      <c r="C1" t="s">
        <v>662</v>
      </c>
      <c r="D1" t="s">
        <v>663</v>
      </c>
      <c r="E1" t="s">
        <v>664</v>
      </c>
      <c r="F1" t="s">
        <v>665</v>
      </c>
      <c r="G1" t="s">
        <v>666</v>
      </c>
      <c r="H1" t="s">
        <v>667</v>
      </c>
      <c r="I1" t="s">
        <v>668</v>
      </c>
      <c r="J1" t="s">
        <v>669</v>
      </c>
    </row>
    <row r="2" spans="1:10" x14ac:dyDescent="0.15">
      <c r="A2" t="s">
        <v>781</v>
      </c>
      <c r="B2" t="s">
        <v>782</v>
      </c>
      <c r="C2" s="13">
        <v>45842</v>
      </c>
      <c r="D2" t="s">
        <v>672</v>
      </c>
      <c r="E2" t="s">
        <v>673</v>
      </c>
      <c r="F2" t="s">
        <v>783</v>
      </c>
      <c r="G2">
        <v>-1</v>
      </c>
      <c r="H2" t="s">
        <v>784</v>
      </c>
      <c r="I2" s="12">
        <v>120000</v>
      </c>
      <c r="J2" s="12">
        <v>192000</v>
      </c>
    </row>
    <row r="3" spans="1:10" x14ac:dyDescent="0.15">
      <c r="A3" t="s">
        <v>785</v>
      </c>
      <c r="B3" t="s">
        <v>786</v>
      </c>
      <c r="C3" s="13">
        <v>45842</v>
      </c>
      <c r="D3" t="s">
        <v>672</v>
      </c>
      <c r="E3" t="s">
        <v>673</v>
      </c>
      <c r="F3" t="s">
        <v>783</v>
      </c>
      <c r="G3">
        <v>-1</v>
      </c>
      <c r="H3" t="s">
        <v>784</v>
      </c>
      <c r="I3" s="12">
        <v>253000</v>
      </c>
      <c r="J3" s="12">
        <v>404800</v>
      </c>
    </row>
    <row r="4" spans="1:10" x14ac:dyDescent="0.15">
      <c r="A4" t="s">
        <v>787</v>
      </c>
      <c r="B4" t="s">
        <v>788</v>
      </c>
      <c r="C4" s="13">
        <v>45842</v>
      </c>
      <c r="D4" t="s">
        <v>672</v>
      </c>
      <c r="E4" t="s">
        <v>673</v>
      </c>
      <c r="F4" t="s">
        <v>783</v>
      </c>
      <c r="G4">
        <v>-1</v>
      </c>
      <c r="H4" t="s">
        <v>784</v>
      </c>
      <c r="I4" s="12">
        <v>382680.86799999996</v>
      </c>
      <c r="J4" s="12">
        <v>612289.38879999996</v>
      </c>
    </row>
    <row r="5" spans="1:10" x14ac:dyDescent="0.15">
      <c r="A5" t="s">
        <v>789</v>
      </c>
      <c r="B5" t="s">
        <v>790</v>
      </c>
      <c r="C5" s="13">
        <v>45843</v>
      </c>
      <c r="D5" t="s">
        <v>672</v>
      </c>
      <c r="E5" t="s">
        <v>673</v>
      </c>
      <c r="F5" t="s">
        <v>791</v>
      </c>
      <c r="G5">
        <v>-3</v>
      </c>
      <c r="H5" t="s">
        <v>792</v>
      </c>
      <c r="I5" s="12">
        <v>70740</v>
      </c>
      <c r="J5" s="12">
        <v>339552</v>
      </c>
    </row>
    <row r="6" spans="1:10" x14ac:dyDescent="0.15">
      <c r="A6" t="s">
        <v>793</v>
      </c>
      <c r="B6" t="s">
        <v>794</v>
      </c>
      <c r="C6" s="13">
        <v>45843</v>
      </c>
      <c r="D6" t="s">
        <v>672</v>
      </c>
      <c r="E6" t="s">
        <v>673</v>
      </c>
      <c r="F6" t="s">
        <v>791</v>
      </c>
      <c r="G6">
        <v>-1</v>
      </c>
      <c r="H6" t="s">
        <v>792</v>
      </c>
      <c r="I6" s="12">
        <v>83000</v>
      </c>
      <c r="J6" s="12">
        <v>132800</v>
      </c>
    </row>
    <row r="7" spans="1:10" x14ac:dyDescent="0.15">
      <c r="A7" t="s">
        <v>795</v>
      </c>
      <c r="B7" t="s">
        <v>796</v>
      </c>
      <c r="C7" s="13">
        <v>45843</v>
      </c>
      <c r="D7" t="s">
        <v>672</v>
      </c>
      <c r="E7" t="s">
        <v>673</v>
      </c>
      <c r="F7" t="s">
        <v>791</v>
      </c>
      <c r="G7">
        <v>-1</v>
      </c>
      <c r="H7" t="s">
        <v>792</v>
      </c>
      <c r="I7" s="12">
        <v>164771.79999999999</v>
      </c>
      <c r="J7" s="12">
        <v>263634.88</v>
      </c>
    </row>
    <row r="8" spans="1:10" x14ac:dyDescent="0.15">
      <c r="A8" t="s">
        <v>797</v>
      </c>
      <c r="B8" t="s">
        <v>798</v>
      </c>
      <c r="C8" s="13">
        <v>45843</v>
      </c>
      <c r="D8" t="s">
        <v>672</v>
      </c>
      <c r="E8" t="s">
        <v>673</v>
      </c>
      <c r="F8" t="s">
        <v>791</v>
      </c>
      <c r="G8">
        <v>-1</v>
      </c>
      <c r="H8" t="s">
        <v>792</v>
      </c>
      <c r="I8" s="12">
        <v>122000</v>
      </c>
      <c r="J8" s="12">
        <v>195200</v>
      </c>
    </row>
    <row r="9" spans="1:10" x14ac:dyDescent="0.15">
      <c r="A9" t="s">
        <v>799</v>
      </c>
      <c r="B9" t="s">
        <v>800</v>
      </c>
      <c r="C9" s="13">
        <v>45843</v>
      </c>
      <c r="D9" t="s">
        <v>672</v>
      </c>
      <c r="E9" t="s">
        <v>673</v>
      </c>
      <c r="F9" t="s">
        <v>791</v>
      </c>
      <c r="G9">
        <v>-1</v>
      </c>
      <c r="H9" t="s">
        <v>792</v>
      </c>
      <c r="I9" s="12">
        <v>96000</v>
      </c>
      <c r="J9" s="12">
        <v>153600</v>
      </c>
    </row>
    <row r="10" spans="1:10" x14ac:dyDescent="0.15">
      <c r="A10" t="s">
        <v>801</v>
      </c>
      <c r="B10" t="s">
        <v>802</v>
      </c>
      <c r="C10" s="13">
        <v>45843</v>
      </c>
      <c r="D10" t="s">
        <v>672</v>
      </c>
      <c r="E10" t="s">
        <v>673</v>
      </c>
      <c r="F10" t="s">
        <v>791</v>
      </c>
      <c r="G10">
        <v>-2</v>
      </c>
      <c r="H10" t="s">
        <v>792</v>
      </c>
      <c r="I10" s="12">
        <v>27248</v>
      </c>
      <c r="J10" s="12">
        <v>-87193.600000000006</v>
      </c>
    </row>
    <row r="11" spans="1:10" x14ac:dyDescent="0.15">
      <c r="A11" t="s">
        <v>803</v>
      </c>
      <c r="B11" t="s">
        <v>804</v>
      </c>
      <c r="C11" s="13">
        <v>45843</v>
      </c>
      <c r="D11" t="s">
        <v>672</v>
      </c>
      <c r="E11" t="s">
        <v>673</v>
      </c>
      <c r="F11" t="s">
        <v>791</v>
      </c>
      <c r="G11">
        <v>-1</v>
      </c>
      <c r="H11" t="s">
        <v>792</v>
      </c>
      <c r="I11" s="12">
        <v>1687280</v>
      </c>
      <c r="J11" s="12">
        <v>2699648</v>
      </c>
    </row>
    <row r="12" spans="1:10" x14ac:dyDescent="0.15">
      <c r="A12" t="s">
        <v>805</v>
      </c>
      <c r="B12" t="s">
        <v>806</v>
      </c>
      <c r="C12" s="13">
        <v>45843</v>
      </c>
      <c r="D12" t="s">
        <v>672</v>
      </c>
      <c r="E12" t="s">
        <v>673</v>
      </c>
      <c r="F12" t="s">
        <v>791</v>
      </c>
      <c r="G12">
        <v>-1</v>
      </c>
      <c r="H12" t="s">
        <v>792</v>
      </c>
      <c r="I12" s="12">
        <v>35487.9</v>
      </c>
      <c r="J12" s="12">
        <v>56780.640000000007</v>
      </c>
    </row>
    <row r="13" spans="1:10" x14ac:dyDescent="0.15">
      <c r="A13" t="s">
        <v>676</v>
      </c>
      <c r="B13" t="s">
        <v>677</v>
      </c>
      <c r="C13" s="13">
        <v>45846</v>
      </c>
      <c r="D13" t="s">
        <v>672</v>
      </c>
      <c r="E13" t="s">
        <v>673</v>
      </c>
      <c r="F13" t="s">
        <v>807</v>
      </c>
      <c r="G13">
        <v>-1</v>
      </c>
      <c r="H13" t="s">
        <v>683</v>
      </c>
      <c r="I13" s="12">
        <v>39221.4</v>
      </c>
      <c r="J13" s="12">
        <v>62754.240000000005</v>
      </c>
    </row>
    <row r="14" spans="1:10" x14ac:dyDescent="0.15">
      <c r="A14" t="s">
        <v>808</v>
      </c>
      <c r="B14" t="s">
        <v>809</v>
      </c>
      <c r="C14" s="13">
        <v>45846</v>
      </c>
      <c r="D14" t="s">
        <v>672</v>
      </c>
      <c r="E14" t="s">
        <v>673</v>
      </c>
      <c r="F14" t="s">
        <v>810</v>
      </c>
      <c r="G14">
        <v>-1</v>
      </c>
      <c r="H14" t="s">
        <v>811</v>
      </c>
      <c r="I14" s="12">
        <v>7825.9400000000005</v>
      </c>
      <c r="J14" s="12">
        <v>12521.504000000001</v>
      </c>
    </row>
    <row r="15" spans="1:10" x14ac:dyDescent="0.15">
      <c r="A15" t="s">
        <v>812</v>
      </c>
      <c r="B15" t="s">
        <v>813</v>
      </c>
      <c r="C15" s="13">
        <v>45846</v>
      </c>
      <c r="D15" t="s">
        <v>672</v>
      </c>
      <c r="E15" t="s">
        <v>673</v>
      </c>
      <c r="F15" t="s">
        <v>807</v>
      </c>
      <c r="G15">
        <v>-1</v>
      </c>
      <c r="H15" t="s">
        <v>683</v>
      </c>
      <c r="I15" s="12">
        <v>484.7</v>
      </c>
      <c r="J15" s="12">
        <v>775.52</v>
      </c>
    </row>
    <row r="16" spans="1:10" x14ac:dyDescent="0.15">
      <c r="A16" t="s">
        <v>722</v>
      </c>
      <c r="B16" t="s">
        <v>723</v>
      </c>
      <c r="C16" s="13">
        <v>45846</v>
      </c>
      <c r="D16" t="s">
        <v>672</v>
      </c>
      <c r="E16" t="s">
        <v>673</v>
      </c>
      <c r="F16" t="s">
        <v>814</v>
      </c>
      <c r="G16">
        <v>-1</v>
      </c>
      <c r="H16" t="s">
        <v>815</v>
      </c>
      <c r="I16" s="12">
        <v>281126</v>
      </c>
      <c r="J16" s="12">
        <v>449801.60000000003</v>
      </c>
    </row>
    <row r="17" spans="1:10" x14ac:dyDescent="0.15">
      <c r="A17" t="s">
        <v>816</v>
      </c>
      <c r="B17" t="s">
        <v>817</v>
      </c>
      <c r="C17" s="13">
        <v>45846</v>
      </c>
      <c r="D17" t="s">
        <v>672</v>
      </c>
      <c r="E17" t="s">
        <v>673</v>
      </c>
      <c r="F17" t="s">
        <v>818</v>
      </c>
      <c r="G17">
        <v>-1</v>
      </c>
      <c r="H17" t="s">
        <v>675</v>
      </c>
      <c r="I17" s="12">
        <v>28937.9</v>
      </c>
      <c r="J17" s="12">
        <v>46300.640000000007</v>
      </c>
    </row>
    <row r="18" spans="1:10" x14ac:dyDescent="0.15">
      <c r="A18" t="s">
        <v>762</v>
      </c>
      <c r="B18" t="s">
        <v>763</v>
      </c>
      <c r="C18" s="13">
        <v>45846</v>
      </c>
      <c r="D18" t="s">
        <v>672</v>
      </c>
      <c r="E18" t="s">
        <v>673</v>
      </c>
      <c r="F18" t="s">
        <v>807</v>
      </c>
      <c r="G18">
        <v>-1</v>
      </c>
      <c r="H18" t="s">
        <v>683</v>
      </c>
      <c r="I18" s="12">
        <v>136698.5</v>
      </c>
      <c r="J18" s="12">
        <v>218717.6</v>
      </c>
    </row>
    <row r="19" spans="1:10" x14ac:dyDescent="0.15">
      <c r="A19" t="s">
        <v>805</v>
      </c>
      <c r="B19" t="s">
        <v>806</v>
      </c>
      <c r="C19" s="13">
        <v>45846</v>
      </c>
      <c r="D19" t="s">
        <v>672</v>
      </c>
      <c r="E19" t="s">
        <v>673</v>
      </c>
      <c r="F19" t="s">
        <v>819</v>
      </c>
      <c r="G19">
        <v>-1</v>
      </c>
      <c r="H19" t="s">
        <v>784</v>
      </c>
      <c r="I19" s="12">
        <v>35487.9</v>
      </c>
      <c r="J19" s="12">
        <v>56780.640000000007</v>
      </c>
    </row>
    <row r="20" spans="1:10" x14ac:dyDescent="0.15">
      <c r="A20" s="14" t="s">
        <v>680</v>
      </c>
      <c r="B20" t="s">
        <v>681</v>
      </c>
      <c r="C20" s="13">
        <v>45848</v>
      </c>
      <c r="D20" t="s">
        <v>672</v>
      </c>
      <c r="E20" t="s">
        <v>673</v>
      </c>
      <c r="F20" t="s">
        <v>820</v>
      </c>
      <c r="G20">
        <v>-1</v>
      </c>
      <c r="H20" t="s">
        <v>821</v>
      </c>
      <c r="I20" s="12">
        <v>259301.4</v>
      </c>
      <c r="J20" s="12">
        <v>414882.24</v>
      </c>
    </row>
    <row r="21" spans="1:10" x14ac:dyDescent="0.15">
      <c r="A21" s="14">
        <v>10719</v>
      </c>
      <c r="B21" t="s">
        <v>822</v>
      </c>
      <c r="C21" s="13">
        <v>45848</v>
      </c>
      <c r="D21" t="s">
        <v>672</v>
      </c>
      <c r="E21" t="s">
        <v>673</v>
      </c>
      <c r="F21" t="s">
        <v>820</v>
      </c>
      <c r="G21">
        <v>-1</v>
      </c>
      <c r="H21" t="s">
        <v>821</v>
      </c>
      <c r="I21" s="12">
        <v>96494.599999999991</v>
      </c>
      <c r="J21" s="12">
        <v>154391.35999999999</v>
      </c>
    </row>
    <row r="22" spans="1:10" x14ac:dyDescent="0.15">
      <c r="A22" s="14" t="s">
        <v>823</v>
      </c>
      <c r="B22" t="s">
        <v>824</v>
      </c>
      <c r="C22" s="13">
        <v>45852</v>
      </c>
      <c r="D22" t="s">
        <v>672</v>
      </c>
      <c r="E22" t="s">
        <v>673</v>
      </c>
      <c r="F22" t="s">
        <v>825</v>
      </c>
      <c r="G22">
        <v>-1</v>
      </c>
      <c r="H22" t="s">
        <v>701</v>
      </c>
      <c r="I22" s="12">
        <v>227560.1</v>
      </c>
      <c r="J22" s="12">
        <v>364096.16000000003</v>
      </c>
    </row>
    <row r="23" spans="1:10" x14ac:dyDescent="0.15">
      <c r="A23" s="14" t="s">
        <v>826</v>
      </c>
      <c r="B23" t="s">
        <v>827</v>
      </c>
      <c r="C23" s="13">
        <v>45852</v>
      </c>
      <c r="D23" t="s">
        <v>672</v>
      </c>
      <c r="E23" t="s">
        <v>673</v>
      </c>
      <c r="F23" t="s">
        <v>828</v>
      </c>
      <c r="G23">
        <v>-1</v>
      </c>
      <c r="H23" t="s">
        <v>771</v>
      </c>
      <c r="I23" s="12">
        <v>142842.4</v>
      </c>
      <c r="J23" s="12">
        <v>228547.84</v>
      </c>
    </row>
    <row r="24" spans="1:10" x14ac:dyDescent="0.15">
      <c r="A24" s="14">
        <v>10719</v>
      </c>
      <c r="B24" t="s">
        <v>822</v>
      </c>
      <c r="C24" s="13">
        <v>45852</v>
      </c>
      <c r="D24" t="s">
        <v>672</v>
      </c>
      <c r="E24" t="s">
        <v>673</v>
      </c>
      <c r="F24" t="s">
        <v>829</v>
      </c>
      <c r="G24">
        <v>-1</v>
      </c>
      <c r="H24" t="s">
        <v>683</v>
      </c>
      <c r="I24" s="12">
        <v>96494.599999999991</v>
      </c>
      <c r="J24" s="12">
        <v>154391.35999999999</v>
      </c>
    </row>
    <row r="25" spans="1:10" x14ac:dyDescent="0.15">
      <c r="A25" s="14" t="s">
        <v>766</v>
      </c>
      <c r="B25" t="s">
        <v>830</v>
      </c>
      <c r="C25" s="13">
        <v>45852</v>
      </c>
      <c r="D25" t="s">
        <v>672</v>
      </c>
      <c r="E25" t="s">
        <v>673</v>
      </c>
      <c r="F25" t="s">
        <v>831</v>
      </c>
      <c r="G25">
        <v>-1</v>
      </c>
      <c r="H25" t="s">
        <v>771</v>
      </c>
      <c r="I25" s="12">
        <v>240096.8</v>
      </c>
      <c r="J25" s="12">
        <v>384154.88</v>
      </c>
    </row>
    <row r="26" spans="1:10" x14ac:dyDescent="0.15">
      <c r="A26" t="s">
        <v>766</v>
      </c>
      <c r="B26" t="s">
        <v>832</v>
      </c>
      <c r="C26" s="13">
        <v>45852</v>
      </c>
      <c r="D26" t="s">
        <v>672</v>
      </c>
      <c r="E26" t="s">
        <v>673</v>
      </c>
      <c r="F26" t="s">
        <v>831</v>
      </c>
      <c r="G26">
        <v>-1</v>
      </c>
      <c r="H26" t="s">
        <v>771</v>
      </c>
      <c r="I26" s="12">
        <v>51666.399999999994</v>
      </c>
      <c r="J26" s="12">
        <v>82666.239999999991</v>
      </c>
    </row>
    <row r="27" spans="1:10" x14ac:dyDescent="0.15">
      <c r="A27" t="s">
        <v>781</v>
      </c>
      <c r="B27" t="s">
        <v>782</v>
      </c>
      <c r="C27" s="13">
        <v>45859</v>
      </c>
      <c r="D27" t="s">
        <v>672</v>
      </c>
      <c r="E27" t="s">
        <v>673</v>
      </c>
      <c r="F27" t="s">
        <v>833</v>
      </c>
      <c r="G27">
        <v>-1</v>
      </c>
      <c r="H27" t="s">
        <v>792</v>
      </c>
      <c r="I27" s="12">
        <v>120000</v>
      </c>
      <c r="J27" s="12">
        <v>192000</v>
      </c>
    </row>
    <row r="28" spans="1:10" x14ac:dyDescent="0.15">
      <c r="A28" t="s">
        <v>834</v>
      </c>
      <c r="B28" t="s">
        <v>835</v>
      </c>
      <c r="C28" s="13">
        <v>45859</v>
      </c>
      <c r="D28" t="s">
        <v>672</v>
      </c>
      <c r="E28" t="s">
        <v>673</v>
      </c>
      <c r="F28" t="s">
        <v>833</v>
      </c>
      <c r="G28">
        <v>-1</v>
      </c>
      <c r="H28" t="s">
        <v>792</v>
      </c>
      <c r="I28" s="12">
        <v>62000</v>
      </c>
      <c r="J28" s="12">
        <v>99200</v>
      </c>
    </row>
    <row r="29" spans="1:10" x14ac:dyDescent="0.15">
      <c r="A29" t="s">
        <v>836</v>
      </c>
      <c r="B29" t="s">
        <v>837</v>
      </c>
      <c r="C29" s="13">
        <v>45859</v>
      </c>
      <c r="D29" t="s">
        <v>672</v>
      </c>
      <c r="E29" t="s">
        <v>673</v>
      </c>
      <c r="F29" t="s">
        <v>833</v>
      </c>
      <c r="G29">
        <v>-1</v>
      </c>
      <c r="H29" t="s">
        <v>792</v>
      </c>
      <c r="I29" s="12">
        <v>87000</v>
      </c>
      <c r="J29" s="12">
        <v>139200</v>
      </c>
    </row>
    <row r="30" spans="1:10" x14ac:dyDescent="0.15">
      <c r="A30" t="s">
        <v>738</v>
      </c>
      <c r="B30" t="s">
        <v>739</v>
      </c>
      <c r="C30" s="13">
        <v>45859</v>
      </c>
      <c r="D30" t="s">
        <v>672</v>
      </c>
      <c r="E30" t="s">
        <v>673</v>
      </c>
      <c r="F30" t="s">
        <v>838</v>
      </c>
      <c r="G30">
        <v>-1</v>
      </c>
      <c r="H30" t="s">
        <v>683</v>
      </c>
      <c r="I30" s="12">
        <v>434304.3</v>
      </c>
      <c r="J30" s="12">
        <v>694886.88</v>
      </c>
    </row>
    <row r="31" spans="1:10" x14ac:dyDescent="0.15">
      <c r="A31" t="s">
        <v>706</v>
      </c>
      <c r="B31" t="s">
        <v>707</v>
      </c>
      <c r="C31" s="13">
        <v>45860</v>
      </c>
      <c r="D31" t="s">
        <v>672</v>
      </c>
      <c r="E31" t="s">
        <v>673</v>
      </c>
      <c r="F31" t="s">
        <v>839</v>
      </c>
      <c r="G31">
        <v>-1</v>
      </c>
      <c r="H31" t="s">
        <v>683</v>
      </c>
      <c r="I31" s="12">
        <v>21000</v>
      </c>
      <c r="J31" s="12">
        <v>33600</v>
      </c>
    </row>
    <row r="32" spans="1:10" x14ac:dyDescent="0.15">
      <c r="A32" t="s">
        <v>840</v>
      </c>
      <c r="B32" t="s">
        <v>841</v>
      </c>
      <c r="C32" s="13">
        <v>45860</v>
      </c>
      <c r="D32" t="s">
        <v>672</v>
      </c>
      <c r="E32" t="s">
        <v>673</v>
      </c>
      <c r="F32" t="s">
        <v>839</v>
      </c>
      <c r="G32">
        <v>-1</v>
      </c>
      <c r="H32" t="s">
        <v>683</v>
      </c>
      <c r="I32" s="12">
        <v>18000</v>
      </c>
      <c r="J32" s="12">
        <v>28800</v>
      </c>
    </row>
    <row r="33" spans="1:11" x14ac:dyDescent="0.15">
      <c r="A33" t="s">
        <v>738</v>
      </c>
      <c r="B33" t="s">
        <v>739</v>
      </c>
      <c r="C33" s="13">
        <v>45860</v>
      </c>
      <c r="D33" t="s">
        <v>672</v>
      </c>
      <c r="E33" t="s">
        <v>673</v>
      </c>
      <c r="F33" t="s">
        <v>842</v>
      </c>
      <c r="G33">
        <v>-1</v>
      </c>
      <c r="H33" t="s">
        <v>703</v>
      </c>
      <c r="I33" s="12">
        <v>434304.3</v>
      </c>
      <c r="J33" s="12">
        <v>694886.88</v>
      </c>
    </row>
    <row r="34" spans="1:11" x14ac:dyDescent="0.15">
      <c r="A34" t="s">
        <v>741</v>
      </c>
      <c r="B34" t="s">
        <v>742</v>
      </c>
      <c r="C34" s="13">
        <v>45860</v>
      </c>
      <c r="D34" t="s">
        <v>672</v>
      </c>
      <c r="E34" t="s">
        <v>673</v>
      </c>
      <c r="F34" t="s">
        <v>839</v>
      </c>
      <c r="G34">
        <v>-1</v>
      </c>
      <c r="H34" t="s">
        <v>683</v>
      </c>
      <c r="I34" s="12">
        <v>175972.30000000002</v>
      </c>
      <c r="J34" s="12">
        <v>281555.68000000005</v>
      </c>
    </row>
    <row r="35" spans="1:11" x14ac:dyDescent="0.15">
      <c r="A35" t="s">
        <v>743</v>
      </c>
      <c r="B35" t="s">
        <v>744</v>
      </c>
      <c r="C35" s="13">
        <v>45860</v>
      </c>
      <c r="D35" t="s">
        <v>672</v>
      </c>
      <c r="E35" t="s">
        <v>673</v>
      </c>
      <c r="F35" t="s">
        <v>839</v>
      </c>
      <c r="G35">
        <v>-1</v>
      </c>
      <c r="H35" t="s">
        <v>683</v>
      </c>
      <c r="I35" s="12">
        <v>364402.7</v>
      </c>
      <c r="J35" s="12">
        <v>583044.32000000007</v>
      </c>
    </row>
    <row r="36" spans="1:11" x14ac:dyDescent="0.15">
      <c r="A36" t="s">
        <v>843</v>
      </c>
      <c r="B36" t="s">
        <v>844</v>
      </c>
      <c r="C36" s="13">
        <v>45860</v>
      </c>
      <c r="D36" t="s">
        <v>672</v>
      </c>
      <c r="E36" t="s">
        <v>673</v>
      </c>
      <c r="F36" t="s">
        <v>842</v>
      </c>
      <c r="G36">
        <v>-1</v>
      </c>
      <c r="H36" t="s">
        <v>703</v>
      </c>
      <c r="I36" s="12">
        <v>208159</v>
      </c>
      <c r="J36" s="12">
        <v>333054.40000000002</v>
      </c>
    </row>
    <row r="37" spans="1:11" x14ac:dyDescent="0.15">
      <c r="A37" t="s">
        <v>774</v>
      </c>
      <c r="B37" t="s">
        <v>775</v>
      </c>
      <c r="C37" s="13">
        <v>45860</v>
      </c>
      <c r="D37" t="s">
        <v>672</v>
      </c>
      <c r="E37" t="s">
        <v>673</v>
      </c>
      <c r="F37" t="s">
        <v>839</v>
      </c>
      <c r="G37">
        <v>-1</v>
      </c>
      <c r="H37" t="s">
        <v>683</v>
      </c>
      <c r="I37" s="12">
        <v>46334.7</v>
      </c>
      <c r="J37" s="12">
        <v>74135.520000000004</v>
      </c>
    </row>
    <row r="38" spans="1:11" x14ac:dyDescent="0.15">
      <c r="A38" t="s">
        <v>745</v>
      </c>
      <c r="B38" t="s">
        <v>746</v>
      </c>
      <c r="C38" s="13">
        <v>45862</v>
      </c>
      <c r="D38" t="s">
        <v>672</v>
      </c>
      <c r="E38" t="s">
        <v>673</v>
      </c>
      <c r="F38" t="s">
        <v>845</v>
      </c>
      <c r="G38">
        <v>-1</v>
      </c>
      <c r="H38" t="s">
        <v>731</v>
      </c>
      <c r="I38" s="12">
        <v>397628.66666666669</v>
      </c>
      <c r="J38" s="12">
        <v>636205.8666666667</v>
      </c>
    </row>
    <row r="39" spans="1:11" x14ac:dyDescent="0.15">
      <c r="A39" t="s">
        <v>846</v>
      </c>
      <c r="B39" t="s">
        <v>847</v>
      </c>
      <c r="C39" s="13">
        <v>45862</v>
      </c>
      <c r="D39" t="s">
        <v>672</v>
      </c>
      <c r="E39" t="s">
        <v>673</v>
      </c>
      <c r="F39" t="s">
        <v>848</v>
      </c>
      <c r="G39">
        <v>-1</v>
      </c>
      <c r="H39" t="s">
        <v>849</v>
      </c>
      <c r="I39" s="12">
        <v>57849.599999999999</v>
      </c>
      <c r="J39" s="12">
        <v>92559.360000000001</v>
      </c>
    </row>
    <row r="40" spans="1:11" x14ac:dyDescent="0.15">
      <c r="A40" t="s">
        <v>846</v>
      </c>
      <c r="B40" t="s">
        <v>847</v>
      </c>
      <c r="C40" s="13">
        <v>45862</v>
      </c>
      <c r="D40" t="s">
        <v>672</v>
      </c>
      <c r="E40" t="s">
        <v>673</v>
      </c>
      <c r="F40" t="s">
        <v>845</v>
      </c>
      <c r="G40">
        <v>-1</v>
      </c>
      <c r="H40" t="s">
        <v>731</v>
      </c>
      <c r="I40" s="12">
        <v>57849.599999999999</v>
      </c>
      <c r="J40" s="12">
        <v>92559.360000000001</v>
      </c>
    </row>
    <row r="41" spans="1:11" x14ac:dyDescent="0.15">
      <c r="A41" t="s">
        <v>850</v>
      </c>
      <c r="B41" t="s">
        <v>851</v>
      </c>
      <c r="C41" s="13">
        <v>45862</v>
      </c>
      <c r="D41" t="s">
        <v>672</v>
      </c>
      <c r="E41" t="s">
        <v>673</v>
      </c>
      <c r="F41" t="s">
        <v>848</v>
      </c>
      <c r="G41">
        <v>-1</v>
      </c>
      <c r="H41" t="s">
        <v>849</v>
      </c>
      <c r="I41" s="12">
        <v>18569.511999999999</v>
      </c>
      <c r="J41" s="12">
        <v>29711.2192</v>
      </c>
    </row>
    <row r="42" spans="1:11" x14ac:dyDescent="0.15">
      <c r="A42" t="s">
        <v>766</v>
      </c>
      <c r="B42" t="s">
        <v>830</v>
      </c>
      <c r="C42" s="13">
        <v>45862</v>
      </c>
      <c r="D42" t="s">
        <v>672</v>
      </c>
      <c r="E42" t="s">
        <v>673</v>
      </c>
      <c r="F42" t="s">
        <v>845</v>
      </c>
      <c r="G42">
        <v>-1</v>
      </c>
      <c r="H42" t="s">
        <v>731</v>
      </c>
      <c r="I42" s="12">
        <v>240096.8</v>
      </c>
      <c r="J42" s="12">
        <v>384154.88</v>
      </c>
    </row>
    <row r="43" spans="1:11" x14ac:dyDescent="0.15">
      <c r="A43" t="s">
        <v>762</v>
      </c>
      <c r="B43" t="s">
        <v>763</v>
      </c>
      <c r="C43" s="13">
        <v>45862</v>
      </c>
      <c r="D43" t="s">
        <v>672</v>
      </c>
      <c r="E43" t="s">
        <v>673</v>
      </c>
      <c r="F43" t="s">
        <v>845</v>
      </c>
      <c r="G43">
        <v>-1</v>
      </c>
      <c r="H43" t="s">
        <v>731</v>
      </c>
      <c r="I43" s="12">
        <v>136698.5</v>
      </c>
      <c r="J43" s="12">
        <v>218717.6</v>
      </c>
    </row>
    <row r="44" spans="1:11" x14ac:dyDescent="0.15">
      <c r="A44" t="s">
        <v>852</v>
      </c>
      <c r="B44" t="s">
        <v>853</v>
      </c>
      <c r="C44" s="13">
        <v>45866</v>
      </c>
      <c r="D44" t="s">
        <v>672</v>
      </c>
      <c r="E44" t="s">
        <v>673</v>
      </c>
      <c r="F44" t="s">
        <v>854</v>
      </c>
      <c r="G44">
        <v>-1</v>
      </c>
      <c r="H44" t="s">
        <v>792</v>
      </c>
      <c r="I44" s="12">
        <v>120000</v>
      </c>
      <c r="J44" s="12">
        <v>192000</v>
      </c>
    </row>
    <row r="45" spans="1:11" x14ac:dyDescent="0.15">
      <c r="A45" t="s">
        <v>823</v>
      </c>
      <c r="B45" t="s">
        <v>824</v>
      </c>
      <c r="C45" s="13">
        <v>45868</v>
      </c>
      <c r="D45" t="s">
        <v>672</v>
      </c>
      <c r="E45" t="s">
        <v>673</v>
      </c>
      <c r="F45" t="s">
        <v>855</v>
      </c>
      <c r="G45">
        <v>-1</v>
      </c>
      <c r="H45" t="s">
        <v>713</v>
      </c>
      <c r="I45" s="12">
        <v>227560.1</v>
      </c>
      <c r="J45" s="12">
        <v>364096.16000000003</v>
      </c>
    </row>
    <row r="46" spans="1:11" x14ac:dyDescent="0.15">
      <c r="A46" t="s">
        <v>722</v>
      </c>
      <c r="B46" t="s">
        <v>723</v>
      </c>
      <c r="C46" s="13">
        <v>45868</v>
      </c>
      <c r="D46" t="s">
        <v>672</v>
      </c>
      <c r="E46" t="s">
        <v>673</v>
      </c>
      <c r="F46" t="s">
        <v>856</v>
      </c>
      <c r="G46">
        <v>-1</v>
      </c>
      <c r="H46" t="s">
        <v>857</v>
      </c>
      <c r="I46" s="12">
        <v>281126</v>
      </c>
      <c r="J46" s="12">
        <v>449801.60000000003</v>
      </c>
    </row>
    <row r="47" spans="1:11" x14ac:dyDescent="0.15">
      <c r="A47" t="s">
        <v>766</v>
      </c>
      <c r="B47" t="s">
        <v>858</v>
      </c>
      <c r="C47" s="13">
        <v>45868</v>
      </c>
      <c r="D47" t="s">
        <v>672</v>
      </c>
      <c r="E47" t="s">
        <v>673</v>
      </c>
      <c r="F47" t="s">
        <v>859</v>
      </c>
      <c r="G47">
        <v>-1</v>
      </c>
      <c r="H47" t="s">
        <v>679</v>
      </c>
      <c r="I47" s="12">
        <v>4954</v>
      </c>
      <c r="J47" s="12">
        <v>7926.4000000000005</v>
      </c>
    </row>
    <row r="48" spans="1:11" x14ac:dyDescent="0.15">
      <c r="C48" s="13"/>
      <c r="I48" s="12"/>
      <c r="J48" s="12">
        <f>SUM(Tabla2[Precio venta Franquicia])</f>
        <v>13215989.258666666</v>
      </c>
      <c r="K48" t="s">
        <v>780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006AD-643B-4C29-947E-EEA05118BE62}">
  <dimension ref="A3:O91"/>
  <sheetViews>
    <sheetView topLeftCell="A75" workbookViewId="0">
      <selection activeCell="E83" sqref="E83"/>
    </sheetView>
  </sheetViews>
  <sheetFormatPr baseColWidth="10" defaultColWidth="11.5" defaultRowHeight="13" x14ac:dyDescent="0.15"/>
  <cols>
    <col min="4" max="4" width="19.1640625" customWidth="1"/>
    <col min="13" max="13" width="17.83203125" customWidth="1"/>
    <col min="14" max="14" width="17.5" customWidth="1"/>
  </cols>
  <sheetData>
    <row r="3" spans="1:15" x14ac:dyDescent="0.15">
      <c r="A3" s="1" t="s">
        <v>0</v>
      </c>
      <c r="B3" s="1" t="s">
        <v>1</v>
      </c>
      <c r="C3" s="1" t="s">
        <v>2</v>
      </c>
      <c r="D3" s="1" t="s">
        <v>3</v>
      </c>
      <c r="E3" s="1" t="s">
        <v>4</v>
      </c>
      <c r="F3" s="1" t="s">
        <v>5</v>
      </c>
      <c r="G3" s="1" t="s">
        <v>6</v>
      </c>
      <c r="H3" s="1" t="s">
        <v>7</v>
      </c>
      <c r="I3" s="1" t="s">
        <v>8</v>
      </c>
      <c r="J3" s="1" t="s">
        <v>9</v>
      </c>
      <c r="K3" s="1" t="s">
        <v>10</v>
      </c>
      <c r="L3" s="1" t="s">
        <v>11</v>
      </c>
      <c r="M3" s="1" t="s">
        <v>12</v>
      </c>
      <c r="N3" s="1" t="s">
        <v>13</v>
      </c>
      <c r="O3" s="1" t="s">
        <v>658</v>
      </c>
    </row>
    <row r="4" spans="1:15" x14ac:dyDescent="0.15">
      <c r="A4" s="5">
        <v>73081</v>
      </c>
      <c r="B4" s="2" t="s">
        <v>75</v>
      </c>
      <c r="C4" s="2" t="s">
        <v>76</v>
      </c>
      <c r="D4" s="2" t="s">
        <v>77</v>
      </c>
      <c r="E4" s="2" t="s">
        <v>32</v>
      </c>
      <c r="F4" s="2" t="s">
        <v>78</v>
      </c>
      <c r="G4" s="2" t="s">
        <v>32</v>
      </c>
      <c r="H4" s="2" t="s">
        <v>14</v>
      </c>
      <c r="I4" s="2" t="s">
        <v>79</v>
      </c>
      <c r="J4" s="2" t="s">
        <v>28</v>
      </c>
      <c r="K4" s="2" t="s">
        <v>17</v>
      </c>
      <c r="L4" s="2" t="s">
        <v>20</v>
      </c>
      <c r="M4" s="2" t="s">
        <v>80</v>
      </c>
      <c r="N4" s="3" t="s">
        <v>653</v>
      </c>
      <c r="O4" s="4">
        <v>50</v>
      </c>
    </row>
    <row r="5" spans="1:15" x14ac:dyDescent="0.15">
      <c r="A5" s="5">
        <v>73143</v>
      </c>
      <c r="B5" s="2" t="s">
        <v>81</v>
      </c>
      <c r="C5" s="2" t="s">
        <v>82</v>
      </c>
      <c r="D5" s="2" t="s">
        <v>83</v>
      </c>
      <c r="E5" s="2" t="s">
        <v>62</v>
      </c>
      <c r="F5" s="2" t="s">
        <v>50</v>
      </c>
      <c r="G5" s="2" t="s">
        <v>62</v>
      </c>
      <c r="H5" s="2" t="s">
        <v>14</v>
      </c>
      <c r="I5" s="2" t="s">
        <v>84</v>
      </c>
      <c r="J5" s="2" t="s">
        <v>28</v>
      </c>
      <c r="K5" s="2" t="s">
        <v>17</v>
      </c>
      <c r="L5" s="2" t="s">
        <v>20</v>
      </c>
      <c r="M5" s="2" t="s">
        <v>85</v>
      </c>
      <c r="N5" s="3" t="s">
        <v>653</v>
      </c>
      <c r="O5" s="4">
        <v>50</v>
      </c>
    </row>
    <row r="6" spans="1:15" x14ac:dyDescent="0.15">
      <c r="A6" s="5">
        <v>73151</v>
      </c>
      <c r="B6" s="2" t="s">
        <v>86</v>
      </c>
      <c r="C6" s="2" t="s">
        <v>87</v>
      </c>
      <c r="D6" s="2" t="s">
        <v>88</v>
      </c>
      <c r="E6" s="2" t="s">
        <v>89</v>
      </c>
      <c r="F6" s="2" t="s">
        <v>63</v>
      </c>
      <c r="G6" s="2" t="s">
        <v>89</v>
      </c>
      <c r="H6" s="2" t="s">
        <v>14</v>
      </c>
      <c r="I6" s="2" t="s">
        <v>90</v>
      </c>
      <c r="J6" s="2" t="s">
        <v>28</v>
      </c>
      <c r="K6" s="2" t="s">
        <v>17</v>
      </c>
      <c r="L6" s="2" t="s">
        <v>20</v>
      </c>
      <c r="M6" s="2" t="s">
        <v>91</v>
      </c>
      <c r="N6" s="3" t="s">
        <v>652</v>
      </c>
      <c r="O6" s="4">
        <v>25</v>
      </c>
    </row>
    <row r="7" spans="1:15" x14ac:dyDescent="0.15">
      <c r="A7" s="5">
        <v>73223</v>
      </c>
      <c r="B7" s="2" t="s">
        <v>92</v>
      </c>
      <c r="C7" s="2" t="s">
        <v>93</v>
      </c>
      <c r="D7" s="2" t="s">
        <v>94</v>
      </c>
      <c r="E7" s="2" t="s">
        <v>62</v>
      </c>
      <c r="F7" s="2" t="s">
        <v>15</v>
      </c>
      <c r="G7" s="2" t="s">
        <v>62</v>
      </c>
      <c r="H7" s="2" t="s">
        <v>14</v>
      </c>
      <c r="I7" s="2" t="s">
        <v>95</v>
      </c>
      <c r="J7" s="2" t="s">
        <v>28</v>
      </c>
      <c r="K7" s="2" t="s">
        <v>17</v>
      </c>
      <c r="L7" s="2" t="s">
        <v>20</v>
      </c>
      <c r="M7" s="2" t="s">
        <v>96</v>
      </c>
      <c r="N7" s="3" t="s">
        <v>652</v>
      </c>
      <c r="O7" s="4">
        <v>25</v>
      </c>
    </row>
    <row r="8" spans="1:15" x14ac:dyDescent="0.15">
      <c r="A8" s="5">
        <v>73225</v>
      </c>
      <c r="B8" s="2" t="s">
        <v>34</v>
      </c>
      <c r="C8" s="2" t="s">
        <v>97</v>
      </c>
      <c r="D8" s="2" t="s">
        <v>98</v>
      </c>
      <c r="E8" s="2" t="s">
        <v>62</v>
      </c>
      <c r="F8" s="2" t="s">
        <v>69</v>
      </c>
      <c r="G8" s="2" t="s">
        <v>62</v>
      </c>
      <c r="H8" s="2" t="s">
        <v>14</v>
      </c>
      <c r="I8" s="2" t="s">
        <v>99</v>
      </c>
      <c r="J8" s="2" t="s">
        <v>28</v>
      </c>
      <c r="K8" s="2" t="s">
        <v>17</v>
      </c>
      <c r="L8" s="2" t="s">
        <v>20</v>
      </c>
      <c r="M8" s="2" t="s">
        <v>100</v>
      </c>
      <c r="N8" s="3" t="s">
        <v>652</v>
      </c>
      <c r="O8" s="4">
        <v>25</v>
      </c>
    </row>
    <row r="9" spans="1:15" x14ac:dyDescent="0.15">
      <c r="A9" s="5">
        <v>73252</v>
      </c>
      <c r="B9" s="2" t="s">
        <v>101</v>
      </c>
      <c r="C9" s="2" t="s">
        <v>102</v>
      </c>
      <c r="D9" s="2" t="s">
        <v>47</v>
      </c>
      <c r="E9" s="2" t="s">
        <v>32</v>
      </c>
      <c r="F9" s="2" t="s">
        <v>41</v>
      </c>
      <c r="G9" s="2" t="s">
        <v>32</v>
      </c>
      <c r="H9" s="2" t="s">
        <v>14</v>
      </c>
      <c r="I9" s="2" t="s">
        <v>103</v>
      </c>
      <c r="J9" s="2" t="s">
        <v>28</v>
      </c>
      <c r="K9" s="2" t="s">
        <v>17</v>
      </c>
      <c r="L9" s="2" t="s">
        <v>20</v>
      </c>
      <c r="M9" s="2" t="s">
        <v>104</v>
      </c>
      <c r="N9" s="3">
        <v>0</v>
      </c>
      <c r="O9" s="4">
        <v>0</v>
      </c>
    </row>
    <row r="10" spans="1:15" x14ac:dyDescent="0.15">
      <c r="A10" s="5">
        <v>73290</v>
      </c>
      <c r="B10" s="2" t="s">
        <v>105</v>
      </c>
      <c r="C10" s="2" t="s">
        <v>106</v>
      </c>
      <c r="D10" s="2" t="s">
        <v>107</v>
      </c>
      <c r="E10" s="2" t="s">
        <v>62</v>
      </c>
      <c r="F10" s="2" t="s">
        <v>31</v>
      </c>
      <c r="G10" s="2" t="s">
        <v>62</v>
      </c>
      <c r="H10" s="2" t="s">
        <v>14</v>
      </c>
      <c r="I10" s="2" t="s">
        <v>108</v>
      </c>
      <c r="J10" s="2" t="s">
        <v>28</v>
      </c>
      <c r="K10" s="2" t="s">
        <v>17</v>
      </c>
      <c r="L10" s="2" t="s">
        <v>20</v>
      </c>
      <c r="M10" s="2" t="s">
        <v>109</v>
      </c>
      <c r="N10" s="3" t="s">
        <v>656</v>
      </c>
      <c r="O10" s="4">
        <v>25</v>
      </c>
    </row>
    <row r="11" spans="1:15" x14ac:dyDescent="0.15">
      <c r="A11" s="5">
        <v>73295</v>
      </c>
      <c r="B11" s="2" t="s">
        <v>110</v>
      </c>
      <c r="C11" s="2" t="s">
        <v>111</v>
      </c>
      <c r="D11" s="2" t="s">
        <v>112</v>
      </c>
      <c r="E11" s="2" t="s">
        <v>32</v>
      </c>
      <c r="F11" s="2" t="s">
        <v>54</v>
      </c>
      <c r="G11" s="2" t="s">
        <v>32</v>
      </c>
      <c r="H11" s="2" t="s">
        <v>14</v>
      </c>
      <c r="I11" s="2" t="s">
        <v>113</v>
      </c>
      <c r="J11" s="2" t="s">
        <v>28</v>
      </c>
      <c r="K11" s="2" t="s">
        <v>17</v>
      </c>
      <c r="L11" s="2" t="s">
        <v>20</v>
      </c>
      <c r="M11" s="2" t="s">
        <v>114</v>
      </c>
      <c r="N11" s="3" t="s">
        <v>652</v>
      </c>
      <c r="O11" s="4">
        <v>25</v>
      </c>
    </row>
    <row r="12" spans="1:15" x14ac:dyDescent="0.15">
      <c r="A12" s="5">
        <v>73324</v>
      </c>
      <c r="B12" s="2" t="s">
        <v>115</v>
      </c>
      <c r="C12" s="2" t="s">
        <v>115</v>
      </c>
      <c r="D12" s="2" t="s">
        <v>116</v>
      </c>
      <c r="E12" s="2" t="s">
        <v>32</v>
      </c>
      <c r="F12" s="2" t="s">
        <v>71</v>
      </c>
      <c r="G12" s="2" t="s">
        <v>32</v>
      </c>
      <c r="H12" s="2" t="s">
        <v>14</v>
      </c>
      <c r="I12" s="2" t="s">
        <v>117</v>
      </c>
      <c r="J12" s="2" t="s">
        <v>28</v>
      </c>
      <c r="K12" s="2" t="s">
        <v>17</v>
      </c>
      <c r="L12" s="2" t="s">
        <v>20</v>
      </c>
      <c r="M12" s="2" t="s">
        <v>118</v>
      </c>
      <c r="N12" s="3" t="s">
        <v>653</v>
      </c>
      <c r="O12" s="4">
        <v>50</v>
      </c>
    </row>
    <row r="13" spans="1:15" x14ac:dyDescent="0.15">
      <c r="A13" s="5">
        <v>73340</v>
      </c>
      <c r="B13" s="2" t="s">
        <v>119</v>
      </c>
      <c r="C13" s="2" t="s">
        <v>120</v>
      </c>
      <c r="D13" s="2" t="s">
        <v>121</v>
      </c>
      <c r="E13" s="2" t="s">
        <v>62</v>
      </c>
      <c r="F13" s="2" t="s">
        <v>50</v>
      </c>
      <c r="G13" s="2" t="s">
        <v>62</v>
      </c>
      <c r="H13" s="2" t="s">
        <v>14</v>
      </c>
      <c r="I13" s="2" t="s">
        <v>122</v>
      </c>
      <c r="J13" s="2" t="s">
        <v>28</v>
      </c>
      <c r="K13" s="2" t="s">
        <v>17</v>
      </c>
      <c r="L13" s="2" t="s">
        <v>20</v>
      </c>
      <c r="M13" s="2" t="s">
        <v>123</v>
      </c>
      <c r="N13" s="3">
        <v>0</v>
      </c>
      <c r="O13" s="4">
        <v>0</v>
      </c>
    </row>
    <row r="14" spans="1:15" x14ac:dyDescent="0.15">
      <c r="A14" s="5">
        <v>73378</v>
      </c>
      <c r="B14" s="2" t="s">
        <v>20</v>
      </c>
      <c r="C14" s="2" t="s">
        <v>124</v>
      </c>
      <c r="D14" s="2" t="s">
        <v>125</v>
      </c>
      <c r="E14" s="2" t="s">
        <v>89</v>
      </c>
      <c r="F14" s="2" t="s">
        <v>27</v>
      </c>
      <c r="G14" s="2" t="s">
        <v>89</v>
      </c>
      <c r="H14" s="2" t="s">
        <v>14</v>
      </c>
      <c r="I14" s="2" t="s">
        <v>126</v>
      </c>
      <c r="J14" s="2" t="s">
        <v>28</v>
      </c>
      <c r="K14" s="2" t="s">
        <v>17</v>
      </c>
      <c r="L14" s="2" t="s">
        <v>20</v>
      </c>
      <c r="M14" s="2" t="s">
        <v>127</v>
      </c>
      <c r="N14" s="3" t="s">
        <v>652</v>
      </c>
      <c r="O14" s="4">
        <v>25</v>
      </c>
    </row>
    <row r="15" spans="1:15" x14ac:dyDescent="0.15">
      <c r="A15" s="5">
        <v>73401</v>
      </c>
      <c r="B15" s="2" t="s">
        <v>128</v>
      </c>
      <c r="C15" s="2" t="s">
        <v>129</v>
      </c>
      <c r="D15" s="2" t="s">
        <v>130</v>
      </c>
      <c r="E15" s="2" t="s">
        <v>32</v>
      </c>
      <c r="F15" s="2" t="s">
        <v>56</v>
      </c>
      <c r="G15" s="2" t="s">
        <v>32</v>
      </c>
      <c r="H15" s="2" t="s">
        <v>14</v>
      </c>
      <c r="I15" s="2" t="s">
        <v>131</v>
      </c>
      <c r="J15" s="2" t="s">
        <v>28</v>
      </c>
      <c r="K15" s="2" t="s">
        <v>17</v>
      </c>
      <c r="L15" s="2" t="s">
        <v>20</v>
      </c>
      <c r="M15" s="2" t="s">
        <v>132</v>
      </c>
      <c r="N15" s="3" t="s">
        <v>652</v>
      </c>
      <c r="O15" s="4">
        <v>25</v>
      </c>
    </row>
    <row r="16" spans="1:15" x14ac:dyDescent="0.15">
      <c r="A16" s="5">
        <v>73420</v>
      </c>
      <c r="B16" s="2" t="s">
        <v>133</v>
      </c>
      <c r="C16" s="2" t="s">
        <v>134</v>
      </c>
      <c r="D16" s="2" t="s">
        <v>135</v>
      </c>
      <c r="E16" s="2" t="s">
        <v>62</v>
      </c>
      <c r="F16" s="2" t="s">
        <v>136</v>
      </c>
      <c r="G16" s="2" t="s">
        <v>62</v>
      </c>
      <c r="H16" s="2" t="s">
        <v>14</v>
      </c>
      <c r="I16" s="2" t="s">
        <v>137</v>
      </c>
      <c r="J16" s="2" t="s">
        <v>28</v>
      </c>
      <c r="K16" s="2" t="s">
        <v>17</v>
      </c>
      <c r="L16" s="2" t="s">
        <v>20</v>
      </c>
      <c r="M16" s="2" t="s">
        <v>138</v>
      </c>
      <c r="N16" s="3" t="s">
        <v>652</v>
      </c>
      <c r="O16" s="4">
        <v>25</v>
      </c>
    </row>
    <row r="17" spans="1:15" x14ac:dyDescent="0.15">
      <c r="A17" s="5">
        <v>73432</v>
      </c>
      <c r="B17" s="2" t="s">
        <v>139</v>
      </c>
      <c r="C17" s="2" t="s">
        <v>140</v>
      </c>
      <c r="D17" s="2" t="s">
        <v>141</v>
      </c>
      <c r="E17" s="2" t="s">
        <v>32</v>
      </c>
      <c r="F17" s="2" t="s">
        <v>43</v>
      </c>
      <c r="G17" s="2" t="s">
        <v>32</v>
      </c>
      <c r="H17" s="2" t="s">
        <v>14</v>
      </c>
      <c r="I17" s="2" t="s">
        <v>142</v>
      </c>
      <c r="J17" s="2" t="s">
        <v>28</v>
      </c>
      <c r="K17" s="2" t="s">
        <v>17</v>
      </c>
      <c r="L17" s="2" t="s">
        <v>20</v>
      </c>
      <c r="M17" s="2" t="s">
        <v>143</v>
      </c>
      <c r="N17" s="3" t="s">
        <v>652</v>
      </c>
      <c r="O17" s="4">
        <v>25</v>
      </c>
    </row>
    <row r="18" spans="1:15" x14ac:dyDescent="0.15">
      <c r="A18" s="5">
        <v>73494</v>
      </c>
      <c r="B18" s="2" t="s">
        <v>144</v>
      </c>
      <c r="C18" s="2" t="s">
        <v>145</v>
      </c>
      <c r="D18" s="2" t="s">
        <v>146</v>
      </c>
      <c r="E18" s="2" t="s">
        <v>89</v>
      </c>
      <c r="F18" s="2" t="s">
        <v>35</v>
      </c>
      <c r="G18" s="2" t="s">
        <v>89</v>
      </c>
      <c r="H18" s="2" t="s">
        <v>14</v>
      </c>
      <c r="I18" s="2" t="s">
        <v>147</v>
      </c>
      <c r="J18" s="2" t="s">
        <v>28</v>
      </c>
      <c r="K18" s="2" t="s">
        <v>17</v>
      </c>
      <c r="L18" s="2" t="s">
        <v>20</v>
      </c>
      <c r="M18" s="2" t="s">
        <v>148</v>
      </c>
      <c r="N18" s="3" t="s">
        <v>652</v>
      </c>
      <c r="O18" s="4">
        <v>25</v>
      </c>
    </row>
    <row r="19" spans="1:15" x14ac:dyDescent="0.15">
      <c r="A19" s="5">
        <v>73508</v>
      </c>
      <c r="B19" s="2" t="s">
        <v>149</v>
      </c>
      <c r="C19" s="2" t="s">
        <v>150</v>
      </c>
      <c r="D19" s="2" t="s">
        <v>151</v>
      </c>
      <c r="E19" s="2" t="s">
        <v>62</v>
      </c>
      <c r="F19" s="2" t="s">
        <v>49</v>
      </c>
      <c r="G19" s="2" t="s">
        <v>62</v>
      </c>
      <c r="H19" s="2" t="s">
        <v>14</v>
      </c>
      <c r="I19" s="2" t="s">
        <v>152</v>
      </c>
      <c r="J19" s="2" t="s">
        <v>28</v>
      </c>
      <c r="K19" s="2" t="s">
        <v>17</v>
      </c>
      <c r="L19" s="2" t="s">
        <v>20</v>
      </c>
      <c r="M19" s="2" t="s">
        <v>153</v>
      </c>
      <c r="N19" s="3" t="s">
        <v>652</v>
      </c>
      <c r="O19" s="4">
        <v>25</v>
      </c>
    </row>
    <row r="20" spans="1:15" x14ac:dyDescent="0.15">
      <c r="A20" s="5">
        <v>73531</v>
      </c>
      <c r="B20" s="2" t="s">
        <v>154</v>
      </c>
      <c r="C20" s="2" t="s">
        <v>155</v>
      </c>
      <c r="D20" s="2" t="s">
        <v>156</v>
      </c>
      <c r="E20" s="2" t="s">
        <v>89</v>
      </c>
      <c r="F20" s="2" t="s">
        <v>136</v>
      </c>
      <c r="G20" s="2" t="s">
        <v>89</v>
      </c>
      <c r="H20" s="2" t="s">
        <v>14</v>
      </c>
      <c r="I20" s="2" t="s">
        <v>157</v>
      </c>
      <c r="J20" s="2" t="s">
        <v>28</v>
      </c>
      <c r="K20" s="2" t="s">
        <v>17</v>
      </c>
      <c r="L20" s="2" t="s">
        <v>20</v>
      </c>
      <c r="M20" s="2" t="s">
        <v>158</v>
      </c>
      <c r="N20" s="3" t="s">
        <v>653</v>
      </c>
      <c r="O20" s="4">
        <v>50</v>
      </c>
    </row>
    <row r="21" spans="1:15" x14ac:dyDescent="0.15">
      <c r="A21" s="5">
        <v>73532</v>
      </c>
      <c r="B21" s="2" t="s">
        <v>37</v>
      </c>
      <c r="C21" s="2" t="s">
        <v>159</v>
      </c>
      <c r="D21" s="2" t="s">
        <v>160</v>
      </c>
      <c r="E21" s="2" t="s">
        <v>32</v>
      </c>
      <c r="F21" s="2" t="s">
        <v>44</v>
      </c>
      <c r="G21" s="2" t="s">
        <v>32</v>
      </c>
      <c r="H21" s="2" t="s">
        <v>14</v>
      </c>
      <c r="I21" s="2" t="s">
        <v>161</v>
      </c>
      <c r="J21" s="2" t="s">
        <v>28</v>
      </c>
      <c r="K21" s="2" t="s">
        <v>17</v>
      </c>
      <c r="L21" s="2" t="s">
        <v>20</v>
      </c>
      <c r="M21" s="2" t="s">
        <v>162</v>
      </c>
      <c r="N21" s="3" t="s">
        <v>653</v>
      </c>
      <c r="O21" s="4">
        <v>50</v>
      </c>
    </row>
    <row r="22" spans="1:15" x14ac:dyDescent="0.15">
      <c r="A22" s="5">
        <v>73572</v>
      </c>
      <c r="B22" s="2" t="s">
        <v>20</v>
      </c>
      <c r="C22" s="2" t="s">
        <v>163</v>
      </c>
      <c r="D22" s="2" t="s">
        <v>164</v>
      </c>
      <c r="E22" s="2" t="s">
        <v>32</v>
      </c>
      <c r="F22" s="2" t="s">
        <v>69</v>
      </c>
      <c r="G22" s="2" t="s">
        <v>32</v>
      </c>
      <c r="H22" s="2" t="s">
        <v>14</v>
      </c>
      <c r="I22" s="2" t="s">
        <v>165</v>
      </c>
      <c r="J22" s="2" t="s">
        <v>28</v>
      </c>
      <c r="K22" s="2" t="s">
        <v>17</v>
      </c>
      <c r="L22" s="2" t="s">
        <v>20</v>
      </c>
      <c r="M22" s="2" t="s">
        <v>166</v>
      </c>
      <c r="N22" s="3" t="s">
        <v>653</v>
      </c>
      <c r="O22" s="4">
        <v>50</v>
      </c>
    </row>
    <row r="23" spans="1:15" x14ac:dyDescent="0.15">
      <c r="A23" s="5">
        <v>73648</v>
      </c>
      <c r="B23" s="2" t="s">
        <v>167</v>
      </c>
      <c r="C23" s="2" t="s">
        <v>168</v>
      </c>
      <c r="D23" s="2" t="s">
        <v>169</v>
      </c>
      <c r="E23" s="2" t="s">
        <v>62</v>
      </c>
      <c r="F23" s="2" t="s">
        <v>136</v>
      </c>
      <c r="G23" s="2" t="s">
        <v>62</v>
      </c>
      <c r="H23" s="2" t="s">
        <v>14</v>
      </c>
      <c r="I23" s="2" t="s">
        <v>170</v>
      </c>
      <c r="J23" s="2" t="s">
        <v>28</v>
      </c>
      <c r="K23" s="2" t="s">
        <v>17</v>
      </c>
      <c r="L23" s="2" t="s">
        <v>20</v>
      </c>
      <c r="M23" s="2" t="s">
        <v>171</v>
      </c>
      <c r="N23" s="3" t="s">
        <v>657</v>
      </c>
      <c r="O23" s="4">
        <v>25</v>
      </c>
    </row>
    <row r="24" spans="1:15" x14ac:dyDescent="0.15">
      <c r="A24" s="5">
        <v>73671</v>
      </c>
      <c r="B24" s="2" t="s">
        <v>172</v>
      </c>
      <c r="C24" s="2" t="s">
        <v>173</v>
      </c>
      <c r="D24" s="2" t="s">
        <v>174</v>
      </c>
      <c r="E24" s="2" t="s">
        <v>89</v>
      </c>
      <c r="F24" s="2" t="s">
        <v>45</v>
      </c>
      <c r="G24" s="2" t="s">
        <v>89</v>
      </c>
      <c r="H24" s="2" t="s">
        <v>14</v>
      </c>
      <c r="I24" s="2" t="s">
        <v>175</v>
      </c>
      <c r="J24" s="2" t="s">
        <v>28</v>
      </c>
      <c r="K24" s="2" t="s">
        <v>17</v>
      </c>
      <c r="L24" s="2" t="s">
        <v>20</v>
      </c>
      <c r="M24" s="2" t="s">
        <v>176</v>
      </c>
      <c r="N24" s="3" t="s">
        <v>652</v>
      </c>
      <c r="O24" s="4">
        <v>25</v>
      </c>
    </row>
    <row r="25" spans="1:15" x14ac:dyDescent="0.15">
      <c r="A25" s="5">
        <v>73692</v>
      </c>
      <c r="B25" s="2" t="s">
        <v>40</v>
      </c>
      <c r="C25" s="2" t="s">
        <v>177</v>
      </c>
      <c r="D25" s="2" t="s">
        <v>178</v>
      </c>
      <c r="E25" s="2" t="s">
        <v>89</v>
      </c>
      <c r="F25" s="2" t="s">
        <v>41</v>
      </c>
      <c r="G25" s="2" t="s">
        <v>89</v>
      </c>
      <c r="H25" s="2" t="s">
        <v>14</v>
      </c>
      <c r="I25" s="2" t="s">
        <v>179</v>
      </c>
      <c r="J25" s="2" t="s">
        <v>28</v>
      </c>
      <c r="K25" s="2" t="s">
        <v>17</v>
      </c>
      <c r="L25" s="2" t="s">
        <v>20</v>
      </c>
      <c r="M25" s="2" t="s">
        <v>180</v>
      </c>
      <c r="N25" s="3" t="s">
        <v>653</v>
      </c>
      <c r="O25" s="4">
        <v>50</v>
      </c>
    </row>
    <row r="26" spans="1:15" x14ac:dyDescent="0.15">
      <c r="A26" s="5">
        <v>73733</v>
      </c>
      <c r="B26" s="2" t="s">
        <v>181</v>
      </c>
      <c r="C26" s="2" t="s">
        <v>182</v>
      </c>
      <c r="D26" s="2" t="s">
        <v>183</v>
      </c>
      <c r="E26" s="2" t="s">
        <v>89</v>
      </c>
      <c r="F26" s="2" t="s">
        <v>45</v>
      </c>
      <c r="G26" s="2" t="s">
        <v>89</v>
      </c>
      <c r="H26" s="2" t="s">
        <v>14</v>
      </c>
      <c r="I26" s="2" t="s">
        <v>184</v>
      </c>
      <c r="J26" s="2" t="s">
        <v>28</v>
      </c>
      <c r="K26" s="2" t="s">
        <v>17</v>
      </c>
      <c r="L26" s="2" t="s">
        <v>20</v>
      </c>
      <c r="M26" s="2" t="s">
        <v>185</v>
      </c>
      <c r="N26" s="3">
        <v>0</v>
      </c>
      <c r="O26" s="4">
        <v>0</v>
      </c>
    </row>
    <row r="27" spans="1:15" x14ac:dyDescent="0.15">
      <c r="A27" s="5">
        <v>73747</v>
      </c>
      <c r="B27" s="2" t="s">
        <v>46</v>
      </c>
      <c r="C27" s="2" t="s">
        <v>186</v>
      </c>
      <c r="D27" s="2" t="s">
        <v>187</v>
      </c>
      <c r="E27" s="2" t="s">
        <v>32</v>
      </c>
      <c r="F27" s="2" t="s">
        <v>41</v>
      </c>
      <c r="G27" s="2" t="s">
        <v>32</v>
      </c>
      <c r="H27" s="2" t="s">
        <v>14</v>
      </c>
      <c r="I27" s="2" t="s">
        <v>188</v>
      </c>
      <c r="J27" s="2" t="s">
        <v>28</v>
      </c>
      <c r="K27" s="2" t="s">
        <v>17</v>
      </c>
      <c r="L27" s="2" t="s">
        <v>20</v>
      </c>
      <c r="M27" s="2" t="s">
        <v>189</v>
      </c>
      <c r="N27" s="3" t="s">
        <v>653</v>
      </c>
      <c r="O27" s="4">
        <v>50</v>
      </c>
    </row>
    <row r="28" spans="1:15" x14ac:dyDescent="0.15">
      <c r="A28" s="5">
        <v>73817</v>
      </c>
      <c r="B28" s="2" t="s">
        <v>190</v>
      </c>
      <c r="C28" s="2" t="s">
        <v>191</v>
      </c>
      <c r="D28" s="2" t="s">
        <v>192</v>
      </c>
      <c r="E28" s="2" t="s">
        <v>32</v>
      </c>
      <c r="F28" s="2" t="s">
        <v>21</v>
      </c>
      <c r="G28" s="2" t="s">
        <v>32</v>
      </c>
      <c r="H28" s="2" t="s">
        <v>14</v>
      </c>
      <c r="I28" s="2" t="s">
        <v>193</v>
      </c>
      <c r="J28" s="2" t="s">
        <v>28</v>
      </c>
      <c r="K28" s="2" t="s">
        <v>17</v>
      </c>
      <c r="L28" s="2" t="s">
        <v>20</v>
      </c>
      <c r="M28" s="2" t="s">
        <v>194</v>
      </c>
      <c r="N28" s="3" t="s">
        <v>653</v>
      </c>
      <c r="O28" s="4">
        <v>50</v>
      </c>
    </row>
    <row r="29" spans="1:15" x14ac:dyDescent="0.15">
      <c r="A29" s="5">
        <v>73839</v>
      </c>
      <c r="B29" s="2" t="s">
        <v>195</v>
      </c>
      <c r="C29" s="2" t="s">
        <v>196</v>
      </c>
      <c r="D29" s="2" t="s">
        <v>197</v>
      </c>
      <c r="E29" s="2" t="s">
        <v>62</v>
      </c>
      <c r="F29" s="2" t="s">
        <v>60</v>
      </c>
      <c r="G29" s="2" t="s">
        <v>62</v>
      </c>
      <c r="H29" s="2" t="s">
        <v>14</v>
      </c>
      <c r="I29" s="2" t="s">
        <v>198</v>
      </c>
      <c r="J29" s="2" t="s">
        <v>28</v>
      </c>
      <c r="K29" s="2" t="s">
        <v>17</v>
      </c>
      <c r="L29" s="2" t="s">
        <v>20</v>
      </c>
      <c r="M29" s="2" t="s">
        <v>199</v>
      </c>
      <c r="N29" s="3" t="s">
        <v>653</v>
      </c>
      <c r="O29" s="4">
        <v>50</v>
      </c>
    </row>
    <row r="30" spans="1:15" x14ac:dyDescent="0.15">
      <c r="A30" s="5">
        <v>73840</v>
      </c>
      <c r="B30" s="2" t="s">
        <v>200</v>
      </c>
      <c r="C30" s="2" t="s">
        <v>201</v>
      </c>
      <c r="D30" s="2" t="s">
        <v>202</v>
      </c>
      <c r="E30" s="2" t="s">
        <v>32</v>
      </c>
      <c r="F30" s="2" t="s">
        <v>31</v>
      </c>
      <c r="G30" s="2" t="s">
        <v>32</v>
      </c>
      <c r="H30" s="2" t="s">
        <v>14</v>
      </c>
      <c r="I30" s="2" t="s">
        <v>203</v>
      </c>
      <c r="J30" s="2" t="s">
        <v>28</v>
      </c>
      <c r="K30" s="2" t="s">
        <v>17</v>
      </c>
      <c r="L30" s="2" t="s">
        <v>20</v>
      </c>
      <c r="M30" s="2" t="s">
        <v>204</v>
      </c>
      <c r="N30" s="3" t="s">
        <v>652</v>
      </c>
      <c r="O30" s="4">
        <v>25</v>
      </c>
    </row>
    <row r="31" spans="1:15" x14ac:dyDescent="0.15">
      <c r="A31" s="5">
        <v>73869</v>
      </c>
      <c r="B31" s="2" t="s">
        <v>205</v>
      </c>
      <c r="C31" s="2" t="s">
        <v>206</v>
      </c>
      <c r="D31" s="2" t="s">
        <v>207</v>
      </c>
      <c r="E31" s="2" t="s">
        <v>62</v>
      </c>
      <c r="F31" s="2" t="s">
        <v>25</v>
      </c>
      <c r="G31" s="2" t="s">
        <v>62</v>
      </c>
      <c r="H31" s="2" t="s">
        <v>14</v>
      </c>
      <c r="I31" s="2" t="s">
        <v>208</v>
      </c>
      <c r="J31" s="2" t="s">
        <v>28</v>
      </c>
      <c r="K31" s="2" t="s">
        <v>17</v>
      </c>
      <c r="L31" s="2" t="s">
        <v>20</v>
      </c>
      <c r="M31" s="2" t="s">
        <v>209</v>
      </c>
      <c r="N31" s="3" t="s">
        <v>652</v>
      </c>
      <c r="O31" s="4">
        <v>25</v>
      </c>
    </row>
    <row r="32" spans="1:15" x14ac:dyDescent="0.15">
      <c r="A32" s="5">
        <v>73896</v>
      </c>
      <c r="B32" s="2" t="s">
        <v>210</v>
      </c>
      <c r="C32" s="2" t="s">
        <v>211</v>
      </c>
      <c r="D32" s="2" t="s">
        <v>212</v>
      </c>
      <c r="E32" s="2" t="s">
        <v>89</v>
      </c>
      <c r="F32" s="2" t="s">
        <v>50</v>
      </c>
      <c r="G32" s="2" t="s">
        <v>89</v>
      </c>
      <c r="H32" s="2" t="s">
        <v>14</v>
      </c>
      <c r="I32" s="2" t="s">
        <v>213</v>
      </c>
      <c r="J32" s="2" t="s">
        <v>28</v>
      </c>
      <c r="K32" s="2" t="s">
        <v>17</v>
      </c>
      <c r="L32" s="2" t="s">
        <v>20</v>
      </c>
      <c r="M32" s="2" t="s">
        <v>214</v>
      </c>
      <c r="N32" s="3">
        <v>0</v>
      </c>
      <c r="O32" s="4">
        <v>0</v>
      </c>
    </row>
    <row r="33" spans="1:15" x14ac:dyDescent="0.15">
      <c r="A33" s="5">
        <v>73909</v>
      </c>
      <c r="B33" s="2" t="s">
        <v>215</v>
      </c>
      <c r="C33" s="2" t="s">
        <v>216</v>
      </c>
      <c r="D33" s="2" t="s">
        <v>217</v>
      </c>
      <c r="E33" s="2" t="s">
        <v>89</v>
      </c>
      <c r="F33" s="2" t="s">
        <v>24</v>
      </c>
      <c r="G33" s="2" t="s">
        <v>89</v>
      </c>
      <c r="H33" s="2" t="s">
        <v>14</v>
      </c>
      <c r="I33" s="2" t="s">
        <v>218</v>
      </c>
      <c r="J33" s="2" t="s">
        <v>28</v>
      </c>
      <c r="K33" s="2" t="s">
        <v>17</v>
      </c>
      <c r="L33" s="2" t="s">
        <v>20</v>
      </c>
      <c r="M33" s="2" t="s">
        <v>219</v>
      </c>
      <c r="N33" s="3" t="s">
        <v>653</v>
      </c>
      <c r="O33" s="4">
        <v>50</v>
      </c>
    </row>
    <row r="34" spans="1:15" x14ac:dyDescent="0.15">
      <c r="A34" s="5">
        <v>73934</v>
      </c>
      <c r="B34" s="2" t="s">
        <v>220</v>
      </c>
      <c r="C34" s="2" t="s">
        <v>221</v>
      </c>
      <c r="D34" s="2" t="s">
        <v>222</v>
      </c>
      <c r="E34" s="2" t="s">
        <v>62</v>
      </c>
      <c r="F34" s="2" t="s">
        <v>136</v>
      </c>
      <c r="G34" s="2" t="s">
        <v>62</v>
      </c>
      <c r="H34" s="2" t="s">
        <v>14</v>
      </c>
      <c r="I34" s="2" t="s">
        <v>223</v>
      </c>
      <c r="J34" s="2" t="s">
        <v>28</v>
      </c>
      <c r="K34" s="2" t="s">
        <v>17</v>
      </c>
      <c r="L34" s="2" t="s">
        <v>20</v>
      </c>
      <c r="M34" s="2" t="s">
        <v>224</v>
      </c>
      <c r="N34" s="3" t="s">
        <v>652</v>
      </c>
      <c r="O34" s="4">
        <v>25</v>
      </c>
    </row>
    <row r="35" spans="1:15" x14ac:dyDescent="0.15">
      <c r="A35" s="5">
        <v>73986</v>
      </c>
      <c r="B35" s="2" t="s">
        <v>225</v>
      </c>
      <c r="C35" s="2" t="s">
        <v>226</v>
      </c>
      <c r="D35" s="2" t="s">
        <v>227</v>
      </c>
      <c r="E35" s="2" t="s">
        <v>32</v>
      </c>
      <c r="F35" s="2" t="s">
        <v>45</v>
      </c>
      <c r="G35" s="2" t="s">
        <v>32</v>
      </c>
      <c r="H35" s="2" t="s">
        <v>14</v>
      </c>
      <c r="I35" s="2" t="s">
        <v>228</v>
      </c>
      <c r="J35" s="2" t="s">
        <v>28</v>
      </c>
      <c r="K35" s="2" t="s">
        <v>17</v>
      </c>
      <c r="L35" s="2" t="s">
        <v>20</v>
      </c>
      <c r="M35" s="2" t="s">
        <v>229</v>
      </c>
      <c r="N35" s="3" t="s">
        <v>653</v>
      </c>
      <c r="O35" s="4">
        <v>50</v>
      </c>
    </row>
    <row r="36" spans="1:15" x14ac:dyDescent="0.15">
      <c r="A36" s="5">
        <v>73988</v>
      </c>
      <c r="B36" s="2" t="s">
        <v>230</v>
      </c>
      <c r="C36" s="2" t="s">
        <v>231</v>
      </c>
      <c r="D36" s="2" t="s">
        <v>232</v>
      </c>
      <c r="E36" s="2" t="s">
        <v>62</v>
      </c>
      <c r="F36" s="2" t="s">
        <v>55</v>
      </c>
      <c r="G36" s="2" t="s">
        <v>62</v>
      </c>
      <c r="H36" s="2" t="s">
        <v>14</v>
      </c>
      <c r="I36" s="2" t="s">
        <v>233</v>
      </c>
      <c r="J36" s="2" t="s">
        <v>28</v>
      </c>
      <c r="K36" s="2" t="s">
        <v>17</v>
      </c>
      <c r="L36" s="2" t="s">
        <v>20</v>
      </c>
      <c r="M36" s="2" t="s">
        <v>234</v>
      </c>
      <c r="N36" s="3">
        <v>0</v>
      </c>
      <c r="O36" s="4">
        <v>0</v>
      </c>
    </row>
    <row r="37" spans="1:15" x14ac:dyDescent="0.15">
      <c r="A37" s="5">
        <v>73995</v>
      </c>
      <c r="B37" s="2" t="s">
        <v>30</v>
      </c>
      <c r="C37" s="2" t="s">
        <v>235</v>
      </c>
      <c r="D37" s="2" t="s">
        <v>236</v>
      </c>
      <c r="E37" s="2" t="s">
        <v>89</v>
      </c>
      <c r="F37" s="2" t="s">
        <v>49</v>
      </c>
      <c r="G37" s="2" t="s">
        <v>89</v>
      </c>
      <c r="H37" s="2" t="s">
        <v>14</v>
      </c>
      <c r="I37" s="2" t="s">
        <v>237</v>
      </c>
      <c r="J37" s="2" t="s">
        <v>28</v>
      </c>
      <c r="K37" s="2" t="s">
        <v>17</v>
      </c>
      <c r="L37" s="2" t="s">
        <v>20</v>
      </c>
      <c r="M37" s="2" t="s">
        <v>238</v>
      </c>
      <c r="N37" s="3">
        <v>0</v>
      </c>
      <c r="O37" s="4">
        <v>0</v>
      </c>
    </row>
    <row r="38" spans="1:15" x14ac:dyDescent="0.15">
      <c r="A38" s="5">
        <v>74001</v>
      </c>
      <c r="B38" s="2" t="s">
        <v>239</v>
      </c>
      <c r="C38" s="2" t="s">
        <v>240</v>
      </c>
      <c r="D38" s="2" t="s">
        <v>241</v>
      </c>
      <c r="E38" s="2" t="s">
        <v>32</v>
      </c>
      <c r="F38" s="2" t="s">
        <v>23</v>
      </c>
      <c r="G38" s="2" t="s">
        <v>32</v>
      </c>
      <c r="H38" s="2" t="s">
        <v>14</v>
      </c>
      <c r="I38" s="2" t="s">
        <v>242</v>
      </c>
      <c r="J38" s="2" t="s">
        <v>28</v>
      </c>
      <c r="K38" s="2" t="s">
        <v>17</v>
      </c>
      <c r="L38" s="2" t="s">
        <v>20</v>
      </c>
      <c r="M38" s="2" t="s">
        <v>243</v>
      </c>
      <c r="N38" s="3" t="s">
        <v>652</v>
      </c>
      <c r="O38" s="4">
        <v>25</v>
      </c>
    </row>
    <row r="39" spans="1:15" x14ac:dyDescent="0.15">
      <c r="A39" s="5">
        <v>74061</v>
      </c>
      <c r="B39" s="2" t="s">
        <v>244</v>
      </c>
      <c r="C39" s="2" t="s">
        <v>244</v>
      </c>
      <c r="D39" s="2" t="s">
        <v>245</v>
      </c>
      <c r="E39" s="2" t="s">
        <v>89</v>
      </c>
      <c r="F39" s="2" t="s">
        <v>21</v>
      </c>
      <c r="G39" s="2" t="s">
        <v>89</v>
      </c>
      <c r="H39" s="2" t="s">
        <v>14</v>
      </c>
      <c r="I39" s="2" t="s">
        <v>246</v>
      </c>
      <c r="J39" s="2" t="s">
        <v>28</v>
      </c>
      <c r="K39" s="2" t="s">
        <v>17</v>
      </c>
      <c r="L39" s="2" t="s">
        <v>20</v>
      </c>
      <c r="M39" s="2" t="s">
        <v>247</v>
      </c>
      <c r="N39" s="3" t="s">
        <v>652</v>
      </c>
      <c r="O39" s="4">
        <v>25</v>
      </c>
    </row>
    <row r="40" spans="1:15" x14ac:dyDescent="0.15">
      <c r="A40" s="5">
        <v>74089</v>
      </c>
      <c r="B40" s="2" t="s">
        <v>248</v>
      </c>
      <c r="C40" s="2" t="s">
        <v>249</v>
      </c>
      <c r="D40" s="2" t="s">
        <v>250</v>
      </c>
      <c r="E40" s="2" t="s">
        <v>89</v>
      </c>
      <c r="F40" s="2" t="s">
        <v>78</v>
      </c>
      <c r="G40" s="2" t="s">
        <v>89</v>
      </c>
      <c r="H40" s="2" t="s">
        <v>14</v>
      </c>
      <c r="I40" s="2" t="s">
        <v>251</v>
      </c>
      <c r="J40" s="2" t="s">
        <v>28</v>
      </c>
      <c r="K40" s="2" t="s">
        <v>17</v>
      </c>
      <c r="L40" s="2" t="s">
        <v>20</v>
      </c>
      <c r="M40" s="2" t="s">
        <v>252</v>
      </c>
      <c r="N40" s="3" t="s">
        <v>653</v>
      </c>
      <c r="O40" s="4">
        <v>50</v>
      </c>
    </row>
    <row r="41" spans="1:15" x14ac:dyDescent="0.15">
      <c r="A41" s="5">
        <v>74107</v>
      </c>
      <c r="B41" s="2" t="s">
        <v>253</v>
      </c>
      <c r="C41" s="2" t="s">
        <v>101</v>
      </c>
      <c r="D41" s="2" t="s">
        <v>254</v>
      </c>
      <c r="E41" s="2" t="s">
        <v>62</v>
      </c>
      <c r="F41" s="2" t="s">
        <v>25</v>
      </c>
      <c r="G41" s="2" t="s">
        <v>62</v>
      </c>
      <c r="H41" s="2" t="s">
        <v>14</v>
      </c>
      <c r="I41" s="2" t="s">
        <v>255</v>
      </c>
      <c r="J41" s="2" t="s">
        <v>28</v>
      </c>
      <c r="K41" s="2" t="s">
        <v>17</v>
      </c>
      <c r="L41" s="2" t="s">
        <v>20</v>
      </c>
      <c r="M41" s="2" t="s">
        <v>256</v>
      </c>
      <c r="N41" s="3" t="s">
        <v>653</v>
      </c>
      <c r="O41" s="4">
        <v>50</v>
      </c>
    </row>
    <row r="42" spans="1:15" x14ac:dyDescent="0.15">
      <c r="A42" s="5">
        <v>74115</v>
      </c>
      <c r="B42" s="2" t="s">
        <v>72</v>
      </c>
      <c r="C42" s="2" t="s">
        <v>257</v>
      </c>
      <c r="D42" s="2" t="s">
        <v>258</v>
      </c>
      <c r="E42" s="2" t="s">
        <v>89</v>
      </c>
      <c r="F42" s="2" t="s">
        <v>49</v>
      </c>
      <c r="G42" s="2" t="s">
        <v>89</v>
      </c>
      <c r="H42" s="2" t="s">
        <v>14</v>
      </c>
      <c r="I42" s="2" t="s">
        <v>259</v>
      </c>
      <c r="J42" s="2" t="s">
        <v>28</v>
      </c>
      <c r="K42" s="2" t="s">
        <v>17</v>
      </c>
      <c r="L42" s="2" t="s">
        <v>20</v>
      </c>
      <c r="M42" s="2" t="s">
        <v>260</v>
      </c>
      <c r="N42" s="3" t="s">
        <v>653</v>
      </c>
      <c r="O42" s="4">
        <v>50</v>
      </c>
    </row>
    <row r="43" spans="1:15" x14ac:dyDescent="0.15">
      <c r="A43" s="5">
        <v>74173</v>
      </c>
      <c r="B43" s="2" t="s">
        <v>37</v>
      </c>
      <c r="C43" s="2" t="s">
        <v>261</v>
      </c>
      <c r="D43" s="2" t="s">
        <v>262</v>
      </c>
      <c r="E43" s="2" t="s">
        <v>32</v>
      </c>
      <c r="F43" s="2" t="s">
        <v>44</v>
      </c>
      <c r="G43" s="2" t="s">
        <v>32</v>
      </c>
      <c r="H43" s="2" t="s">
        <v>14</v>
      </c>
      <c r="I43" s="2" t="s">
        <v>263</v>
      </c>
      <c r="J43" s="2" t="s">
        <v>28</v>
      </c>
      <c r="K43" s="2" t="s">
        <v>17</v>
      </c>
      <c r="L43" s="2" t="s">
        <v>20</v>
      </c>
      <c r="M43" s="2" t="s">
        <v>264</v>
      </c>
      <c r="N43" s="3" t="s">
        <v>652</v>
      </c>
      <c r="O43" s="4">
        <v>25</v>
      </c>
    </row>
    <row r="44" spans="1:15" x14ac:dyDescent="0.15">
      <c r="A44" s="5">
        <v>74188</v>
      </c>
      <c r="B44" s="2" t="s">
        <v>265</v>
      </c>
      <c r="C44" s="2" t="s">
        <v>266</v>
      </c>
      <c r="D44" s="2" t="s">
        <v>267</v>
      </c>
      <c r="E44" s="2" t="s">
        <v>62</v>
      </c>
      <c r="F44" s="2" t="s">
        <v>45</v>
      </c>
      <c r="G44" s="2" t="s">
        <v>62</v>
      </c>
      <c r="H44" s="2" t="s">
        <v>14</v>
      </c>
      <c r="I44" s="2" t="s">
        <v>268</v>
      </c>
      <c r="J44" s="2" t="s">
        <v>28</v>
      </c>
      <c r="K44" s="2" t="s">
        <v>17</v>
      </c>
      <c r="L44" s="2" t="s">
        <v>18</v>
      </c>
      <c r="M44" s="2" t="s">
        <v>269</v>
      </c>
      <c r="N44" s="3">
        <v>0</v>
      </c>
      <c r="O44" s="4">
        <v>0</v>
      </c>
    </row>
    <row r="45" spans="1:15" x14ac:dyDescent="0.15">
      <c r="A45" s="5">
        <v>74191</v>
      </c>
      <c r="B45" s="2" t="s">
        <v>270</v>
      </c>
      <c r="C45" s="2" t="s">
        <v>271</v>
      </c>
      <c r="D45" s="2" t="s">
        <v>272</v>
      </c>
      <c r="E45" s="2" t="s">
        <v>62</v>
      </c>
      <c r="F45" s="2" t="s">
        <v>60</v>
      </c>
      <c r="G45" s="2" t="s">
        <v>62</v>
      </c>
      <c r="H45" s="2" t="s">
        <v>14</v>
      </c>
      <c r="I45" s="2" t="s">
        <v>273</v>
      </c>
      <c r="J45" s="2" t="s">
        <v>28</v>
      </c>
      <c r="K45" s="2" t="s">
        <v>17</v>
      </c>
      <c r="L45" s="2" t="s">
        <v>20</v>
      </c>
      <c r="M45" s="2" t="s">
        <v>274</v>
      </c>
      <c r="N45" s="3" t="s">
        <v>655</v>
      </c>
      <c r="O45" s="4">
        <v>50</v>
      </c>
    </row>
    <row r="46" spans="1:15" x14ac:dyDescent="0.15">
      <c r="A46" s="5">
        <v>74214</v>
      </c>
      <c r="B46" s="2" t="s">
        <v>20</v>
      </c>
      <c r="C46" s="2" t="s">
        <v>275</v>
      </c>
      <c r="D46" s="2" t="s">
        <v>276</v>
      </c>
      <c r="E46" s="2" t="s">
        <v>62</v>
      </c>
      <c r="F46" s="2" t="s">
        <v>31</v>
      </c>
      <c r="G46" s="2" t="s">
        <v>62</v>
      </c>
      <c r="H46" s="2" t="s">
        <v>14</v>
      </c>
      <c r="I46" s="2" t="s">
        <v>277</v>
      </c>
      <c r="J46" s="2" t="s">
        <v>28</v>
      </c>
      <c r="K46" s="2" t="s">
        <v>17</v>
      </c>
      <c r="L46" s="2" t="s">
        <v>20</v>
      </c>
      <c r="M46" s="2" t="s">
        <v>278</v>
      </c>
      <c r="N46" s="3" t="s">
        <v>652</v>
      </c>
      <c r="O46" s="4">
        <v>25</v>
      </c>
    </row>
    <row r="47" spans="1:15" x14ac:dyDescent="0.15">
      <c r="A47" s="5">
        <v>74259</v>
      </c>
      <c r="B47" s="2" t="s">
        <v>73</v>
      </c>
      <c r="C47" s="2" t="s">
        <v>279</v>
      </c>
      <c r="D47" s="2" t="s">
        <v>280</v>
      </c>
      <c r="E47" s="2" t="s">
        <v>32</v>
      </c>
      <c r="F47" s="2" t="s">
        <v>69</v>
      </c>
      <c r="G47" s="2" t="s">
        <v>32</v>
      </c>
      <c r="H47" s="2" t="s">
        <v>14</v>
      </c>
      <c r="I47" s="2" t="s">
        <v>281</v>
      </c>
      <c r="J47" s="2" t="s">
        <v>28</v>
      </c>
      <c r="K47" s="2" t="s">
        <v>17</v>
      </c>
      <c r="L47" s="2" t="s">
        <v>20</v>
      </c>
      <c r="M47" s="2" t="s">
        <v>282</v>
      </c>
      <c r="N47" s="3" t="s">
        <v>652</v>
      </c>
      <c r="O47" s="4">
        <v>25</v>
      </c>
    </row>
    <row r="48" spans="1:15" x14ac:dyDescent="0.15">
      <c r="A48" s="5">
        <v>74267</v>
      </c>
      <c r="B48" s="2" t="s">
        <v>283</v>
      </c>
      <c r="C48" s="2" t="s">
        <v>284</v>
      </c>
      <c r="D48" s="2" t="s">
        <v>285</v>
      </c>
      <c r="E48" s="2" t="s">
        <v>89</v>
      </c>
      <c r="F48" s="2" t="s">
        <v>286</v>
      </c>
      <c r="G48" s="2" t="s">
        <v>89</v>
      </c>
      <c r="H48" s="2" t="s">
        <v>14</v>
      </c>
      <c r="I48" s="2" t="s">
        <v>287</v>
      </c>
      <c r="J48" s="2" t="s">
        <v>28</v>
      </c>
      <c r="K48" s="2" t="s">
        <v>17</v>
      </c>
      <c r="L48" s="2" t="s">
        <v>20</v>
      </c>
      <c r="M48" s="2" t="s">
        <v>288</v>
      </c>
      <c r="N48" s="3" t="s">
        <v>652</v>
      </c>
      <c r="O48" s="4">
        <v>25</v>
      </c>
    </row>
    <row r="49" spans="1:15" x14ac:dyDescent="0.15">
      <c r="A49" s="5">
        <v>74274</v>
      </c>
      <c r="B49" s="2" t="s">
        <v>48</v>
      </c>
      <c r="C49" s="2" t="s">
        <v>289</v>
      </c>
      <c r="D49" s="2" t="s">
        <v>290</v>
      </c>
      <c r="E49" s="2" t="s">
        <v>62</v>
      </c>
      <c r="F49" s="2" t="s">
        <v>55</v>
      </c>
      <c r="G49" s="2" t="s">
        <v>62</v>
      </c>
      <c r="H49" s="2" t="s">
        <v>14</v>
      </c>
      <c r="I49" s="2" t="s">
        <v>291</v>
      </c>
      <c r="J49" s="2" t="s">
        <v>28</v>
      </c>
      <c r="K49" s="2" t="s">
        <v>17</v>
      </c>
      <c r="L49" s="2" t="s">
        <v>20</v>
      </c>
      <c r="M49" s="2" t="s">
        <v>292</v>
      </c>
      <c r="N49" s="3" t="s">
        <v>652</v>
      </c>
      <c r="O49" s="4">
        <v>25</v>
      </c>
    </row>
    <row r="50" spans="1:15" x14ac:dyDescent="0.15">
      <c r="A50" s="5">
        <v>74301</v>
      </c>
      <c r="B50" s="2" t="s">
        <v>293</v>
      </c>
      <c r="C50" s="2" t="s">
        <v>294</v>
      </c>
      <c r="D50" s="2" t="s">
        <v>295</v>
      </c>
      <c r="E50" s="2" t="s">
        <v>89</v>
      </c>
      <c r="F50" s="2" t="s">
        <v>35</v>
      </c>
      <c r="G50" s="2" t="s">
        <v>89</v>
      </c>
      <c r="H50" s="2" t="s">
        <v>14</v>
      </c>
      <c r="I50" s="2" t="s">
        <v>296</v>
      </c>
      <c r="J50" s="2" t="s">
        <v>28</v>
      </c>
      <c r="K50" s="2" t="s">
        <v>17</v>
      </c>
      <c r="L50" s="2" t="s">
        <v>20</v>
      </c>
      <c r="M50" s="2" t="s">
        <v>297</v>
      </c>
      <c r="N50" s="3" t="s">
        <v>652</v>
      </c>
      <c r="O50" s="4">
        <v>25</v>
      </c>
    </row>
    <row r="51" spans="1:15" x14ac:dyDescent="0.15">
      <c r="A51" s="5">
        <v>74465</v>
      </c>
      <c r="B51" s="2" t="s">
        <v>298</v>
      </c>
      <c r="C51" s="2" t="s">
        <v>299</v>
      </c>
      <c r="D51" s="2" t="s">
        <v>300</v>
      </c>
      <c r="E51" s="2" t="s">
        <v>89</v>
      </c>
      <c r="F51" s="2" t="s">
        <v>35</v>
      </c>
      <c r="G51" s="2" t="s">
        <v>89</v>
      </c>
      <c r="H51" s="2" t="s">
        <v>14</v>
      </c>
      <c r="I51" s="2" t="s">
        <v>301</v>
      </c>
      <c r="J51" s="2" t="s">
        <v>28</v>
      </c>
      <c r="K51" s="2" t="s">
        <v>17</v>
      </c>
      <c r="L51" s="2" t="s">
        <v>20</v>
      </c>
      <c r="M51" s="2" t="s">
        <v>302</v>
      </c>
      <c r="N51" s="3" t="s">
        <v>654</v>
      </c>
      <c r="O51" s="4">
        <v>25</v>
      </c>
    </row>
    <row r="52" spans="1:15" x14ac:dyDescent="0.15">
      <c r="A52" s="5">
        <v>74479</v>
      </c>
      <c r="B52" s="2" t="s">
        <v>303</v>
      </c>
      <c r="C52" s="2" t="s">
        <v>304</v>
      </c>
      <c r="D52" s="2" t="s">
        <v>305</v>
      </c>
      <c r="E52" s="2" t="s">
        <v>89</v>
      </c>
      <c r="F52" s="2" t="s">
        <v>15</v>
      </c>
      <c r="G52" s="2" t="s">
        <v>89</v>
      </c>
      <c r="H52" s="2" t="s">
        <v>14</v>
      </c>
      <c r="I52" s="2" t="s">
        <v>306</v>
      </c>
      <c r="J52" s="2" t="s">
        <v>28</v>
      </c>
      <c r="K52" s="2" t="s">
        <v>17</v>
      </c>
      <c r="L52" s="2" t="s">
        <v>20</v>
      </c>
      <c r="M52" s="2" t="s">
        <v>307</v>
      </c>
      <c r="N52" s="3" t="s">
        <v>652</v>
      </c>
      <c r="O52" s="4">
        <v>25</v>
      </c>
    </row>
    <row r="53" spans="1:15" x14ac:dyDescent="0.15">
      <c r="A53" s="5">
        <v>74509</v>
      </c>
      <c r="B53" s="2" t="s">
        <v>308</v>
      </c>
      <c r="C53" s="2" t="s">
        <v>309</v>
      </c>
      <c r="D53" s="2" t="s">
        <v>310</v>
      </c>
      <c r="E53" s="2" t="s">
        <v>89</v>
      </c>
      <c r="F53" s="2" t="s">
        <v>15</v>
      </c>
      <c r="G53" s="2" t="s">
        <v>89</v>
      </c>
      <c r="H53" s="2" t="s">
        <v>14</v>
      </c>
      <c r="I53" s="2" t="s">
        <v>311</v>
      </c>
      <c r="J53" s="2" t="s">
        <v>28</v>
      </c>
      <c r="K53" s="2" t="s">
        <v>17</v>
      </c>
      <c r="L53" s="2" t="s">
        <v>20</v>
      </c>
      <c r="M53" s="2" t="s">
        <v>312</v>
      </c>
      <c r="N53" s="3">
        <v>0</v>
      </c>
      <c r="O53" s="4">
        <v>0</v>
      </c>
    </row>
    <row r="54" spans="1:15" x14ac:dyDescent="0.15">
      <c r="A54" s="5">
        <v>74552</v>
      </c>
      <c r="B54" s="2" t="s">
        <v>30</v>
      </c>
      <c r="C54" s="2" t="s">
        <v>313</v>
      </c>
      <c r="D54" s="2" t="s">
        <v>314</v>
      </c>
      <c r="E54" s="2" t="s">
        <v>62</v>
      </c>
      <c r="F54" s="2" t="s">
        <v>21</v>
      </c>
      <c r="G54" s="2" t="s">
        <v>62</v>
      </c>
      <c r="H54" s="2" t="s">
        <v>14</v>
      </c>
      <c r="I54" s="2" t="s">
        <v>315</v>
      </c>
      <c r="J54" s="2" t="s">
        <v>28</v>
      </c>
      <c r="K54" s="2" t="s">
        <v>17</v>
      </c>
      <c r="L54" s="2" t="s">
        <v>20</v>
      </c>
      <c r="M54" s="2" t="s">
        <v>316</v>
      </c>
      <c r="N54" s="3" t="s">
        <v>652</v>
      </c>
      <c r="O54" s="4">
        <v>25</v>
      </c>
    </row>
    <row r="55" spans="1:15" x14ac:dyDescent="0.15">
      <c r="A55" s="5">
        <v>74587</v>
      </c>
      <c r="B55" s="2" t="s">
        <v>317</v>
      </c>
      <c r="C55" s="2" t="s">
        <v>318</v>
      </c>
      <c r="D55" s="2" t="s">
        <v>319</v>
      </c>
      <c r="E55" s="2" t="s">
        <v>62</v>
      </c>
      <c r="F55" s="2" t="s">
        <v>65</v>
      </c>
      <c r="G55" s="2" t="s">
        <v>62</v>
      </c>
      <c r="H55" s="2" t="s">
        <v>14</v>
      </c>
      <c r="I55" s="2" t="s">
        <v>320</v>
      </c>
      <c r="J55" s="2" t="s">
        <v>28</v>
      </c>
      <c r="K55" s="2" t="s">
        <v>17</v>
      </c>
      <c r="L55" s="2" t="s">
        <v>20</v>
      </c>
      <c r="M55" s="2" t="s">
        <v>321</v>
      </c>
      <c r="N55" s="3" t="s">
        <v>652</v>
      </c>
      <c r="O55" s="4">
        <v>25</v>
      </c>
    </row>
    <row r="56" spans="1:15" x14ac:dyDescent="0.15">
      <c r="A56" s="5">
        <v>74621</v>
      </c>
      <c r="B56" s="2" t="s">
        <v>322</v>
      </c>
      <c r="C56" s="2" t="s">
        <v>323</v>
      </c>
      <c r="D56" s="2" t="s">
        <v>324</v>
      </c>
      <c r="E56" s="2" t="s">
        <v>89</v>
      </c>
      <c r="F56" s="2" t="s">
        <v>31</v>
      </c>
      <c r="G56" s="2" t="s">
        <v>89</v>
      </c>
      <c r="H56" s="2" t="s">
        <v>14</v>
      </c>
      <c r="I56" s="2" t="s">
        <v>325</v>
      </c>
      <c r="J56" s="2" t="s">
        <v>28</v>
      </c>
      <c r="K56" s="2" t="s">
        <v>17</v>
      </c>
      <c r="L56" s="2" t="s">
        <v>20</v>
      </c>
      <c r="M56" s="2" t="s">
        <v>326</v>
      </c>
      <c r="N56" s="3" t="s">
        <v>652</v>
      </c>
      <c r="O56" s="4">
        <v>25</v>
      </c>
    </row>
    <row r="57" spans="1:15" x14ac:dyDescent="0.15">
      <c r="A57" s="5">
        <v>74623</v>
      </c>
      <c r="B57" s="2" t="s">
        <v>327</v>
      </c>
      <c r="C57" s="2" t="s">
        <v>328</v>
      </c>
      <c r="D57" s="2" t="s">
        <v>329</v>
      </c>
      <c r="E57" s="2" t="s">
        <v>89</v>
      </c>
      <c r="F57" s="2" t="s">
        <v>31</v>
      </c>
      <c r="G57" s="2" t="s">
        <v>89</v>
      </c>
      <c r="H57" s="2" t="s">
        <v>14</v>
      </c>
      <c r="I57" s="2" t="s">
        <v>330</v>
      </c>
      <c r="J57" s="2" t="s">
        <v>28</v>
      </c>
      <c r="K57" s="2" t="s">
        <v>17</v>
      </c>
      <c r="L57" s="2" t="s">
        <v>20</v>
      </c>
      <c r="M57" s="2" t="s">
        <v>331</v>
      </c>
      <c r="N57" s="3" t="s">
        <v>653</v>
      </c>
      <c r="O57" s="4">
        <v>50</v>
      </c>
    </row>
    <row r="58" spans="1:15" x14ac:dyDescent="0.15">
      <c r="A58" s="5">
        <v>74645</v>
      </c>
      <c r="B58" s="2" t="s">
        <v>332</v>
      </c>
      <c r="C58" s="2" t="s">
        <v>333</v>
      </c>
      <c r="D58" s="2" t="s">
        <v>334</v>
      </c>
      <c r="E58" s="2" t="s">
        <v>89</v>
      </c>
      <c r="F58" s="2" t="s">
        <v>63</v>
      </c>
      <c r="G58" s="2" t="s">
        <v>89</v>
      </c>
      <c r="H58" s="2" t="s">
        <v>14</v>
      </c>
      <c r="I58" s="2" t="s">
        <v>335</v>
      </c>
      <c r="J58" s="2" t="s">
        <v>28</v>
      </c>
      <c r="K58" s="2" t="s">
        <v>17</v>
      </c>
      <c r="L58" s="2" t="s">
        <v>20</v>
      </c>
      <c r="M58" s="2" t="s">
        <v>336</v>
      </c>
      <c r="N58" s="3" t="s">
        <v>652</v>
      </c>
      <c r="O58" s="4">
        <v>25</v>
      </c>
    </row>
    <row r="59" spans="1:15" x14ac:dyDescent="0.15">
      <c r="A59" s="5">
        <v>80026</v>
      </c>
      <c r="B59" s="2" t="s">
        <v>337</v>
      </c>
      <c r="C59" s="2" t="s">
        <v>338</v>
      </c>
      <c r="D59" s="2" t="s">
        <v>339</v>
      </c>
      <c r="E59" s="2" t="s">
        <v>89</v>
      </c>
      <c r="F59" s="2" t="s">
        <v>19</v>
      </c>
      <c r="G59" s="2" t="s">
        <v>89</v>
      </c>
      <c r="H59" s="2" t="s">
        <v>14</v>
      </c>
      <c r="I59" s="2" t="s">
        <v>340</v>
      </c>
      <c r="J59" s="2" t="s">
        <v>28</v>
      </c>
      <c r="K59" s="2" t="s">
        <v>17</v>
      </c>
      <c r="L59" s="2" t="s">
        <v>20</v>
      </c>
      <c r="M59" s="2" t="s">
        <v>341</v>
      </c>
      <c r="N59" s="3">
        <v>0</v>
      </c>
      <c r="O59" s="4">
        <v>0</v>
      </c>
    </row>
    <row r="60" spans="1:15" x14ac:dyDescent="0.15">
      <c r="A60" s="5">
        <v>80089</v>
      </c>
      <c r="B60" s="2" t="s">
        <v>342</v>
      </c>
      <c r="C60" s="2" t="s">
        <v>343</v>
      </c>
      <c r="D60" s="2" t="s">
        <v>344</v>
      </c>
      <c r="E60" s="2" t="s">
        <v>62</v>
      </c>
      <c r="F60" s="2" t="s">
        <v>71</v>
      </c>
      <c r="G60" s="2" t="s">
        <v>62</v>
      </c>
      <c r="H60" s="2" t="s">
        <v>14</v>
      </c>
      <c r="I60" s="2" t="s">
        <v>345</v>
      </c>
      <c r="J60" s="2" t="s">
        <v>28</v>
      </c>
      <c r="K60" s="2" t="s">
        <v>17</v>
      </c>
      <c r="L60" s="2" t="s">
        <v>20</v>
      </c>
      <c r="M60" s="2" t="s">
        <v>346</v>
      </c>
      <c r="N60" s="3" t="s">
        <v>652</v>
      </c>
      <c r="O60" s="4">
        <v>25</v>
      </c>
    </row>
    <row r="61" spans="1:15" x14ac:dyDescent="0.15">
      <c r="A61" s="5">
        <v>80113</v>
      </c>
      <c r="B61" s="2" t="s">
        <v>20</v>
      </c>
      <c r="C61" s="2" t="s">
        <v>347</v>
      </c>
      <c r="D61" s="2" t="s">
        <v>348</v>
      </c>
      <c r="E61" s="2" t="s">
        <v>62</v>
      </c>
      <c r="F61" s="2" t="s">
        <v>78</v>
      </c>
      <c r="G61" s="2" t="s">
        <v>62</v>
      </c>
      <c r="H61" s="2" t="s">
        <v>14</v>
      </c>
      <c r="I61" s="8" t="s">
        <v>349</v>
      </c>
      <c r="J61" s="2" t="s">
        <v>28</v>
      </c>
      <c r="K61" s="2" t="s">
        <v>17</v>
      </c>
      <c r="L61" s="2" t="s">
        <v>20</v>
      </c>
      <c r="M61" s="2" t="s">
        <v>350</v>
      </c>
      <c r="N61" s="3" t="s">
        <v>652</v>
      </c>
      <c r="O61" s="4">
        <v>0</v>
      </c>
    </row>
    <row r="62" spans="1:15" x14ac:dyDescent="0.15">
      <c r="A62" s="5">
        <v>80187</v>
      </c>
      <c r="B62" s="2" t="s">
        <v>351</v>
      </c>
      <c r="C62" s="2" t="s">
        <v>352</v>
      </c>
      <c r="D62" s="2" t="s">
        <v>353</v>
      </c>
      <c r="E62" s="2" t="s">
        <v>62</v>
      </c>
      <c r="F62" s="2" t="s">
        <v>354</v>
      </c>
      <c r="G62" s="2" t="s">
        <v>62</v>
      </c>
      <c r="H62" s="2" t="s">
        <v>14</v>
      </c>
      <c r="I62" s="2" t="s">
        <v>355</v>
      </c>
      <c r="J62" s="2" t="s">
        <v>28</v>
      </c>
      <c r="K62" s="2" t="s">
        <v>17</v>
      </c>
      <c r="L62" s="2" t="s">
        <v>20</v>
      </c>
      <c r="M62" s="2" t="s">
        <v>356</v>
      </c>
      <c r="N62" s="3">
        <v>0</v>
      </c>
      <c r="O62" s="4">
        <v>0</v>
      </c>
    </row>
    <row r="63" spans="1:15" x14ac:dyDescent="0.15">
      <c r="A63" s="5">
        <v>80213</v>
      </c>
      <c r="B63" s="2" t="s">
        <v>20</v>
      </c>
      <c r="C63" s="2" t="s">
        <v>357</v>
      </c>
      <c r="D63" s="2" t="s">
        <v>358</v>
      </c>
      <c r="E63" s="2" t="s">
        <v>62</v>
      </c>
      <c r="F63" s="2" t="s">
        <v>31</v>
      </c>
      <c r="G63" s="2" t="s">
        <v>62</v>
      </c>
      <c r="H63" s="2" t="s">
        <v>14</v>
      </c>
      <c r="I63" s="2" t="s">
        <v>359</v>
      </c>
      <c r="J63" s="2" t="s">
        <v>28</v>
      </c>
      <c r="K63" s="2" t="s">
        <v>17</v>
      </c>
      <c r="L63" s="2" t="s">
        <v>20</v>
      </c>
      <c r="M63" s="2" t="s">
        <v>360</v>
      </c>
      <c r="N63" s="3" t="s">
        <v>652</v>
      </c>
      <c r="O63" s="4">
        <v>25</v>
      </c>
    </row>
    <row r="64" spans="1:15" x14ac:dyDescent="0.15">
      <c r="A64" s="5">
        <v>80258</v>
      </c>
      <c r="B64" s="2" t="s">
        <v>361</v>
      </c>
      <c r="C64" s="2" t="s">
        <v>362</v>
      </c>
      <c r="D64" s="2" t="s">
        <v>363</v>
      </c>
      <c r="E64" s="2" t="s">
        <v>62</v>
      </c>
      <c r="F64" s="2" t="s">
        <v>50</v>
      </c>
      <c r="G64" s="2" t="s">
        <v>62</v>
      </c>
      <c r="H64" s="2" t="s">
        <v>14</v>
      </c>
      <c r="I64" s="2" t="s">
        <v>364</v>
      </c>
      <c r="J64" s="2" t="s">
        <v>28</v>
      </c>
      <c r="K64" s="2" t="s">
        <v>17</v>
      </c>
      <c r="L64" s="2" t="s">
        <v>20</v>
      </c>
      <c r="M64" s="2" t="s">
        <v>365</v>
      </c>
      <c r="N64" s="3" t="s">
        <v>653</v>
      </c>
      <c r="O64" s="4">
        <v>50</v>
      </c>
    </row>
    <row r="65" spans="1:15" x14ac:dyDescent="0.15">
      <c r="A65" s="5">
        <v>80424</v>
      </c>
      <c r="B65" s="2" t="s">
        <v>366</v>
      </c>
      <c r="C65" s="2" t="s">
        <v>367</v>
      </c>
      <c r="D65" s="2" t="s">
        <v>368</v>
      </c>
      <c r="E65" s="2" t="s">
        <v>89</v>
      </c>
      <c r="F65" s="2" t="s">
        <v>60</v>
      </c>
      <c r="G65" s="2" t="s">
        <v>89</v>
      </c>
      <c r="H65" s="2" t="s">
        <v>14</v>
      </c>
      <c r="I65" s="2" t="s">
        <v>369</v>
      </c>
      <c r="J65" s="2" t="s">
        <v>28</v>
      </c>
      <c r="K65" s="2" t="s">
        <v>17</v>
      </c>
      <c r="L65" s="2" t="s">
        <v>20</v>
      </c>
      <c r="M65" s="2" t="s">
        <v>370</v>
      </c>
      <c r="N65" s="3" t="s">
        <v>652</v>
      </c>
      <c r="O65" s="4">
        <v>25</v>
      </c>
    </row>
    <row r="66" spans="1:15" x14ac:dyDescent="0.15">
      <c r="A66" s="5">
        <v>80428</v>
      </c>
      <c r="B66" s="2" t="s">
        <v>371</v>
      </c>
      <c r="C66" s="2" t="s">
        <v>372</v>
      </c>
      <c r="D66" s="2" t="s">
        <v>373</v>
      </c>
      <c r="E66" s="2" t="s">
        <v>89</v>
      </c>
      <c r="F66" s="2" t="s">
        <v>49</v>
      </c>
      <c r="G66" s="2" t="s">
        <v>89</v>
      </c>
      <c r="H66" s="2" t="s">
        <v>14</v>
      </c>
      <c r="I66" s="2" t="s">
        <v>374</v>
      </c>
      <c r="J66" s="2" t="s">
        <v>28</v>
      </c>
      <c r="K66" s="2" t="s">
        <v>17</v>
      </c>
      <c r="L66" s="2" t="s">
        <v>20</v>
      </c>
      <c r="M66" s="2" t="s">
        <v>375</v>
      </c>
      <c r="N66" s="3">
        <v>0</v>
      </c>
      <c r="O66" s="4">
        <v>0</v>
      </c>
    </row>
    <row r="67" spans="1:15" x14ac:dyDescent="0.15">
      <c r="A67" s="5">
        <v>80615</v>
      </c>
      <c r="B67" s="2" t="s">
        <v>48</v>
      </c>
      <c r="C67" s="2" t="s">
        <v>376</v>
      </c>
      <c r="D67" s="2" t="s">
        <v>377</v>
      </c>
      <c r="E67" s="2" t="s">
        <v>89</v>
      </c>
      <c r="F67" s="2" t="s">
        <v>58</v>
      </c>
      <c r="G67" s="2" t="s">
        <v>89</v>
      </c>
      <c r="H67" s="2" t="s">
        <v>14</v>
      </c>
      <c r="I67" s="2" t="s">
        <v>378</v>
      </c>
      <c r="J67" s="2" t="s">
        <v>28</v>
      </c>
      <c r="K67" s="2" t="s">
        <v>17</v>
      </c>
      <c r="L67" s="2" t="s">
        <v>20</v>
      </c>
      <c r="M67" s="2" t="s">
        <v>379</v>
      </c>
      <c r="N67" s="3" t="s">
        <v>653</v>
      </c>
      <c r="O67" s="4">
        <v>50</v>
      </c>
    </row>
    <row r="68" spans="1:15" x14ac:dyDescent="0.15">
      <c r="A68" s="5">
        <v>80623</v>
      </c>
      <c r="B68" s="2" t="s">
        <v>380</v>
      </c>
      <c r="C68" s="2" t="s">
        <v>381</v>
      </c>
      <c r="D68" s="2" t="s">
        <v>382</v>
      </c>
      <c r="E68" s="2" t="s">
        <v>32</v>
      </c>
      <c r="F68" s="2" t="s">
        <v>39</v>
      </c>
      <c r="G68" s="2" t="s">
        <v>32</v>
      </c>
      <c r="H68" s="2" t="s">
        <v>14</v>
      </c>
      <c r="I68" s="2" t="s">
        <v>383</v>
      </c>
      <c r="J68" s="2" t="s">
        <v>28</v>
      </c>
      <c r="K68" s="2" t="s">
        <v>17</v>
      </c>
      <c r="L68" s="2" t="s">
        <v>20</v>
      </c>
      <c r="M68" s="2" t="s">
        <v>384</v>
      </c>
      <c r="N68" s="3" t="s">
        <v>653</v>
      </c>
      <c r="O68" s="4">
        <v>50</v>
      </c>
    </row>
    <row r="69" spans="1:15" x14ac:dyDescent="0.15">
      <c r="A69" s="5">
        <v>80668</v>
      </c>
      <c r="B69" s="2" t="s">
        <v>74</v>
      </c>
      <c r="C69" s="2" t="s">
        <v>385</v>
      </c>
      <c r="D69" s="2" t="s">
        <v>386</v>
      </c>
      <c r="E69" s="2" t="s">
        <v>387</v>
      </c>
      <c r="F69" s="2" t="s">
        <v>388</v>
      </c>
      <c r="G69" s="2" t="s">
        <v>387</v>
      </c>
      <c r="H69" s="2" t="s">
        <v>14</v>
      </c>
      <c r="I69" s="2" t="s">
        <v>389</v>
      </c>
      <c r="J69" s="2" t="s">
        <v>28</v>
      </c>
      <c r="K69" s="2" t="s">
        <v>17</v>
      </c>
      <c r="L69" s="2" t="s">
        <v>20</v>
      </c>
      <c r="M69" s="2" t="s">
        <v>390</v>
      </c>
      <c r="N69" s="3" t="s">
        <v>652</v>
      </c>
      <c r="O69" s="4">
        <v>25</v>
      </c>
    </row>
    <row r="70" spans="1:15" x14ac:dyDescent="0.15">
      <c r="A70" s="5">
        <v>80792</v>
      </c>
      <c r="B70" s="2" t="s">
        <v>29</v>
      </c>
      <c r="C70" s="2" t="s">
        <v>391</v>
      </c>
      <c r="D70" s="2" t="s">
        <v>392</v>
      </c>
      <c r="E70" s="2" t="s">
        <v>89</v>
      </c>
      <c r="F70" s="2" t="s">
        <v>69</v>
      </c>
      <c r="G70" s="2" t="s">
        <v>89</v>
      </c>
      <c r="H70" s="2" t="s">
        <v>14</v>
      </c>
      <c r="I70" s="2" t="s">
        <v>393</v>
      </c>
      <c r="J70" s="2" t="s">
        <v>28</v>
      </c>
      <c r="K70" s="2" t="s">
        <v>17</v>
      </c>
      <c r="L70" s="2" t="s">
        <v>20</v>
      </c>
      <c r="M70" s="2" t="s">
        <v>394</v>
      </c>
      <c r="N70" s="3" t="s">
        <v>652</v>
      </c>
      <c r="O70" s="4">
        <v>25</v>
      </c>
    </row>
    <row r="71" spans="1:15" x14ac:dyDescent="0.15">
      <c r="A71" s="5">
        <v>80903</v>
      </c>
      <c r="B71" s="2" t="s">
        <v>283</v>
      </c>
      <c r="C71" s="2" t="s">
        <v>395</v>
      </c>
      <c r="D71" s="2" t="s">
        <v>396</v>
      </c>
      <c r="E71" s="2" t="s">
        <v>32</v>
      </c>
      <c r="F71" s="2" t="s">
        <v>286</v>
      </c>
      <c r="G71" s="2" t="s">
        <v>32</v>
      </c>
      <c r="H71" s="2" t="s">
        <v>14</v>
      </c>
      <c r="I71" s="8" t="s">
        <v>397</v>
      </c>
      <c r="J71" s="2" t="s">
        <v>28</v>
      </c>
      <c r="K71" s="2" t="s">
        <v>17</v>
      </c>
      <c r="L71" s="2" t="s">
        <v>20</v>
      </c>
      <c r="M71" s="2" t="s">
        <v>398</v>
      </c>
      <c r="N71" s="3" t="s">
        <v>652</v>
      </c>
      <c r="O71" s="4">
        <v>0</v>
      </c>
    </row>
    <row r="72" spans="1:15" x14ac:dyDescent="0.15">
      <c r="A72" s="5">
        <v>80970</v>
      </c>
      <c r="B72" s="2" t="s">
        <v>399</v>
      </c>
      <c r="C72" s="2" t="s">
        <v>400</v>
      </c>
      <c r="D72" s="2" t="s">
        <v>401</v>
      </c>
      <c r="E72" s="2" t="s">
        <v>62</v>
      </c>
      <c r="F72" s="2" t="s">
        <v>25</v>
      </c>
      <c r="G72" s="2" t="s">
        <v>62</v>
      </c>
      <c r="H72" s="2" t="s">
        <v>14</v>
      </c>
      <c r="I72" s="2" t="s">
        <v>402</v>
      </c>
      <c r="J72" s="2" t="s">
        <v>28</v>
      </c>
      <c r="K72" s="2" t="s">
        <v>17</v>
      </c>
      <c r="L72" s="2" t="s">
        <v>20</v>
      </c>
      <c r="M72" s="2" t="s">
        <v>403</v>
      </c>
      <c r="N72" s="3" t="s">
        <v>652</v>
      </c>
      <c r="O72" s="4">
        <v>25</v>
      </c>
    </row>
    <row r="73" spans="1:15" x14ac:dyDescent="0.15">
      <c r="A73" s="5">
        <v>81432</v>
      </c>
      <c r="B73" s="2" t="s">
        <v>51</v>
      </c>
      <c r="C73" s="2" t="s">
        <v>404</v>
      </c>
      <c r="D73" s="2" t="s">
        <v>405</v>
      </c>
      <c r="E73" s="2" t="s">
        <v>32</v>
      </c>
      <c r="F73" s="2" t="s">
        <v>52</v>
      </c>
      <c r="G73" s="2" t="s">
        <v>32</v>
      </c>
      <c r="H73" s="2" t="s">
        <v>14</v>
      </c>
      <c r="I73" s="8" t="s">
        <v>406</v>
      </c>
      <c r="J73" s="2" t="s">
        <v>28</v>
      </c>
      <c r="K73" s="2" t="s">
        <v>17</v>
      </c>
      <c r="L73" s="2" t="s">
        <v>20</v>
      </c>
      <c r="M73" s="2" t="s">
        <v>407</v>
      </c>
      <c r="N73" s="3" t="s">
        <v>653</v>
      </c>
      <c r="O73" s="4">
        <v>0</v>
      </c>
    </row>
    <row r="74" spans="1:15" x14ac:dyDescent="0.15">
      <c r="A74" s="5">
        <v>81448</v>
      </c>
      <c r="B74" s="2" t="s">
        <v>408</v>
      </c>
      <c r="C74" s="2" t="s">
        <v>409</v>
      </c>
      <c r="D74" s="2" t="s">
        <v>410</v>
      </c>
      <c r="E74" s="2" t="s">
        <v>62</v>
      </c>
      <c r="F74" s="2" t="s">
        <v>31</v>
      </c>
      <c r="G74" s="2" t="s">
        <v>62</v>
      </c>
      <c r="H74" s="2" t="s">
        <v>14</v>
      </c>
      <c r="I74" s="2" t="s">
        <v>411</v>
      </c>
      <c r="J74" s="2" t="s">
        <v>28</v>
      </c>
      <c r="K74" s="2" t="s">
        <v>17</v>
      </c>
      <c r="L74" s="2" t="s">
        <v>20</v>
      </c>
      <c r="M74" s="2" t="s">
        <v>412</v>
      </c>
      <c r="N74" s="3" t="s">
        <v>652</v>
      </c>
      <c r="O74" s="4">
        <v>25</v>
      </c>
    </row>
    <row r="75" spans="1:15" x14ac:dyDescent="0.15">
      <c r="A75" s="5">
        <v>81517</v>
      </c>
      <c r="B75" s="2" t="s">
        <v>59</v>
      </c>
      <c r="C75" s="2" t="s">
        <v>413</v>
      </c>
      <c r="D75" s="2" t="s">
        <v>414</v>
      </c>
      <c r="E75" s="2" t="s">
        <v>89</v>
      </c>
      <c r="F75" s="2" t="s">
        <v>23</v>
      </c>
      <c r="G75" s="2" t="s">
        <v>89</v>
      </c>
      <c r="H75" s="2" t="s">
        <v>14</v>
      </c>
      <c r="I75" s="8" t="s">
        <v>415</v>
      </c>
      <c r="J75" s="2" t="s">
        <v>28</v>
      </c>
      <c r="K75" s="2" t="s">
        <v>17</v>
      </c>
      <c r="L75" s="2" t="s">
        <v>20</v>
      </c>
      <c r="M75" s="2" t="s">
        <v>416</v>
      </c>
      <c r="N75" s="3" t="s">
        <v>653</v>
      </c>
      <c r="O75" s="4">
        <v>0</v>
      </c>
    </row>
    <row r="76" spans="1:15" x14ac:dyDescent="0.15">
      <c r="A76" s="5">
        <v>81572</v>
      </c>
      <c r="B76" s="2" t="s">
        <v>417</v>
      </c>
      <c r="C76" s="2" t="s">
        <v>418</v>
      </c>
      <c r="D76" s="2" t="s">
        <v>419</v>
      </c>
      <c r="E76" s="2" t="s">
        <v>32</v>
      </c>
      <c r="F76" s="2" t="s">
        <v>19</v>
      </c>
      <c r="G76" s="2" t="s">
        <v>32</v>
      </c>
      <c r="H76" s="2" t="s">
        <v>14</v>
      </c>
      <c r="I76" s="8" t="s">
        <v>420</v>
      </c>
      <c r="J76" s="2" t="s">
        <v>28</v>
      </c>
      <c r="K76" s="2" t="s">
        <v>17</v>
      </c>
      <c r="L76" s="2" t="s">
        <v>20</v>
      </c>
      <c r="M76" s="2" t="s">
        <v>421</v>
      </c>
      <c r="N76" s="3" t="s">
        <v>653</v>
      </c>
      <c r="O76" s="4">
        <v>0</v>
      </c>
    </row>
    <row r="77" spans="1:15" x14ac:dyDescent="0.15">
      <c r="A77" s="5">
        <v>81679</v>
      </c>
      <c r="B77" s="2" t="s">
        <v>20</v>
      </c>
      <c r="C77" s="2" t="s">
        <v>422</v>
      </c>
      <c r="D77" s="2" t="s">
        <v>423</v>
      </c>
      <c r="E77" s="2" t="s">
        <v>32</v>
      </c>
      <c r="F77" s="2" t="s">
        <v>15</v>
      </c>
      <c r="G77" s="2" t="s">
        <v>32</v>
      </c>
      <c r="H77" s="2" t="s">
        <v>14</v>
      </c>
      <c r="I77" s="8" t="s">
        <v>424</v>
      </c>
      <c r="J77" s="2" t="s">
        <v>28</v>
      </c>
      <c r="K77" s="2" t="s">
        <v>17</v>
      </c>
      <c r="L77" s="2" t="s">
        <v>20</v>
      </c>
      <c r="M77" s="2" t="s">
        <v>425</v>
      </c>
      <c r="N77" s="3">
        <v>0</v>
      </c>
      <c r="O77" s="4">
        <v>0</v>
      </c>
    </row>
    <row r="78" spans="1:15" x14ac:dyDescent="0.15">
      <c r="A78" s="5">
        <v>81682</v>
      </c>
      <c r="B78" s="2" t="s">
        <v>426</v>
      </c>
      <c r="C78" s="2" t="s">
        <v>427</v>
      </c>
      <c r="D78" s="2" t="s">
        <v>428</v>
      </c>
      <c r="E78" s="2" t="s">
        <v>32</v>
      </c>
      <c r="F78" s="2" t="s">
        <v>45</v>
      </c>
      <c r="G78" s="2" t="s">
        <v>32</v>
      </c>
      <c r="H78" s="2" t="s">
        <v>14</v>
      </c>
      <c r="I78" s="8" t="s">
        <v>429</v>
      </c>
      <c r="J78" s="2" t="s">
        <v>28</v>
      </c>
      <c r="K78" s="2" t="s">
        <v>17</v>
      </c>
      <c r="L78" s="2" t="s">
        <v>20</v>
      </c>
      <c r="M78" s="2" t="s">
        <v>430</v>
      </c>
      <c r="N78" s="3">
        <v>0</v>
      </c>
      <c r="O78" s="4">
        <v>0</v>
      </c>
    </row>
    <row r="79" spans="1:15" x14ac:dyDescent="0.15">
      <c r="A79" s="5">
        <v>81806</v>
      </c>
      <c r="B79" s="2" t="s">
        <v>40</v>
      </c>
      <c r="C79" s="2" t="s">
        <v>431</v>
      </c>
      <c r="D79" s="2" t="s">
        <v>432</v>
      </c>
      <c r="E79" s="2" t="s">
        <v>89</v>
      </c>
      <c r="F79" s="2" t="s">
        <v>44</v>
      </c>
      <c r="G79" s="2" t="s">
        <v>89</v>
      </c>
      <c r="H79" s="2" t="s">
        <v>14</v>
      </c>
      <c r="I79" s="2" t="s">
        <v>433</v>
      </c>
      <c r="J79" s="2" t="s">
        <v>28</v>
      </c>
      <c r="K79" s="2" t="s">
        <v>17</v>
      </c>
      <c r="L79" s="2" t="s">
        <v>20</v>
      </c>
      <c r="M79" s="2" t="s">
        <v>434</v>
      </c>
      <c r="N79" s="3" t="s">
        <v>652</v>
      </c>
      <c r="O79" s="4">
        <v>0</v>
      </c>
    </row>
    <row r="80" spans="1:15" x14ac:dyDescent="0.15">
      <c r="A80" s="5">
        <v>81807</v>
      </c>
      <c r="B80" s="2" t="s">
        <v>66</v>
      </c>
      <c r="C80" s="2" t="s">
        <v>435</v>
      </c>
      <c r="D80" s="2" t="s">
        <v>436</v>
      </c>
      <c r="E80" s="2" t="s">
        <v>89</v>
      </c>
      <c r="F80" s="2" t="s">
        <v>44</v>
      </c>
      <c r="G80" s="2" t="s">
        <v>89</v>
      </c>
      <c r="H80" s="2" t="s">
        <v>14</v>
      </c>
      <c r="I80" s="8" t="s">
        <v>437</v>
      </c>
      <c r="J80" s="2" t="s">
        <v>28</v>
      </c>
      <c r="K80" s="2" t="s">
        <v>17</v>
      </c>
      <c r="L80" s="2" t="s">
        <v>20</v>
      </c>
      <c r="M80" s="2" t="s">
        <v>438</v>
      </c>
      <c r="N80" s="3" t="s">
        <v>652</v>
      </c>
      <c r="O80" s="4">
        <v>0</v>
      </c>
    </row>
    <row r="81" spans="1:15" x14ac:dyDescent="0.15">
      <c r="A81" s="5">
        <v>81863</v>
      </c>
      <c r="B81" s="2" t="s">
        <v>20</v>
      </c>
      <c r="C81" s="2" t="s">
        <v>439</v>
      </c>
      <c r="D81" s="2" t="s">
        <v>440</v>
      </c>
      <c r="E81" s="2" t="s">
        <v>32</v>
      </c>
      <c r="F81" s="2" t="s">
        <v>15</v>
      </c>
      <c r="G81" s="2" t="s">
        <v>32</v>
      </c>
      <c r="H81" s="2" t="s">
        <v>14</v>
      </c>
      <c r="I81" s="8" t="s">
        <v>441</v>
      </c>
      <c r="J81" s="2" t="s">
        <v>28</v>
      </c>
      <c r="K81" s="2" t="s">
        <v>17</v>
      </c>
      <c r="L81" s="2" t="s">
        <v>20</v>
      </c>
      <c r="M81" s="2" t="s">
        <v>442</v>
      </c>
      <c r="N81" s="3">
        <v>0</v>
      </c>
      <c r="O81" s="4">
        <v>0</v>
      </c>
    </row>
    <row r="82" spans="1:15" x14ac:dyDescent="0.15">
      <c r="A82" s="5">
        <v>81868</v>
      </c>
      <c r="B82" s="2" t="s">
        <v>443</v>
      </c>
      <c r="C82" s="2" t="s">
        <v>444</v>
      </c>
      <c r="D82" s="2" t="s">
        <v>428</v>
      </c>
      <c r="E82" s="2" t="s">
        <v>32</v>
      </c>
      <c r="F82" s="2" t="s">
        <v>24</v>
      </c>
      <c r="G82" s="2" t="s">
        <v>32</v>
      </c>
      <c r="H82" s="2" t="s">
        <v>14</v>
      </c>
      <c r="I82" s="8" t="s">
        <v>445</v>
      </c>
      <c r="J82" s="2" t="s">
        <v>28</v>
      </c>
      <c r="K82" s="2" t="s">
        <v>17</v>
      </c>
      <c r="L82" s="2" t="s">
        <v>20</v>
      </c>
      <c r="M82" s="2" t="s">
        <v>446</v>
      </c>
      <c r="N82" s="3">
        <v>0</v>
      </c>
      <c r="O82" s="4">
        <v>0</v>
      </c>
    </row>
    <row r="83" spans="1:15" x14ac:dyDescent="0.15">
      <c r="A83" s="5">
        <v>81871</v>
      </c>
      <c r="B83" s="2" t="s">
        <v>29</v>
      </c>
      <c r="C83" s="2" t="s">
        <v>447</v>
      </c>
      <c r="D83" s="2" t="s">
        <v>448</v>
      </c>
      <c r="E83" s="2" t="s">
        <v>89</v>
      </c>
      <c r="F83" s="2" t="s">
        <v>69</v>
      </c>
      <c r="G83" s="2" t="s">
        <v>89</v>
      </c>
      <c r="H83" s="2" t="s">
        <v>14</v>
      </c>
      <c r="I83" s="8" t="s">
        <v>449</v>
      </c>
      <c r="J83" s="2" t="s">
        <v>28</v>
      </c>
      <c r="K83" s="2" t="s">
        <v>17</v>
      </c>
      <c r="L83" s="2" t="s">
        <v>18</v>
      </c>
      <c r="M83" s="2" t="s">
        <v>450</v>
      </c>
      <c r="N83" s="3" t="s">
        <v>653</v>
      </c>
      <c r="O83" s="4">
        <v>0</v>
      </c>
    </row>
    <row r="84" spans="1:15" x14ac:dyDescent="0.15">
      <c r="A84" s="5">
        <v>81926</v>
      </c>
      <c r="B84" s="2" t="s">
        <v>66</v>
      </c>
      <c r="C84" s="2" t="s">
        <v>451</v>
      </c>
      <c r="D84" s="2" t="s">
        <v>452</v>
      </c>
      <c r="E84" s="2" t="s">
        <v>32</v>
      </c>
      <c r="F84" s="2" t="s">
        <v>41</v>
      </c>
      <c r="G84" s="2" t="s">
        <v>32</v>
      </c>
      <c r="H84" s="2" t="s">
        <v>14</v>
      </c>
      <c r="I84" s="8" t="s">
        <v>453</v>
      </c>
      <c r="J84" s="2" t="s">
        <v>28</v>
      </c>
      <c r="K84" s="2" t="s">
        <v>17</v>
      </c>
      <c r="L84" s="2" t="s">
        <v>20</v>
      </c>
      <c r="M84" s="2" t="s">
        <v>454</v>
      </c>
      <c r="N84" s="3" t="s">
        <v>652</v>
      </c>
      <c r="O84" s="4">
        <v>0</v>
      </c>
    </row>
    <row r="85" spans="1:15" x14ac:dyDescent="0.15">
      <c r="A85" s="5">
        <v>81930</v>
      </c>
      <c r="B85" s="2" t="s">
        <v>455</v>
      </c>
      <c r="C85" s="2" t="s">
        <v>456</v>
      </c>
      <c r="D85" s="2" t="s">
        <v>457</v>
      </c>
      <c r="E85" s="2" t="s">
        <v>62</v>
      </c>
      <c r="F85" s="2" t="s">
        <v>22</v>
      </c>
      <c r="G85" s="2" t="s">
        <v>62</v>
      </c>
      <c r="H85" s="2" t="s">
        <v>14</v>
      </c>
      <c r="I85" s="8" t="s">
        <v>458</v>
      </c>
      <c r="J85" s="2" t="s">
        <v>28</v>
      </c>
      <c r="K85" s="2" t="s">
        <v>17</v>
      </c>
      <c r="L85" s="2" t="s">
        <v>20</v>
      </c>
      <c r="M85" s="2" t="s">
        <v>459</v>
      </c>
      <c r="N85" s="3">
        <v>0</v>
      </c>
      <c r="O85" s="4">
        <v>0</v>
      </c>
    </row>
    <row r="86" spans="1:15" x14ac:dyDescent="0.15">
      <c r="A86" s="5">
        <v>81977</v>
      </c>
      <c r="B86" s="2" t="s">
        <v>460</v>
      </c>
      <c r="C86" s="2" t="s">
        <v>461</v>
      </c>
      <c r="D86" s="2" t="s">
        <v>462</v>
      </c>
      <c r="E86" s="2" t="s">
        <v>32</v>
      </c>
      <c r="F86" s="2" t="s">
        <v>286</v>
      </c>
      <c r="G86" s="2" t="s">
        <v>32</v>
      </c>
      <c r="H86" s="2" t="s">
        <v>14</v>
      </c>
      <c r="I86" s="8" t="s">
        <v>463</v>
      </c>
      <c r="J86" s="2" t="s">
        <v>28</v>
      </c>
      <c r="K86" s="2" t="s">
        <v>17</v>
      </c>
      <c r="L86" s="2" t="s">
        <v>20</v>
      </c>
      <c r="M86" s="2" t="s">
        <v>464</v>
      </c>
      <c r="N86" s="3" t="s">
        <v>653</v>
      </c>
      <c r="O86" s="4">
        <v>0</v>
      </c>
    </row>
    <row r="87" spans="1:15" x14ac:dyDescent="0.15">
      <c r="O87">
        <f>SUM(O4:O86)</f>
        <v>1925</v>
      </c>
    </row>
    <row r="91" spans="1:15" x14ac:dyDescent="0.15">
      <c r="L91" s="6" t="s">
        <v>860</v>
      </c>
      <c r="M91" s="6"/>
      <c r="N91" s="7">
        <f>O87</f>
        <v>1925</v>
      </c>
      <c r="O91" s="6" t="s">
        <v>659</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0BD78-D30D-48E6-A82E-3C089051013D}">
  <dimension ref="A3:O62"/>
  <sheetViews>
    <sheetView tabSelected="1" topLeftCell="A32" workbookViewId="0">
      <selection activeCell="D43" sqref="D43"/>
    </sheetView>
  </sheetViews>
  <sheetFormatPr baseColWidth="10" defaultColWidth="11.5" defaultRowHeight="13" x14ac:dyDescent="0.15"/>
  <cols>
    <col min="4" max="4" width="19.1640625" customWidth="1"/>
    <col min="13" max="13" width="17.83203125" customWidth="1"/>
    <col min="14" max="14" width="17.5" style="9" customWidth="1"/>
    <col min="15" max="15" width="11.5" style="9"/>
  </cols>
  <sheetData>
    <row r="3" spans="1:15" x14ac:dyDescent="0.15">
      <c r="A3" s="1" t="s">
        <v>0</v>
      </c>
      <c r="B3" s="1" t="s">
        <v>1</v>
      </c>
      <c r="C3" s="1" t="s">
        <v>2</v>
      </c>
      <c r="D3" s="1" t="s">
        <v>3</v>
      </c>
      <c r="E3" s="1" t="s">
        <v>4</v>
      </c>
      <c r="F3" s="1" t="s">
        <v>5</v>
      </c>
      <c r="G3" s="1" t="s">
        <v>6</v>
      </c>
      <c r="H3" s="1" t="s">
        <v>7</v>
      </c>
      <c r="I3" s="1" t="s">
        <v>8</v>
      </c>
      <c r="J3" s="1" t="s">
        <v>9</v>
      </c>
      <c r="K3" s="1" t="s">
        <v>10</v>
      </c>
      <c r="L3" s="1" t="s">
        <v>11</v>
      </c>
      <c r="M3" s="1" t="s">
        <v>12</v>
      </c>
      <c r="N3" s="10" t="s">
        <v>13</v>
      </c>
      <c r="O3" s="10" t="s">
        <v>658</v>
      </c>
    </row>
    <row r="4" spans="1:15" x14ac:dyDescent="0.15">
      <c r="A4" s="5">
        <v>80113</v>
      </c>
      <c r="B4" s="2" t="s">
        <v>20</v>
      </c>
      <c r="C4" s="2" t="s">
        <v>347</v>
      </c>
      <c r="D4" s="2" t="s">
        <v>348</v>
      </c>
      <c r="E4" s="2" t="s">
        <v>62</v>
      </c>
      <c r="F4" s="2" t="s">
        <v>78</v>
      </c>
      <c r="G4" s="2" t="s">
        <v>62</v>
      </c>
      <c r="H4" s="2" t="s">
        <v>14</v>
      </c>
      <c r="I4" s="2" t="s">
        <v>349</v>
      </c>
      <c r="J4" s="2" t="s">
        <v>28</v>
      </c>
      <c r="K4" s="2" t="s">
        <v>17</v>
      </c>
      <c r="L4" s="2" t="s">
        <v>20</v>
      </c>
      <c r="M4" s="2" t="s">
        <v>350</v>
      </c>
      <c r="N4" s="3">
        <v>1</v>
      </c>
      <c r="O4" s="11">
        <v>25</v>
      </c>
    </row>
    <row r="5" spans="1:15" x14ac:dyDescent="0.15">
      <c r="A5" s="5">
        <v>80903</v>
      </c>
      <c r="B5" s="2" t="s">
        <v>283</v>
      </c>
      <c r="C5" s="2" t="s">
        <v>395</v>
      </c>
      <c r="D5" s="2" t="s">
        <v>396</v>
      </c>
      <c r="E5" s="2" t="s">
        <v>32</v>
      </c>
      <c r="F5" s="2" t="s">
        <v>286</v>
      </c>
      <c r="G5" s="2" t="s">
        <v>32</v>
      </c>
      <c r="H5" s="2" t="s">
        <v>14</v>
      </c>
      <c r="I5" s="2" t="s">
        <v>397</v>
      </c>
      <c r="J5" s="2" t="s">
        <v>28</v>
      </c>
      <c r="K5" s="2" t="s">
        <v>17</v>
      </c>
      <c r="L5" s="2" t="s">
        <v>20</v>
      </c>
      <c r="M5" s="2" t="s">
        <v>398</v>
      </c>
      <c r="N5" s="3">
        <v>1</v>
      </c>
      <c r="O5" s="11">
        <v>25</v>
      </c>
    </row>
    <row r="6" spans="1:15" x14ac:dyDescent="0.15">
      <c r="A6" s="5">
        <v>81432</v>
      </c>
      <c r="B6" s="2" t="s">
        <v>51</v>
      </c>
      <c r="C6" s="2" t="s">
        <v>404</v>
      </c>
      <c r="D6" s="2" t="s">
        <v>405</v>
      </c>
      <c r="E6" s="2" t="s">
        <v>32</v>
      </c>
      <c r="F6" s="2" t="s">
        <v>52</v>
      </c>
      <c r="G6" s="2" t="s">
        <v>32</v>
      </c>
      <c r="H6" s="2" t="s">
        <v>14</v>
      </c>
      <c r="I6" s="2" t="s">
        <v>406</v>
      </c>
      <c r="J6" s="2" t="s">
        <v>28</v>
      </c>
      <c r="K6" s="2" t="s">
        <v>17</v>
      </c>
      <c r="L6" s="2" t="s">
        <v>20</v>
      </c>
      <c r="M6" s="2" t="s">
        <v>407</v>
      </c>
      <c r="N6" s="3">
        <v>2</v>
      </c>
      <c r="O6" s="11">
        <v>50</v>
      </c>
    </row>
    <row r="7" spans="1:15" x14ac:dyDescent="0.15">
      <c r="A7" s="5">
        <v>81517</v>
      </c>
      <c r="B7" s="2" t="s">
        <v>59</v>
      </c>
      <c r="C7" s="2" t="s">
        <v>413</v>
      </c>
      <c r="D7" s="2" t="s">
        <v>414</v>
      </c>
      <c r="E7" s="2" t="s">
        <v>89</v>
      </c>
      <c r="F7" s="2" t="s">
        <v>23</v>
      </c>
      <c r="G7" s="2" t="s">
        <v>89</v>
      </c>
      <c r="H7" s="2" t="s">
        <v>14</v>
      </c>
      <c r="I7" s="2" t="s">
        <v>415</v>
      </c>
      <c r="J7" s="2" t="s">
        <v>28</v>
      </c>
      <c r="K7" s="2" t="s">
        <v>17</v>
      </c>
      <c r="L7" s="2" t="s">
        <v>20</v>
      </c>
      <c r="M7" s="2" t="s">
        <v>416</v>
      </c>
      <c r="N7" s="3">
        <v>2</v>
      </c>
      <c r="O7" s="11">
        <v>50</v>
      </c>
    </row>
    <row r="8" spans="1:15" x14ac:dyDescent="0.15">
      <c r="A8" s="5">
        <v>81572</v>
      </c>
      <c r="B8" s="2" t="s">
        <v>417</v>
      </c>
      <c r="C8" s="2" t="s">
        <v>418</v>
      </c>
      <c r="D8" s="2" t="s">
        <v>419</v>
      </c>
      <c r="E8" s="2" t="s">
        <v>32</v>
      </c>
      <c r="F8" s="2" t="s">
        <v>19</v>
      </c>
      <c r="G8" s="2" t="s">
        <v>32</v>
      </c>
      <c r="H8" s="2" t="s">
        <v>14</v>
      </c>
      <c r="I8" s="2" t="s">
        <v>420</v>
      </c>
      <c r="J8" s="2" t="s">
        <v>28</v>
      </c>
      <c r="K8" s="2" t="s">
        <v>17</v>
      </c>
      <c r="L8" s="2" t="s">
        <v>20</v>
      </c>
      <c r="M8" s="2" t="s">
        <v>421</v>
      </c>
      <c r="N8" s="3">
        <v>2</v>
      </c>
      <c r="O8" s="11">
        <v>50</v>
      </c>
    </row>
    <row r="9" spans="1:15" x14ac:dyDescent="0.15">
      <c r="A9" s="5">
        <v>81679</v>
      </c>
      <c r="B9" s="2" t="s">
        <v>20</v>
      </c>
      <c r="C9" s="2" t="s">
        <v>422</v>
      </c>
      <c r="D9" s="2" t="s">
        <v>423</v>
      </c>
      <c r="E9" s="2" t="s">
        <v>32</v>
      </c>
      <c r="F9" s="2" t="s">
        <v>15</v>
      </c>
      <c r="G9" s="2" t="s">
        <v>32</v>
      </c>
      <c r="H9" s="2" t="s">
        <v>14</v>
      </c>
      <c r="I9" s="2" t="s">
        <v>424</v>
      </c>
      <c r="J9" s="2" t="s">
        <v>28</v>
      </c>
      <c r="K9" s="2" t="s">
        <v>17</v>
      </c>
      <c r="L9" s="2" t="s">
        <v>20</v>
      </c>
      <c r="M9" s="2" t="s">
        <v>425</v>
      </c>
      <c r="N9" s="3">
        <v>0</v>
      </c>
      <c r="O9" s="11">
        <v>0</v>
      </c>
    </row>
    <row r="10" spans="1:15" x14ac:dyDescent="0.15">
      <c r="A10" s="5">
        <v>81682</v>
      </c>
      <c r="B10" s="2" t="s">
        <v>426</v>
      </c>
      <c r="C10" s="2" t="s">
        <v>427</v>
      </c>
      <c r="D10" s="2" t="s">
        <v>428</v>
      </c>
      <c r="E10" s="2" t="s">
        <v>32</v>
      </c>
      <c r="F10" s="2" t="s">
        <v>45</v>
      </c>
      <c r="G10" s="2" t="s">
        <v>32</v>
      </c>
      <c r="H10" s="2" t="s">
        <v>14</v>
      </c>
      <c r="I10" s="2" t="s">
        <v>429</v>
      </c>
      <c r="J10" s="2" t="s">
        <v>28</v>
      </c>
      <c r="K10" s="2" t="s">
        <v>17</v>
      </c>
      <c r="L10" s="2" t="s">
        <v>20</v>
      </c>
      <c r="M10" s="2" t="s">
        <v>430</v>
      </c>
      <c r="N10" s="3">
        <v>0</v>
      </c>
      <c r="O10" s="11">
        <v>0</v>
      </c>
    </row>
    <row r="11" spans="1:15" x14ac:dyDescent="0.15">
      <c r="A11" s="5">
        <v>81807</v>
      </c>
      <c r="B11" s="2" t="s">
        <v>66</v>
      </c>
      <c r="C11" s="2" t="s">
        <v>435</v>
      </c>
      <c r="D11" s="2" t="s">
        <v>436</v>
      </c>
      <c r="E11" s="2" t="s">
        <v>89</v>
      </c>
      <c r="F11" s="2" t="s">
        <v>44</v>
      </c>
      <c r="G11" s="2" t="s">
        <v>89</v>
      </c>
      <c r="H11" s="2" t="s">
        <v>14</v>
      </c>
      <c r="I11" s="2" t="s">
        <v>437</v>
      </c>
      <c r="J11" s="2" t="s">
        <v>28</v>
      </c>
      <c r="K11" s="2" t="s">
        <v>17</v>
      </c>
      <c r="L11" s="2" t="s">
        <v>20</v>
      </c>
      <c r="M11" s="2" t="s">
        <v>438</v>
      </c>
      <c r="N11" s="3">
        <v>1</v>
      </c>
      <c r="O11" s="11">
        <v>25</v>
      </c>
    </row>
    <row r="12" spans="1:15" x14ac:dyDescent="0.15">
      <c r="A12" s="5">
        <v>81863</v>
      </c>
      <c r="B12" s="2" t="s">
        <v>20</v>
      </c>
      <c r="C12" s="2" t="s">
        <v>439</v>
      </c>
      <c r="D12" s="2" t="s">
        <v>440</v>
      </c>
      <c r="E12" s="2" t="s">
        <v>32</v>
      </c>
      <c r="F12" s="2" t="s">
        <v>15</v>
      </c>
      <c r="G12" s="2" t="s">
        <v>32</v>
      </c>
      <c r="H12" s="2" t="s">
        <v>14</v>
      </c>
      <c r="I12" s="2" t="s">
        <v>441</v>
      </c>
      <c r="J12" s="2" t="s">
        <v>28</v>
      </c>
      <c r="K12" s="2" t="s">
        <v>17</v>
      </c>
      <c r="L12" s="2" t="s">
        <v>20</v>
      </c>
      <c r="M12" s="2" t="s">
        <v>442</v>
      </c>
      <c r="N12" s="3">
        <v>0</v>
      </c>
      <c r="O12" s="11">
        <v>0</v>
      </c>
    </row>
    <row r="13" spans="1:15" x14ac:dyDescent="0.15">
      <c r="A13" s="5">
        <v>81868</v>
      </c>
      <c r="B13" s="2" t="s">
        <v>443</v>
      </c>
      <c r="C13" s="2" t="s">
        <v>444</v>
      </c>
      <c r="D13" s="2" t="s">
        <v>428</v>
      </c>
      <c r="E13" s="2" t="s">
        <v>32</v>
      </c>
      <c r="F13" s="2" t="s">
        <v>24</v>
      </c>
      <c r="G13" s="2" t="s">
        <v>32</v>
      </c>
      <c r="H13" s="2" t="s">
        <v>14</v>
      </c>
      <c r="I13" s="2" t="s">
        <v>445</v>
      </c>
      <c r="J13" s="2" t="s">
        <v>28</v>
      </c>
      <c r="K13" s="2" t="s">
        <v>17</v>
      </c>
      <c r="L13" s="2" t="s">
        <v>20</v>
      </c>
      <c r="M13" s="2" t="s">
        <v>446</v>
      </c>
      <c r="N13" s="3">
        <v>0</v>
      </c>
      <c r="O13" s="11">
        <v>0</v>
      </c>
    </row>
    <row r="14" spans="1:15" x14ac:dyDescent="0.15">
      <c r="A14" s="5">
        <v>81871</v>
      </c>
      <c r="B14" s="2" t="s">
        <v>29</v>
      </c>
      <c r="C14" s="2" t="s">
        <v>447</v>
      </c>
      <c r="D14" s="2" t="s">
        <v>448</v>
      </c>
      <c r="E14" s="2" t="s">
        <v>89</v>
      </c>
      <c r="F14" s="2" t="s">
        <v>69</v>
      </c>
      <c r="G14" s="2" t="s">
        <v>89</v>
      </c>
      <c r="H14" s="2" t="s">
        <v>14</v>
      </c>
      <c r="I14" s="2" t="s">
        <v>449</v>
      </c>
      <c r="J14" s="2" t="s">
        <v>28</v>
      </c>
      <c r="K14" s="2" t="s">
        <v>17</v>
      </c>
      <c r="L14" s="2" t="s">
        <v>18</v>
      </c>
      <c r="M14" s="2" t="s">
        <v>450</v>
      </c>
      <c r="N14" s="3">
        <v>2</v>
      </c>
      <c r="O14" s="11">
        <v>50</v>
      </c>
    </row>
    <row r="15" spans="1:15" x14ac:dyDescent="0.15">
      <c r="A15" s="5">
        <v>81926</v>
      </c>
      <c r="B15" s="2" t="s">
        <v>66</v>
      </c>
      <c r="C15" s="2" t="s">
        <v>451</v>
      </c>
      <c r="D15" s="2" t="s">
        <v>452</v>
      </c>
      <c r="E15" s="2" t="s">
        <v>32</v>
      </c>
      <c r="F15" s="2" t="s">
        <v>41</v>
      </c>
      <c r="G15" s="2" t="s">
        <v>32</v>
      </c>
      <c r="H15" s="2" t="s">
        <v>14</v>
      </c>
      <c r="I15" s="2" t="s">
        <v>453</v>
      </c>
      <c r="J15" s="2" t="s">
        <v>28</v>
      </c>
      <c r="K15" s="2" t="s">
        <v>17</v>
      </c>
      <c r="L15" s="2" t="s">
        <v>20</v>
      </c>
      <c r="M15" s="2" t="s">
        <v>454</v>
      </c>
      <c r="N15" s="3">
        <v>1</v>
      </c>
      <c r="O15" s="11">
        <v>25</v>
      </c>
    </row>
    <row r="16" spans="1:15" x14ac:dyDescent="0.15">
      <c r="A16" s="5">
        <v>81930</v>
      </c>
      <c r="B16" s="2" t="s">
        <v>455</v>
      </c>
      <c r="C16" s="2" t="s">
        <v>456</v>
      </c>
      <c r="D16" s="2" t="s">
        <v>457</v>
      </c>
      <c r="E16" s="2" t="s">
        <v>62</v>
      </c>
      <c r="F16" s="2" t="s">
        <v>22</v>
      </c>
      <c r="G16" s="2" t="s">
        <v>62</v>
      </c>
      <c r="H16" s="2" t="s">
        <v>14</v>
      </c>
      <c r="I16" s="2" t="s">
        <v>458</v>
      </c>
      <c r="J16" s="2" t="s">
        <v>28</v>
      </c>
      <c r="K16" s="2" t="s">
        <v>17</v>
      </c>
      <c r="L16" s="2" t="s">
        <v>20</v>
      </c>
      <c r="M16" s="2" t="s">
        <v>459</v>
      </c>
      <c r="N16" s="3">
        <v>0</v>
      </c>
      <c r="O16" s="11">
        <v>0</v>
      </c>
    </row>
    <row r="17" spans="1:15" x14ac:dyDescent="0.15">
      <c r="A17" s="5">
        <v>81977</v>
      </c>
      <c r="B17" s="2" t="s">
        <v>460</v>
      </c>
      <c r="C17" s="2" t="s">
        <v>461</v>
      </c>
      <c r="D17" s="2" t="s">
        <v>462</v>
      </c>
      <c r="E17" s="2" t="s">
        <v>32</v>
      </c>
      <c r="F17" s="2" t="s">
        <v>286</v>
      </c>
      <c r="G17" s="2" t="s">
        <v>32</v>
      </c>
      <c r="H17" s="2" t="s">
        <v>14</v>
      </c>
      <c r="I17" s="2" t="s">
        <v>463</v>
      </c>
      <c r="J17" s="2" t="s">
        <v>28</v>
      </c>
      <c r="K17" s="2" t="s">
        <v>17</v>
      </c>
      <c r="L17" s="2" t="s">
        <v>20</v>
      </c>
      <c r="M17" s="2" t="s">
        <v>464</v>
      </c>
      <c r="N17" s="3">
        <v>2</v>
      </c>
      <c r="O17" s="11">
        <v>50</v>
      </c>
    </row>
    <row r="18" spans="1:15" x14ac:dyDescent="0.15">
      <c r="A18" s="5">
        <v>82244</v>
      </c>
      <c r="B18" s="2" t="s">
        <v>465</v>
      </c>
      <c r="C18" s="2" t="s">
        <v>466</v>
      </c>
      <c r="D18" s="2" t="s">
        <v>467</v>
      </c>
      <c r="E18" s="2" t="s">
        <v>62</v>
      </c>
      <c r="F18" s="2" t="s">
        <v>25</v>
      </c>
      <c r="G18" s="2" t="s">
        <v>62</v>
      </c>
      <c r="H18" s="2" t="s">
        <v>14</v>
      </c>
      <c r="I18" s="2" t="s">
        <v>468</v>
      </c>
      <c r="J18" s="2" t="s">
        <v>28</v>
      </c>
      <c r="K18" s="2" t="s">
        <v>17</v>
      </c>
      <c r="L18" s="2" t="s">
        <v>20</v>
      </c>
      <c r="M18" s="2" t="s">
        <v>469</v>
      </c>
      <c r="N18" s="3">
        <v>2</v>
      </c>
      <c r="O18" s="3">
        <v>50</v>
      </c>
    </row>
    <row r="19" spans="1:15" x14ac:dyDescent="0.15">
      <c r="A19" s="5">
        <v>82256</v>
      </c>
      <c r="B19" s="2" t="s">
        <v>470</v>
      </c>
      <c r="C19" s="2" t="s">
        <v>471</v>
      </c>
      <c r="D19" s="2" t="s">
        <v>472</v>
      </c>
      <c r="E19" s="2" t="s">
        <v>32</v>
      </c>
      <c r="F19" s="2" t="s">
        <v>61</v>
      </c>
      <c r="G19" s="2" t="s">
        <v>32</v>
      </c>
      <c r="H19" s="2" t="s">
        <v>14</v>
      </c>
      <c r="I19" s="2" t="s">
        <v>473</v>
      </c>
      <c r="J19" s="2" t="s">
        <v>28</v>
      </c>
      <c r="K19" s="2" t="s">
        <v>16</v>
      </c>
      <c r="L19" s="2" t="s">
        <v>16</v>
      </c>
      <c r="M19" s="2" t="s">
        <v>474</v>
      </c>
      <c r="N19" s="3">
        <v>4</v>
      </c>
      <c r="O19" s="3">
        <v>100</v>
      </c>
    </row>
    <row r="20" spans="1:15" x14ac:dyDescent="0.15">
      <c r="A20" s="5">
        <v>82268</v>
      </c>
      <c r="B20" s="2" t="s">
        <v>475</v>
      </c>
      <c r="C20" s="2" t="s">
        <v>476</v>
      </c>
      <c r="D20" s="2" t="s">
        <v>477</v>
      </c>
      <c r="E20" s="2" t="s">
        <v>89</v>
      </c>
      <c r="F20" s="2" t="s">
        <v>58</v>
      </c>
      <c r="G20" s="2" t="s">
        <v>89</v>
      </c>
      <c r="H20" s="2" t="s">
        <v>14</v>
      </c>
      <c r="I20" s="2" t="s">
        <v>478</v>
      </c>
      <c r="J20" s="2" t="s">
        <v>28</v>
      </c>
      <c r="K20" s="2" t="s">
        <v>17</v>
      </c>
      <c r="L20" s="2" t="s">
        <v>20</v>
      </c>
      <c r="M20" s="2" t="s">
        <v>479</v>
      </c>
      <c r="N20" s="3">
        <v>3</v>
      </c>
      <c r="O20" s="3">
        <v>75</v>
      </c>
    </row>
    <row r="21" spans="1:15" x14ac:dyDescent="0.15">
      <c r="A21" s="5">
        <v>82301</v>
      </c>
      <c r="B21" s="2" t="s">
        <v>33</v>
      </c>
      <c r="C21" s="2" t="s">
        <v>480</v>
      </c>
      <c r="D21" s="2" t="s">
        <v>481</v>
      </c>
      <c r="E21" s="2" t="s">
        <v>89</v>
      </c>
      <c r="F21" s="2" t="s">
        <v>58</v>
      </c>
      <c r="G21" s="2" t="s">
        <v>89</v>
      </c>
      <c r="H21" s="2" t="s">
        <v>14</v>
      </c>
      <c r="I21" s="2" t="s">
        <v>482</v>
      </c>
      <c r="J21" s="2" t="s">
        <v>28</v>
      </c>
      <c r="K21" s="2" t="s">
        <v>17</v>
      </c>
      <c r="L21" s="2" t="s">
        <v>20</v>
      </c>
      <c r="M21" s="2" t="s">
        <v>483</v>
      </c>
      <c r="N21" s="3">
        <v>2</v>
      </c>
      <c r="O21" s="3">
        <v>50</v>
      </c>
    </row>
    <row r="22" spans="1:15" x14ac:dyDescent="0.15">
      <c r="A22" s="5">
        <v>82319</v>
      </c>
      <c r="B22" s="2" t="s">
        <v>484</v>
      </c>
      <c r="C22" s="2" t="s">
        <v>485</v>
      </c>
      <c r="D22" s="2" t="s">
        <v>135</v>
      </c>
      <c r="E22" s="2" t="s">
        <v>62</v>
      </c>
      <c r="F22" s="2" t="s">
        <v>35</v>
      </c>
      <c r="G22" s="2" t="s">
        <v>62</v>
      </c>
      <c r="H22" s="2" t="s">
        <v>14</v>
      </c>
      <c r="I22" s="2" t="s">
        <v>486</v>
      </c>
      <c r="J22" s="2" t="s">
        <v>28</v>
      </c>
      <c r="K22" s="2" t="s">
        <v>17</v>
      </c>
      <c r="L22" s="2" t="s">
        <v>20</v>
      </c>
      <c r="M22" s="2" t="s">
        <v>487</v>
      </c>
      <c r="N22" s="3">
        <v>2</v>
      </c>
      <c r="O22" s="3">
        <v>50</v>
      </c>
    </row>
    <row r="23" spans="1:15" x14ac:dyDescent="0.15">
      <c r="A23" s="5">
        <v>82334</v>
      </c>
      <c r="B23" s="2" t="s">
        <v>488</v>
      </c>
      <c r="C23" s="2" t="s">
        <v>489</v>
      </c>
      <c r="D23" s="2" t="s">
        <v>490</v>
      </c>
      <c r="E23" s="2" t="s">
        <v>32</v>
      </c>
      <c r="F23" s="2" t="s">
        <v>286</v>
      </c>
      <c r="G23" s="2" t="s">
        <v>32</v>
      </c>
      <c r="H23" s="2" t="s">
        <v>14</v>
      </c>
      <c r="I23" s="2" t="s">
        <v>491</v>
      </c>
      <c r="J23" s="2" t="s">
        <v>28</v>
      </c>
      <c r="K23" s="2" t="s">
        <v>17</v>
      </c>
      <c r="L23" s="2" t="s">
        <v>20</v>
      </c>
      <c r="M23" s="2" t="s">
        <v>492</v>
      </c>
      <c r="N23" s="3">
        <v>2</v>
      </c>
      <c r="O23" s="3">
        <v>50</v>
      </c>
    </row>
    <row r="24" spans="1:15" x14ac:dyDescent="0.15">
      <c r="A24" s="5">
        <v>82512</v>
      </c>
      <c r="B24" s="2" t="s">
        <v>37</v>
      </c>
      <c r="C24" s="2" t="s">
        <v>493</v>
      </c>
      <c r="D24" s="2" t="s">
        <v>494</v>
      </c>
      <c r="E24" s="2" t="s">
        <v>32</v>
      </c>
      <c r="F24" s="2" t="s">
        <v>54</v>
      </c>
      <c r="G24" s="2" t="s">
        <v>32</v>
      </c>
      <c r="H24" s="2" t="s">
        <v>14</v>
      </c>
      <c r="I24" s="2" t="s">
        <v>495</v>
      </c>
      <c r="J24" s="2" t="s">
        <v>28</v>
      </c>
      <c r="K24" s="2" t="s">
        <v>17</v>
      </c>
      <c r="L24" s="2" t="s">
        <v>20</v>
      </c>
      <c r="M24" s="2" t="s">
        <v>496</v>
      </c>
      <c r="N24" s="3">
        <v>3</v>
      </c>
      <c r="O24" s="3">
        <v>75</v>
      </c>
    </row>
    <row r="25" spans="1:15" x14ac:dyDescent="0.15">
      <c r="A25" s="5">
        <v>82554</v>
      </c>
      <c r="B25" s="2" t="s">
        <v>497</v>
      </c>
      <c r="C25" s="2" t="s">
        <v>498</v>
      </c>
      <c r="D25" s="2" t="s">
        <v>499</v>
      </c>
      <c r="E25" s="2" t="s">
        <v>62</v>
      </c>
      <c r="F25" s="2" t="s">
        <v>22</v>
      </c>
      <c r="G25" s="2" t="s">
        <v>62</v>
      </c>
      <c r="H25" s="2" t="s">
        <v>14</v>
      </c>
      <c r="I25" s="2" t="s">
        <v>500</v>
      </c>
      <c r="J25" s="2" t="s">
        <v>28</v>
      </c>
      <c r="K25" s="2" t="s">
        <v>17</v>
      </c>
      <c r="L25" s="2" t="s">
        <v>20</v>
      </c>
      <c r="M25" s="2" t="s">
        <v>501</v>
      </c>
      <c r="N25" s="3">
        <v>3</v>
      </c>
      <c r="O25" s="3">
        <v>1</v>
      </c>
    </row>
    <row r="26" spans="1:15" x14ac:dyDescent="0.15">
      <c r="A26" s="5">
        <v>82619</v>
      </c>
      <c r="B26" s="2" t="s">
        <v>20</v>
      </c>
      <c r="C26" s="2" t="s">
        <v>502</v>
      </c>
      <c r="D26" s="2" t="s">
        <v>503</v>
      </c>
      <c r="E26" s="2" t="s">
        <v>62</v>
      </c>
      <c r="F26" s="2" t="s">
        <v>53</v>
      </c>
      <c r="G26" s="2" t="s">
        <v>62</v>
      </c>
      <c r="H26" s="2" t="s">
        <v>14</v>
      </c>
      <c r="I26" s="2" t="s">
        <v>504</v>
      </c>
      <c r="J26" s="2" t="s">
        <v>28</v>
      </c>
      <c r="K26" s="2" t="s">
        <v>17</v>
      </c>
      <c r="L26" s="2" t="s">
        <v>20</v>
      </c>
      <c r="M26" s="2" t="s">
        <v>505</v>
      </c>
      <c r="N26" s="3">
        <v>0</v>
      </c>
      <c r="O26" s="3">
        <v>0</v>
      </c>
    </row>
    <row r="27" spans="1:15" x14ac:dyDescent="0.15">
      <c r="A27" s="5">
        <v>82682</v>
      </c>
      <c r="B27" s="2" t="s">
        <v>506</v>
      </c>
      <c r="C27" s="2" t="s">
        <v>507</v>
      </c>
      <c r="D27" s="2" t="s">
        <v>508</v>
      </c>
      <c r="E27" s="2" t="s">
        <v>62</v>
      </c>
      <c r="F27" s="2" t="s">
        <v>78</v>
      </c>
      <c r="G27" s="2" t="s">
        <v>62</v>
      </c>
      <c r="H27" s="2" t="s">
        <v>14</v>
      </c>
      <c r="I27" s="2" t="s">
        <v>509</v>
      </c>
      <c r="J27" s="2" t="s">
        <v>28</v>
      </c>
      <c r="K27" s="2" t="s">
        <v>17</v>
      </c>
      <c r="L27" s="2" t="s">
        <v>20</v>
      </c>
      <c r="M27" s="2" t="s">
        <v>510</v>
      </c>
      <c r="N27" s="3">
        <v>0</v>
      </c>
      <c r="O27" s="3">
        <v>0</v>
      </c>
    </row>
    <row r="28" spans="1:15" x14ac:dyDescent="0.15">
      <c r="A28" s="5">
        <v>82774</v>
      </c>
      <c r="B28" s="2" t="s">
        <v>511</v>
      </c>
      <c r="C28" s="2" t="s">
        <v>512</v>
      </c>
      <c r="D28" s="2" t="s">
        <v>513</v>
      </c>
      <c r="E28" s="2" t="s">
        <v>32</v>
      </c>
      <c r="F28" s="2" t="s">
        <v>54</v>
      </c>
      <c r="G28" s="2" t="s">
        <v>32</v>
      </c>
      <c r="H28" s="2" t="s">
        <v>14</v>
      </c>
      <c r="I28" s="2" t="s">
        <v>514</v>
      </c>
      <c r="J28" s="2" t="s">
        <v>28</v>
      </c>
      <c r="K28" s="2" t="s">
        <v>17</v>
      </c>
      <c r="L28" s="2" t="s">
        <v>20</v>
      </c>
      <c r="M28" s="2" t="s">
        <v>515</v>
      </c>
      <c r="N28" s="3">
        <v>1</v>
      </c>
      <c r="O28" s="3">
        <v>25</v>
      </c>
    </row>
    <row r="29" spans="1:15" x14ac:dyDescent="0.15">
      <c r="A29" s="5">
        <v>82804</v>
      </c>
      <c r="B29" s="2" t="s">
        <v>516</v>
      </c>
      <c r="C29" s="2" t="s">
        <v>517</v>
      </c>
      <c r="D29" s="2" t="s">
        <v>518</v>
      </c>
      <c r="E29" s="2" t="s">
        <v>89</v>
      </c>
      <c r="F29" s="2" t="s">
        <v>60</v>
      </c>
      <c r="G29" s="2" t="s">
        <v>89</v>
      </c>
      <c r="H29" s="2" t="s">
        <v>14</v>
      </c>
      <c r="I29" s="2" t="s">
        <v>519</v>
      </c>
      <c r="J29" s="2" t="s">
        <v>28</v>
      </c>
      <c r="K29" s="2" t="s">
        <v>17</v>
      </c>
      <c r="L29" s="2" t="s">
        <v>20</v>
      </c>
      <c r="M29" s="2" t="s">
        <v>520</v>
      </c>
      <c r="N29" s="3">
        <v>2</v>
      </c>
      <c r="O29" s="3">
        <v>50</v>
      </c>
    </row>
    <row r="30" spans="1:15" x14ac:dyDescent="0.15">
      <c r="A30" s="5">
        <v>82810</v>
      </c>
      <c r="B30" s="2" t="s">
        <v>67</v>
      </c>
      <c r="C30" s="2" t="s">
        <v>67</v>
      </c>
      <c r="D30" s="2" t="s">
        <v>521</v>
      </c>
      <c r="E30" s="2" t="s">
        <v>62</v>
      </c>
      <c r="F30" s="2" t="s">
        <v>71</v>
      </c>
      <c r="G30" s="2" t="s">
        <v>62</v>
      </c>
      <c r="H30" s="2" t="s">
        <v>14</v>
      </c>
      <c r="I30" s="2" t="s">
        <v>522</v>
      </c>
      <c r="J30" s="2" t="s">
        <v>28</v>
      </c>
      <c r="K30" s="2" t="s">
        <v>17</v>
      </c>
      <c r="L30" s="2" t="s">
        <v>20</v>
      </c>
      <c r="M30" s="2" t="s">
        <v>523</v>
      </c>
      <c r="N30" s="3">
        <v>0</v>
      </c>
      <c r="O30" s="3">
        <v>0</v>
      </c>
    </row>
    <row r="31" spans="1:15" x14ac:dyDescent="0.15">
      <c r="A31" s="5">
        <v>82837</v>
      </c>
      <c r="B31" s="2" t="s">
        <v>74</v>
      </c>
      <c r="C31" s="2" t="s">
        <v>524</v>
      </c>
      <c r="D31" s="2" t="s">
        <v>525</v>
      </c>
      <c r="E31" s="2" t="s">
        <v>89</v>
      </c>
      <c r="F31" s="2" t="s">
        <v>388</v>
      </c>
      <c r="G31" s="2" t="s">
        <v>89</v>
      </c>
      <c r="H31" s="2" t="s">
        <v>14</v>
      </c>
      <c r="I31" s="2" t="s">
        <v>526</v>
      </c>
      <c r="J31" s="2" t="s">
        <v>28</v>
      </c>
      <c r="K31" s="2" t="s">
        <v>17</v>
      </c>
      <c r="L31" s="2" t="s">
        <v>20</v>
      </c>
      <c r="M31" s="2" t="s">
        <v>527</v>
      </c>
      <c r="N31" s="3">
        <v>1</v>
      </c>
      <c r="O31" s="3">
        <v>25</v>
      </c>
    </row>
    <row r="32" spans="1:15" x14ac:dyDescent="0.15">
      <c r="A32" s="5">
        <v>82911</v>
      </c>
      <c r="B32" s="2" t="s">
        <v>528</v>
      </c>
      <c r="C32" s="2" t="s">
        <v>529</v>
      </c>
      <c r="D32" s="2" t="s">
        <v>530</v>
      </c>
      <c r="E32" s="2" t="s">
        <v>89</v>
      </c>
      <c r="F32" s="2" t="s">
        <v>38</v>
      </c>
      <c r="G32" s="2" t="s">
        <v>89</v>
      </c>
      <c r="H32" s="2" t="s">
        <v>14</v>
      </c>
      <c r="I32" s="2" t="s">
        <v>531</v>
      </c>
      <c r="J32" s="2" t="s">
        <v>28</v>
      </c>
      <c r="K32" s="2" t="s">
        <v>17</v>
      </c>
      <c r="L32" s="2" t="s">
        <v>20</v>
      </c>
      <c r="M32" s="2" t="s">
        <v>532</v>
      </c>
      <c r="N32" s="3">
        <v>2</v>
      </c>
      <c r="O32" s="3">
        <v>50</v>
      </c>
    </row>
    <row r="33" spans="1:15" x14ac:dyDescent="0.15">
      <c r="A33" s="5">
        <v>82949</v>
      </c>
      <c r="B33" s="2" t="s">
        <v>533</v>
      </c>
      <c r="C33" s="2" t="s">
        <v>534</v>
      </c>
      <c r="D33" s="2" t="s">
        <v>535</v>
      </c>
      <c r="E33" s="2" t="s">
        <v>32</v>
      </c>
      <c r="F33" s="2" t="s">
        <v>44</v>
      </c>
      <c r="G33" s="2" t="s">
        <v>32</v>
      </c>
      <c r="H33" s="2" t="s">
        <v>14</v>
      </c>
      <c r="I33" s="2" t="s">
        <v>536</v>
      </c>
      <c r="J33" s="2" t="s">
        <v>28</v>
      </c>
      <c r="K33" s="2" t="s">
        <v>17</v>
      </c>
      <c r="L33" s="2" t="s">
        <v>20</v>
      </c>
      <c r="M33" s="2" t="s">
        <v>537</v>
      </c>
      <c r="N33" s="3">
        <v>2</v>
      </c>
      <c r="O33" s="3">
        <v>50</v>
      </c>
    </row>
    <row r="34" spans="1:15" x14ac:dyDescent="0.15">
      <c r="A34" s="5">
        <v>82951</v>
      </c>
      <c r="B34" s="2" t="s">
        <v>20</v>
      </c>
      <c r="C34" s="2" t="s">
        <v>538</v>
      </c>
      <c r="D34" s="2" t="s">
        <v>530</v>
      </c>
      <c r="E34" s="2" t="s">
        <v>89</v>
      </c>
      <c r="F34" s="2" t="s">
        <v>23</v>
      </c>
      <c r="G34" s="2" t="s">
        <v>89</v>
      </c>
      <c r="H34" s="2" t="s">
        <v>14</v>
      </c>
      <c r="I34" s="2" t="s">
        <v>539</v>
      </c>
      <c r="J34" s="2" t="s">
        <v>28</v>
      </c>
      <c r="K34" s="2" t="s">
        <v>17</v>
      </c>
      <c r="L34" s="2" t="s">
        <v>20</v>
      </c>
      <c r="M34" s="2" t="s">
        <v>540</v>
      </c>
      <c r="N34" s="3">
        <v>2</v>
      </c>
      <c r="O34" s="3">
        <v>50</v>
      </c>
    </row>
    <row r="35" spans="1:15" x14ac:dyDescent="0.15">
      <c r="A35" s="5">
        <v>82965</v>
      </c>
      <c r="B35" s="2" t="s">
        <v>541</v>
      </c>
      <c r="C35" s="2" t="s">
        <v>542</v>
      </c>
      <c r="D35" s="2" t="s">
        <v>543</v>
      </c>
      <c r="E35" s="2" t="s">
        <v>89</v>
      </c>
      <c r="F35" s="2" t="s">
        <v>23</v>
      </c>
      <c r="G35" s="2" t="s">
        <v>89</v>
      </c>
      <c r="H35" s="2" t="s">
        <v>14</v>
      </c>
      <c r="I35" s="2" t="s">
        <v>544</v>
      </c>
      <c r="J35" s="2" t="s">
        <v>28</v>
      </c>
      <c r="K35" s="2" t="s">
        <v>26</v>
      </c>
      <c r="L35" s="2" t="s">
        <v>68</v>
      </c>
      <c r="M35" s="2" t="s">
        <v>545</v>
      </c>
      <c r="N35" s="3">
        <v>2</v>
      </c>
      <c r="O35" s="3">
        <v>50</v>
      </c>
    </row>
    <row r="36" spans="1:15" x14ac:dyDescent="0.15">
      <c r="A36" s="5">
        <v>82989</v>
      </c>
      <c r="B36" s="2" t="s">
        <v>546</v>
      </c>
      <c r="C36" s="2" t="s">
        <v>547</v>
      </c>
      <c r="D36" s="2" t="s">
        <v>548</v>
      </c>
      <c r="E36" s="2" t="s">
        <v>62</v>
      </c>
      <c r="F36" s="2" t="s">
        <v>549</v>
      </c>
      <c r="G36" s="2" t="s">
        <v>62</v>
      </c>
      <c r="H36" s="2" t="s">
        <v>14</v>
      </c>
      <c r="I36" s="2" t="s">
        <v>550</v>
      </c>
      <c r="J36" s="2" t="s">
        <v>28</v>
      </c>
      <c r="K36" s="2" t="s">
        <v>17</v>
      </c>
      <c r="L36" s="2" t="s">
        <v>20</v>
      </c>
      <c r="M36" s="2" t="s">
        <v>551</v>
      </c>
      <c r="N36" s="3">
        <v>2</v>
      </c>
      <c r="O36" s="3">
        <v>50</v>
      </c>
    </row>
    <row r="37" spans="1:15" x14ac:dyDescent="0.15">
      <c r="A37" s="5">
        <v>82995</v>
      </c>
      <c r="B37" s="2" t="s">
        <v>552</v>
      </c>
      <c r="C37" s="2" t="s">
        <v>553</v>
      </c>
      <c r="D37" s="2" t="s">
        <v>554</v>
      </c>
      <c r="E37" s="2" t="s">
        <v>89</v>
      </c>
      <c r="F37" s="2" t="s">
        <v>36</v>
      </c>
      <c r="G37" s="2" t="s">
        <v>89</v>
      </c>
      <c r="H37" s="2" t="s">
        <v>14</v>
      </c>
      <c r="I37" s="2" t="s">
        <v>555</v>
      </c>
      <c r="J37" s="2" t="s">
        <v>28</v>
      </c>
      <c r="K37" s="2" t="s">
        <v>17</v>
      </c>
      <c r="L37" s="2" t="s">
        <v>20</v>
      </c>
      <c r="M37" s="2" t="s">
        <v>556</v>
      </c>
      <c r="N37" s="3">
        <v>2</v>
      </c>
      <c r="O37" s="3">
        <v>50</v>
      </c>
    </row>
    <row r="38" spans="1:15" x14ac:dyDescent="0.15">
      <c r="A38" s="5">
        <v>83002</v>
      </c>
      <c r="B38" s="2" t="s">
        <v>557</v>
      </c>
      <c r="C38" s="2" t="s">
        <v>558</v>
      </c>
      <c r="D38" s="2" t="s">
        <v>559</v>
      </c>
      <c r="E38" s="2" t="s">
        <v>32</v>
      </c>
      <c r="F38" s="2" t="s">
        <v>286</v>
      </c>
      <c r="G38" s="2" t="s">
        <v>32</v>
      </c>
      <c r="H38" s="2" t="s">
        <v>14</v>
      </c>
      <c r="I38" s="2" t="s">
        <v>560</v>
      </c>
      <c r="J38" s="2" t="s">
        <v>28</v>
      </c>
      <c r="K38" s="2" t="s">
        <v>17</v>
      </c>
      <c r="L38" s="2" t="s">
        <v>20</v>
      </c>
      <c r="M38" s="2" t="s">
        <v>561</v>
      </c>
      <c r="N38" s="3">
        <v>1</v>
      </c>
      <c r="O38" s="3">
        <v>25</v>
      </c>
    </row>
    <row r="39" spans="1:15" x14ac:dyDescent="0.15">
      <c r="A39" s="5">
        <v>83016</v>
      </c>
      <c r="B39" s="2" t="s">
        <v>562</v>
      </c>
      <c r="C39" s="2" t="s">
        <v>563</v>
      </c>
      <c r="D39" s="2" t="s">
        <v>564</v>
      </c>
      <c r="E39" s="2" t="s">
        <v>32</v>
      </c>
      <c r="F39" s="2" t="s">
        <v>38</v>
      </c>
      <c r="G39" s="2" t="s">
        <v>32</v>
      </c>
      <c r="H39" s="2" t="s">
        <v>14</v>
      </c>
      <c r="I39" s="2" t="s">
        <v>565</v>
      </c>
      <c r="J39" s="2" t="s">
        <v>28</v>
      </c>
      <c r="K39" s="2" t="s">
        <v>17</v>
      </c>
      <c r="L39" s="2" t="s">
        <v>20</v>
      </c>
      <c r="M39" s="2" t="s">
        <v>566</v>
      </c>
      <c r="N39" s="3">
        <v>0</v>
      </c>
      <c r="O39" s="3">
        <v>0</v>
      </c>
    </row>
    <row r="40" spans="1:15" x14ac:dyDescent="0.15">
      <c r="A40" s="5">
        <v>83064</v>
      </c>
      <c r="B40" s="2" t="s">
        <v>567</v>
      </c>
      <c r="C40" s="2" t="s">
        <v>568</v>
      </c>
      <c r="D40" s="2" t="s">
        <v>569</v>
      </c>
      <c r="E40" s="2" t="s">
        <v>32</v>
      </c>
      <c r="F40" s="2" t="s">
        <v>23</v>
      </c>
      <c r="G40" s="2" t="s">
        <v>32</v>
      </c>
      <c r="H40" s="2" t="s">
        <v>14</v>
      </c>
      <c r="I40" s="2" t="s">
        <v>570</v>
      </c>
      <c r="J40" s="2" t="s">
        <v>28</v>
      </c>
      <c r="K40" s="2" t="s">
        <v>17</v>
      </c>
      <c r="L40" s="2" t="s">
        <v>20</v>
      </c>
      <c r="M40" s="2" t="s">
        <v>571</v>
      </c>
      <c r="N40" s="3">
        <v>1</v>
      </c>
      <c r="O40" s="3">
        <v>25</v>
      </c>
    </row>
    <row r="41" spans="1:15" x14ac:dyDescent="0.15">
      <c r="A41" s="5">
        <v>83111</v>
      </c>
      <c r="B41" s="2" t="s">
        <v>572</v>
      </c>
      <c r="C41" s="2" t="s">
        <v>573</v>
      </c>
      <c r="D41" s="2" t="s">
        <v>574</v>
      </c>
      <c r="E41" s="2" t="s">
        <v>62</v>
      </c>
      <c r="F41" s="2" t="s">
        <v>58</v>
      </c>
      <c r="G41" s="2" t="s">
        <v>62</v>
      </c>
      <c r="H41" s="2" t="s">
        <v>14</v>
      </c>
      <c r="I41" s="2" t="s">
        <v>575</v>
      </c>
      <c r="J41" s="2" t="s">
        <v>28</v>
      </c>
      <c r="K41" s="2" t="s">
        <v>17</v>
      </c>
      <c r="L41" s="2" t="s">
        <v>20</v>
      </c>
      <c r="M41" s="2" t="s">
        <v>576</v>
      </c>
      <c r="N41" s="3">
        <v>2</v>
      </c>
      <c r="O41" s="3">
        <v>50</v>
      </c>
    </row>
    <row r="42" spans="1:15" x14ac:dyDescent="0.15">
      <c r="A42" s="5">
        <v>83142</v>
      </c>
      <c r="B42" s="2" t="s">
        <v>577</v>
      </c>
      <c r="C42" s="2" t="s">
        <v>578</v>
      </c>
      <c r="D42" s="2" t="s">
        <v>579</v>
      </c>
      <c r="E42" s="2" t="s">
        <v>89</v>
      </c>
      <c r="F42" s="2" t="s">
        <v>136</v>
      </c>
      <c r="G42" s="2" t="s">
        <v>89</v>
      </c>
      <c r="H42" s="2" t="s">
        <v>14</v>
      </c>
      <c r="I42" s="2" t="s">
        <v>580</v>
      </c>
      <c r="J42" s="2" t="s">
        <v>28</v>
      </c>
      <c r="K42" s="2" t="s">
        <v>17</v>
      </c>
      <c r="L42" s="2" t="s">
        <v>20</v>
      </c>
      <c r="M42" s="2" t="s">
        <v>581</v>
      </c>
      <c r="N42" s="3">
        <v>1</v>
      </c>
      <c r="O42" s="3">
        <v>25</v>
      </c>
    </row>
    <row r="43" spans="1:15" x14ac:dyDescent="0.15">
      <c r="A43" s="5">
        <v>83241</v>
      </c>
      <c r="B43" s="2" t="s">
        <v>42</v>
      </c>
      <c r="C43" s="2" t="s">
        <v>582</v>
      </c>
      <c r="D43" s="2" t="s">
        <v>583</v>
      </c>
      <c r="E43" s="2" t="s">
        <v>62</v>
      </c>
      <c r="F43" s="2" t="s">
        <v>549</v>
      </c>
      <c r="G43" s="2" t="s">
        <v>62</v>
      </c>
      <c r="H43" s="2" t="s">
        <v>14</v>
      </c>
      <c r="I43" s="2" t="s">
        <v>584</v>
      </c>
      <c r="J43" s="2" t="s">
        <v>28</v>
      </c>
      <c r="K43" s="2" t="s">
        <v>17</v>
      </c>
      <c r="L43" s="2" t="s">
        <v>20</v>
      </c>
      <c r="M43" s="2" t="s">
        <v>585</v>
      </c>
      <c r="N43" s="3">
        <v>2</v>
      </c>
      <c r="O43" s="3">
        <v>50</v>
      </c>
    </row>
    <row r="44" spans="1:15" x14ac:dyDescent="0.15">
      <c r="A44" s="5">
        <v>83256</v>
      </c>
      <c r="B44" s="2" t="s">
        <v>586</v>
      </c>
      <c r="C44" s="2" t="s">
        <v>587</v>
      </c>
      <c r="D44" s="2" t="s">
        <v>588</v>
      </c>
      <c r="E44" s="2" t="s">
        <v>89</v>
      </c>
      <c r="F44" s="2" t="s">
        <v>21</v>
      </c>
      <c r="G44" s="2" t="s">
        <v>89</v>
      </c>
      <c r="H44" s="2" t="s">
        <v>14</v>
      </c>
      <c r="I44" s="2" t="s">
        <v>589</v>
      </c>
      <c r="J44" s="2" t="s">
        <v>28</v>
      </c>
      <c r="K44" s="2" t="s">
        <v>17</v>
      </c>
      <c r="L44" s="2" t="s">
        <v>20</v>
      </c>
      <c r="M44" s="2" t="s">
        <v>590</v>
      </c>
      <c r="N44" s="3">
        <v>2</v>
      </c>
      <c r="O44" s="3">
        <v>50</v>
      </c>
    </row>
    <row r="45" spans="1:15" x14ac:dyDescent="0.15">
      <c r="A45" s="5">
        <v>83384</v>
      </c>
      <c r="B45" s="2" t="s">
        <v>591</v>
      </c>
      <c r="C45" s="2" t="s">
        <v>592</v>
      </c>
      <c r="D45" s="2" t="s">
        <v>593</v>
      </c>
      <c r="E45" s="2" t="s">
        <v>32</v>
      </c>
      <c r="F45" s="2" t="s">
        <v>23</v>
      </c>
      <c r="G45" s="2" t="s">
        <v>32</v>
      </c>
      <c r="H45" s="2" t="s">
        <v>14</v>
      </c>
      <c r="I45" s="2" t="s">
        <v>594</v>
      </c>
      <c r="J45" s="2" t="s">
        <v>28</v>
      </c>
      <c r="K45" s="2" t="s">
        <v>17</v>
      </c>
      <c r="L45" s="2" t="s">
        <v>20</v>
      </c>
      <c r="M45" s="2" t="s">
        <v>595</v>
      </c>
      <c r="N45" s="3">
        <v>1</v>
      </c>
      <c r="O45" s="3">
        <v>25</v>
      </c>
    </row>
    <row r="46" spans="1:15" x14ac:dyDescent="0.15">
      <c r="A46" s="5">
        <v>83419</v>
      </c>
      <c r="B46" s="2" t="s">
        <v>248</v>
      </c>
      <c r="C46" s="2" t="s">
        <v>596</v>
      </c>
      <c r="D46" s="2" t="s">
        <v>597</v>
      </c>
      <c r="E46" s="2" t="s">
        <v>62</v>
      </c>
      <c r="F46" s="2" t="s">
        <v>25</v>
      </c>
      <c r="G46" s="2" t="s">
        <v>62</v>
      </c>
      <c r="H46" s="2" t="s">
        <v>14</v>
      </c>
      <c r="I46" s="2" t="s">
        <v>598</v>
      </c>
      <c r="J46" s="2" t="s">
        <v>28</v>
      </c>
      <c r="K46" s="2" t="s">
        <v>17</v>
      </c>
      <c r="L46" s="2" t="s">
        <v>20</v>
      </c>
      <c r="M46" s="2" t="s">
        <v>599</v>
      </c>
      <c r="N46" s="3">
        <v>0</v>
      </c>
      <c r="O46" s="3">
        <v>0</v>
      </c>
    </row>
    <row r="47" spans="1:15" x14ac:dyDescent="0.15">
      <c r="A47" s="5">
        <v>83431</v>
      </c>
      <c r="B47" s="2" t="s">
        <v>600</v>
      </c>
      <c r="C47" s="2" t="s">
        <v>601</v>
      </c>
      <c r="D47" s="2" t="s">
        <v>602</v>
      </c>
      <c r="E47" s="2" t="s">
        <v>32</v>
      </c>
      <c r="F47" s="2" t="s">
        <v>15</v>
      </c>
      <c r="G47" s="2" t="s">
        <v>32</v>
      </c>
      <c r="H47" s="2" t="s">
        <v>14</v>
      </c>
      <c r="I47" s="2" t="s">
        <v>603</v>
      </c>
      <c r="J47" s="2" t="s">
        <v>28</v>
      </c>
      <c r="K47" s="2" t="s">
        <v>17</v>
      </c>
      <c r="L47" s="2" t="s">
        <v>20</v>
      </c>
      <c r="M47" s="2" t="s">
        <v>604</v>
      </c>
      <c r="N47" s="3">
        <v>1</v>
      </c>
      <c r="O47" s="3">
        <v>25</v>
      </c>
    </row>
    <row r="48" spans="1:15" x14ac:dyDescent="0.15">
      <c r="A48" s="5">
        <v>83449</v>
      </c>
      <c r="B48" s="2" t="s">
        <v>605</v>
      </c>
      <c r="C48" s="2" t="s">
        <v>606</v>
      </c>
      <c r="D48" s="2" t="s">
        <v>607</v>
      </c>
      <c r="E48" s="2" t="s">
        <v>62</v>
      </c>
      <c r="F48" s="2" t="s">
        <v>22</v>
      </c>
      <c r="G48" s="2" t="s">
        <v>62</v>
      </c>
      <c r="H48" s="2" t="s">
        <v>14</v>
      </c>
      <c r="I48" s="2" t="s">
        <v>608</v>
      </c>
      <c r="J48" s="2" t="s">
        <v>28</v>
      </c>
      <c r="K48" s="2" t="s">
        <v>17</v>
      </c>
      <c r="L48" s="2" t="s">
        <v>20</v>
      </c>
      <c r="M48" s="2" t="s">
        <v>609</v>
      </c>
      <c r="N48" s="3">
        <v>0</v>
      </c>
      <c r="O48" s="3">
        <v>0</v>
      </c>
    </row>
    <row r="49" spans="1:15" x14ac:dyDescent="0.15">
      <c r="A49" s="5">
        <v>83573</v>
      </c>
      <c r="B49" s="2" t="s">
        <v>610</v>
      </c>
      <c r="C49" s="2" t="s">
        <v>611</v>
      </c>
      <c r="D49" s="2" t="s">
        <v>612</v>
      </c>
      <c r="E49" s="2" t="s">
        <v>62</v>
      </c>
      <c r="F49" s="2" t="s">
        <v>23</v>
      </c>
      <c r="G49" s="2" t="s">
        <v>62</v>
      </c>
      <c r="H49" s="2" t="s">
        <v>14</v>
      </c>
      <c r="I49" s="2" t="s">
        <v>613</v>
      </c>
      <c r="J49" s="2" t="s">
        <v>28</v>
      </c>
      <c r="K49" s="2" t="s">
        <v>17</v>
      </c>
      <c r="L49" s="2" t="s">
        <v>20</v>
      </c>
      <c r="M49" s="2" t="s">
        <v>614</v>
      </c>
      <c r="N49" s="3">
        <v>1</v>
      </c>
      <c r="O49" s="3">
        <v>25</v>
      </c>
    </row>
    <row r="50" spans="1:15" x14ac:dyDescent="0.15">
      <c r="A50" s="5">
        <v>83588</v>
      </c>
      <c r="B50" s="2" t="s">
        <v>615</v>
      </c>
      <c r="C50" s="2" t="s">
        <v>616</v>
      </c>
      <c r="D50" s="2" t="s">
        <v>617</v>
      </c>
      <c r="E50" s="2" t="s">
        <v>62</v>
      </c>
      <c r="F50" s="2" t="s">
        <v>25</v>
      </c>
      <c r="G50" s="2" t="s">
        <v>62</v>
      </c>
      <c r="H50" s="2" t="s">
        <v>14</v>
      </c>
      <c r="I50" s="2" t="s">
        <v>618</v>
      </c>
      <c r="J50" s="2" t="s">
        <v>28</v>
      </c>
      <c r="K50" s="2" t="s">
        <v>17</v>
      </c>
      <c r="L50" s="2" t="s">
        <v>20</v>
      </c>
      <c r="M50" s="2" t="s">
        <v>619</v>
      </c>
      <c r="N50" s="3">
        <v>1</v>
      </c>
      <c r="O50" s="3">
        <v>25</v>
      </c>
    </row>
    <row r="51" spans="1:15" x14ac:dyDescent="0.15">
      <c r="A51" s="5">
        <v>83598</v>
      </c>
      <c r="B51" s="2" t="s">
        <v>620</v>
      </c>
      <c r="C51" s="2" t="s">
        <v>621</v>
      </c>
      <c r="D51" s="2" t="s">
        <v>622</v>
      </c>
      <c r="E51" s="2" t="s">
        <v>89</v>
      </c>
      <c r="F51" s="2" t="s">
        <v>58</v>
      </c>
      <c r="G51" s="2" t="s">
        <v>89</v>
      </c>
      <c r="H51" s="2" t="s">
        <v>14</v>
      </c>
      <c r="I51" s="2" t="s">
        <v>623</v>
      </c>
      <c r="J51" s="2" t="s">
        <v>28</v>
      </c>
      <c r="K51" s="2" t="s">
        <v>17</v>
      </c>
      <c r="L51" s="2" t="s">
        <v>20</v>
      </c>
      <c r="M51" s="2" t="s">
        <v>624</v>
      </c>
      <c r="N51" s="3">
        <v>2</v>
      </c>
      <c r="O51" s="3">
        <v>50</v>
      </c>
    </row>
    <row r="52" spans="1:15" x14ac:dyDescent="0.15">
      <c r="A52" s="5">
        <v>83762</v>
      </c>
      <c r="B52" s="2" t="s">
        <v>625</v>
      </c>
      <c r="C52" s="2" t="s">
        <v>51</v>
      </c>
      <c r="D52" s="2" t="s">
        <v>626</v>
      </c>
      <c r="E52" s="2" t="s">
        <v>32</v>
      </c>
      <c r="F52" s="2" t="s">
        <v>69</v>
      </c>
      <c r="G52" s="2" t="s">
        <v>32</v>
      </c>
      <c r="H52" s="2" t="s">
        <v>14</v>
      </c>
      <c r="I52" s="2" t="s">
        <v>627</v>
      </c>
      <c r="J52" s="2" t="s">
        <v>28</v>
      </c>
      <c r="K52" s="2" t="s">
        <v>17</v>
      </c>
      <c r="L52" s="2" t="s">
        <v>20</v>
      </c>
      <c r="M52" s="2" t="s">
        <v>628</v>
      </c>
      <c r="N52" s="3">
        <v>1</v>
      </c>
      <c r="O52" s="3">
        <v>25</v>
      </c>
    </row>
    <row r="53" spans="1:15" x14ac:dyDescent="0.15">
      <c r="A53" s="5">
        <v>83900</v>
      </c>
      <c r="B53" s="2" t="s">
        <v>70</v>
      </c>
      <c r="C53" s="2" t="s">
        <v>629</v>
      </c>
      <c r="D53" s="2" t="s">
        <v>630</v>
      </c>
      <c r="E53" s="2" t="s">
        <v>32</v>
      </c>
      <c r="F53" s="2" t="s">
        <v>60</v>
      </c>
      <c r="G53" s="2" t="s">
        <v>32</v>
      </c>
      <c r="H53" s="2" t="s">
        <v>14</v>
      </c>
      <c r="I53" s="2" t="s">
        <v>631</v>
      </c>
      <c r="J53" s="2" t="s">
        <v>28</v>
      </c>
      <c r="K53" s="2" t="s">
        <v>17</v>
      </c>
      <c r="L53" s="2" t="s">
        <v>20</v>
      </c>
      <c r="M53" s="2" t="s">
        <v>632</v>
      </c>
      <c r="N53" s="3">
        <v>1</v>
      </c>
      <c r="O53" s="3">
        <v>25</v>
      </c>
    </row>
    <row r="54" spans="1:15" x14ac:dyDescent="0.15">
      <c r="A54" s="5">
        <v>83961</v>
      </c>
      <c r="B54" s="2" t="s">
        <v>633</v>
      </c>
      <c r="C54" s="2" t="s">
        <v>634</v>
      </c>
      <c r="D54" s="2" t="s">
        <v>635</v>
      </c>
      <c r="E54" s="2" t="s">
        <v>89</v>
      </c>
      <c r="F54" s="2" t="s">
        <v>44</v>
      </c>
      <c r="G54" s="2" t="s">
        <v>89</v>
      </c>
      <c r="H54" s="2" t="s">
        <v>14</v>
      </c>
      <c r="I54" s="2" t="s">
        <v>636</v>
      </c>
      <c r="J54" s="2" t="s">
        <v>28</v>
      </c>
      <c r="K54" s="2" t="s">
        <v>17</v>
      </c>
      <c r="L54" s="2" t="s">
        <v>20</v>
      </c>
      <c r="M54" s="2" t="s">
        <v>637</v>
      </c>
      <c r="N54" s="3">
        <v>2</v>
      </c>
      <c r="O54" s="3">
        <v>50</v>
      </c>
    </row>
    <row r="55" spans="1:15" x14ac:dyDescent="0.15">
      <c r="A55" s="5">
        <v>84092</v>
      </c>
      <c r="B55" s="2" t="s">
        <v>64</v>
      </c>
      <c r="C55" s="2" t="s">
        <v>638</v>
      </c>
      <c r="D55" s="2" t="s">
        <v>639</v>
      </c>
      <c r="E55" s="2" t="s">
        <v>62</v>
      </c>
      <c r="F55" s="2" t="s">
        <v>65</v>
      </c>
      <c r="G55" s="2" t="s">
        <v>62</v>
      </c>
      <c r="H55" s="2" t="s">
        <v>14</v>
      </c>
      <c r="I55" s="2" t="s">
        <v>640</v>
      </c>
      <c r="J55" s="2" t="s">
        <v>28</v>
      </c>
      <c r="K55" s="2" t="s">
        <v>17</v>
      </c>
      <c r="L55" s="2" t="s">
        <v>20</v>
      </c>
      <c r="M55" s="2" t="s">
        <v>641</v>
      </c>
      <c r="N55" s="3">
        <v>2</v>
      </c>
      <c r="O55" s="3">
        <v>50</v>
      </c>
    </row>
    <row r="56" spans="1:15" x14ac:dyDescent="0.15">
      <c r="A56" s="5">
        <v>84097</v>
      </c>
      <c r="B56" s="2" t="s">
        <v>642</v>
      </c>
      <c r="C56" s="2" t="s">
        <v>643</v>
      </c>
      <c r="D56" s="2" t="s">
        <v>644</v>
      </c>
      <c r="E56" s="2" t="s">
        <v>62</v>
      </c>
      <c r="F56" s="2" t="s">
        <v>60</v>
      </c>
      <c r="G56" s="2" t="s">
        <v>62</v>
      </c>
      <c r="H56" s="2" t="s">
        <v>14</v>
      </c>
      <c r="I56" s="2" t="s">
        <v>645</v>
      </c>
      <c r="J56" s="2" t="s">
        <v>28</v>
      </c>
      <c r="K56" s="2" t="s">
        <v>17</v>
      </c>
      <c r="L56" s="2" t="s">
        <v>20</v>
      </c>
      <c r="M56" s="2" t="s">
        <v>646</v>
      </c>
      <c r="N56" s="3">
        <v>3</v>
      </c>
      <c r="O56" s="3">
        <v>75</v>
      </c>
    </row>
    <row r="57" spans="1:15" x14ac:dyDescent="0.15">
      <c r="A57" s="5">
        <v>84220</v>
      </c>
      <c r="B57" s="2" t="s">
        <v>647</v>
      </c>
      <c r="C57" s="2" t="s">
        <v>648</v>
      </c>
      <c r="D57" s="2" t="s">
        <v>649</v>
      </c>
      <c r="E57" s="2" t="s">
        <v>89</v>
      </c>
      <c r="F57" s="2" t="s">
        <v>57</v>
      </c>
      <c r="G57" s="2" t="s">
        <v>89</v>
      </c>
      <c r="H57" s="2" t="s">
        <v>14</v>
      </c>
      <c r="I57" s="2" t="s">
        <v>650</v>
      </c>
      <c r="J57" s="2" t="s">
        <v>28</v>
      </c>
      <c r="K57" s="2" t="s">
        <v>17</v>
      </c>
      <c r="L57" s="2" t="s">
        <v>20</v>
      </c>
      <c r="M57" s="2" t="s">
        <v>651</v>
      </c>
      <c r="N57" s="3">
        <v>3</v>
      </c>
      <c r="O57" s="3">
        <v>75</v>
      </c>
    </row>
    <row r="58" spans="1:15" x14ac:dyDescent="0.15">
      <c r="O58" s="9">
        <f>SUM(O4:O57)</f>
        <v>1876</v>
      </c>
    </row>
    <row r="62" spans="1:15" x14ac:dyDescent="0.15">
      <c r="L62" s="6" t="s">
        <v>861</v>
      </c>
      <c r="M62" s="6"/>
      <c r="N62" s="7">
        <f>O58</f>
        <v>1876</v>
      </c>
      <c r="O62" s="7" t="s">
        <v>659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Repuestos Junio</vt:lpstr>
      <vt:lpstr>Repuestos Julio</vt:lpstr>
      <vt:lpstr> Junio Horas Tecnico</vt:lpstr>
      <vt:lpstr>Julio Horas Tecnico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Cristian Merlo</cp:lastModifiedBy>
  <cp:revision/>
  <dcterms:created xsi:type="dcterms:W3CDTF">2025-07-16T15:20:18Z</dcterms:created>
  <dcterms:modified xsi:type="dcterms:W3CDTF">2025-12-12T14:18:42Z</dcterms:modified>
  <cp:category/>
  <cp:contentStatus/>
</cp:coreProperties>
</file>