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R1S714N/Documents/Repositorios GitHub/Franquicias/CALCULO DE HORAS/2026/Procesados/"/>
    </mc:Choice>
  </mc:AlternateContent>
  <xr:revisionPtr revIDLastSave="0" documentId="13_ncr:1_{C89FFD88-C0FD-924C-A500-5F5BFC34ABCD}" xr6:coauthVersionLast="47" xr6:coauthVersionMax="47" xr10:uidLastSave="{00000000-0000-0000-0000-000000000000}"/>
  <bookViews>
    <workbookView xWindow="1060" yWindow="740" windowWidth="23260" windowHeight="12460" xr2:uid="{977EE619-172F-45F4-82D2-63D62265586E}"/>
  </bookViews>
  <sheets>
    <sheet name="Margen de ganancia" sheetId="1" r:id="rId1"/>
    <sheet name="REPUESTOS" sheetId="3" r:id="rId2"/>
  </sheets>
  <definedNames>
    <definedName name="_xlnm._FilterDatabase" localSheetId="0" hidden="1">'Margen de ganancia'!$A$1:$I$71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" i="1" l="1"/>
  <c r="I556" i="3"/>
  <c r="J556" i="3" s="1"/>
  <c r="I555" i="3"/>
  <c r="J555" i="3" s="1"/>
  <c r="I554" i="3"/>
  <c r="J554" i="3" s="1"/>
  <c r="I553" i="3"/>
  <c r="J553" i="3" s="1"/>
  <c r="I552" i="3"/>
  <c r="J552" i="3" s="1"/>
  <c r="I551" i="3"/>
  <c r="J551" i="3" s="1"/>
  <c r="I550" i="3"/>
  <c r="J550" i="3" s="1"/>
  <c r="I549" i="3"/>
  <c r="J549" i="3" s="1"/>
  <c r="I548" i="3"/>
  <c r="J548" i="3" s="1"/>
  <c r="I547" i="3"/>
  <c r="J547" i="3" s="1"/>
  <c r="I546" i="3"/>
  <c r="J546" i="3" s="1"/>
  <c r="I545" i="3"/>
  <c r="J545" i="3" s="1"/>
  <c r="I544" i="3"/>
  <c r="J544" i="3" s="1"/>
  <c r="I543" i="3"/>
  <c r="J543" i="3" s="1"/>
  <c r="I542" i="3"/>
  <c r="J542" i="3" s="1"/>
  <c r="I541" i="3"/>
  <c r="J541" i="3" s="1"/>
  <c r="I540" i="3"/>
  <c r="J540" i="3" s="1"/>
  <c r="I539" i="3"/>
  <c r="J539" i="3" s="1"/>
  <c r="I538" i="3"/>
  <c r="J538" i="3" s="1"/>
  <c r="I537" i="3"/>
  <c r="J537" i="3" s="1"/>
  <c r="I536" i="3"/>
  <c r="J536" i="3" s="1"/>
  <c r="I535" i="3"/>
  <c r="J535" i="3" s="1"/>
  <c r="I534" i="3"/>
  <c r="J534" i="3" s="1"/>
  <c r="I533" i="3"/>
  <c r="J533" i="3" s="1"/>
  <c r="I532" i="3"/>
  <c r="J532" i="3" s="1"/>
  <c r="I531" i="3"/>
  <c r="J531" i="3" s="1"/>
  <c r="I530" i="3"/>
  <c r="J530" i="3" s="1"/>
  <c r="I529" i="3"/>
  <c r="J529" i="3" s="1"/>
  <c r="I528" i="3"/>
  <c r="J528" i="3" s="1"/>
  <c r="I527" i="3"/>
  <c r="J527" i="3" s="1"/>
  <c r="I526" i="3"/>
  <c r="J526" i="3" s="1"/>
  <c r="I525" i="3"/>
  <c r="J525" i="3" s="1"/>
  <c r="I524" i="3"/>
  <c r="J524" i="3" s="1"/>
  <c r="I523" i="3"/>
  <c r="J523" i="3" s="1"/>
  <c r="I522" i="3"/>
  <c r="J522" i="3" s="1"/>
  <c r="I521" i="3"/>
  <c r="J521" i="3" s="1"/>
  <c r="I520" i="3"/>
  <c r="J520" i="3" s="1"/>
  <c r="I519" i="3"/>
  <c r="J519" i="3" s="1"/>
  <c r="I518" i="3"/>
  <c r="J518" i="3" s="1"/>
  <c r="I517" i="3"/>
  <c r="J517" i="3" s="1"/>
  <c r="I516" i="3"/>
  <c r="J516" i="3" s="1"/>
  <c r="I515" i="3"/>
  <c r="J515" i="3" s="1"/>
  <c r="I514" i="3"/>
  <c r="J514" i="3" s="1"/>
  <c r="I513" i="3"/>
  <c r="J513" i="3" s="1"/>
  <c r="I512" i="3"/>
  <c r="J512" i="3" s="1"/>
  <c r="I511" i="3"/>
  <c r="J511" i="3" s="1"/>
  <c r="I510" i="3"/>
  <c r="J510" i="3" s="1"/>
  <c r="I509" i="3"/>
  <c r="J509" i="3" s="1"/>
  <c r="I508" i="3"/>
  <c r="J508" i="3" s="1"/>
  <c r="I507" i="3"/>
  <c r="J507" i="3" s="1"/>
  <c r="I506" i="3"/>
  <c r="J506" i="3" s="1"/>
  <c r="I505" i="3"/>
  <c r="J505" i="3" s="1"/>
  <c r="I504" i="3"/>
  <c r="J504" i="3" s="1"/>
  <c r="I503" i="3"/>
  <c r="J503" i="3" s="1"/>
  <c r="I502" i="3"/>
  <c r="J502" i="3" s="1"/>
  <c r="I501" i="3"/>
  <c r="J501" i="3" s="1"/>
  <c r="I500" i="3"/>
  <c r="J500" i="3" s="1"/>
  <c r="I499" i="3"/>
  <c r="J499" i="3" s="1"/>
  <c r="I498" i="3"/>
  <c r="J498" i="3" s="1"/>
  <c r="I497" i="3"/>
  <c r="J497" i="3" s="1"/>
  <c r="I496" i="3"/>
  <c r="J496" i="3" s="1"/>
  <c r="I495" i="3"/>
  <c r="J495" i="3" s="1"/>
  <c r="I494" i="3"/>
  <c r="J494" i="3" s="1"/>
  <c r="I493" i="3"/>
  <c r="J493" i="3" s="1"/>
  <c r="I492" i="3"/>
  <c r="J492" i="3" s="1"/>
  <c r="I491" i="3"/>
  <c r="J491" i="3" s="1"/>
  <c r="I490" i="3"/>
  <c r="J490" i="3" s="1"/>
  <c r="I489" i="3"/>
  <c r="J489" i="3" s="1"/>
  <c r="I488" i="3"/>
  <c r="J488" i="3" s="1"/>
  <c r="I487" i="3"/>
  <c r="I486" i="3"/>
  <c r="I485" i="3"/>
  <c r="I482" i="3"/>
  <c r="I474" i="3"/>
  <c r="J474" i="3" s="1"/>
  <c r="I472" i="3"/>
  <c r="J472" i="3" s="1"/>
  <c r="I470" i="3"/>
  <c r="J470" i="3" s="1"/>
  <c r="I468" i="3"/>
  <c r="J468" i="3" s="1"/>
  <c r="I467" i="3"/>
  <c r="J467" i="3" s="1"/>
  <c r="I466" i="3"/>
  <c r="J466" i="3" s="1"/>
  <c r="I465" i="3"/>
  <c r="J465" i="3" s="1"/>
  <c r="I464" i="3"/>
  <c r="J464" i="3" s="1"/>
  <c r="I463" i="3"/>
  <c r="J463" i="3" s="1"/>
  <c r="I443" i="3"/>
  <c r="J443" i="3" s="1"/>
  <c r="I442" i="3"/>
  <c r="J442" i="3" s="1"/>
  <c r="I441" i="3"/>
  <c r="J441" i="3" s="1"/>
  <c r="I440" i="3"/>
  <c r="J440" i="3" s="1"/>
  <c r="I439" i="3"/>
  <c r="J439" i="3" s="1"/>
  <c r="I438" i="3"/>
  <c r="J438" i="3" s="1"/>
  <c r="I437" i="3"/>
  <c r="J437" i="3" s="1"/>
  <c r="I436" i="3"/>
  <c r="J436" i="3" s="1"/>
  <c r="I435" i="3"/>
  <c r="J435" i="3" s="1"/>
  <c r="I434" i="3"/>
  <c r="J434" i="3" s="1"/>
  <c r="I433" i="3"/>
  <c r="J433" i="3" s="1"/>
  <c r="I432" i="3"/>
  <c r="J432" i="3" s="1"/>
  <c r="I431" i="3"/>
  <c r="J431" i="3" s="1"/>
  <c r="I430" i="3"/>
  <c r="J430" i="3" s="1"/>
  <c r="I429" i="3"/>
  <c r="J429" i="3" s="1"/>
  <c r="I428" i="3"/>
  <c r="J428" i="3" s="1"/>
  <c r="I427" i="3"/>
  <c r="I426" i="3"/>
  <c r="J426" i="3" s="1"/>
  <c r="I425" i="3"/>
  <c r="J425" i="3" s="1"/>
  <c r="I424" i="3"/>
  <c r="J424" i="3" s="1"/>
  <c r="I423" i="3"/>
  <c r="J423" i="3" s="1"/>
  <c r="I418" i="3"/>
  <c r="J418" i="3" s="1"/>
  <c r="I417" i="3"/>
  <c r="J417" i="3" s="1"/>
  <c r="I416" i="3"/>
  <c r="J416" i="3" s="1"/>
  <c r="I415" i="3"/>
  <c r="J415" i="3" s="1"/>
  <c r="I414" i="3"/>
  <c r="J414" i="3" s="1"/>
  <c r="I412" i="3"/>
  <c r="J412" i="3" s="1"/>
  <c r="I411" i="3"/>
  <c r="J411" i="3" s="1"/>
  <c r="I410" i="3"/>
  <c r="J410" i="3" s="1"/>
  <c r="I409" i="3"/>
  <c r="J409" i="3" s="1"/>
  <c r="I408" i="3"/>
  <c r="J408" i="3" s="1"/>
  <c r="I407" i="3"/>
  <c r="J407" i="3" s="1"/>
  <c r="I406" i="3"/>
  <c r="J406" i="3" s="1"/>
  <c r="I405" i="3"/>
  <c r="J405" i="3" s="1"/>
  <c r="I404" i="3"/>
  <c r="J404" i="3" s="1"/>
  <c r="I403" i="3"/>
  <c r="J403" i="3" s="1"/>
  <c r="I402" i="3"/>
  <c r="J402" i="3" s="1"/>
  <c r="I401" i="3"/>
  <c r="J401" i="3" s="1"/>
  <c r="I400" i="3"/>
  <c r="J400" i="3" s="1"/>
  <c r="I399" i="3"/>
  <c r="J399" i="3" s="1"/>
  <c r="I398" i="3"/>
  <c r="J398" i="3" s="1"/>
  <c r="I396" i="3"/>
  <c r="J396" i="3" s="1"/>
  <c r="I389" i="3"/>
  <c r="J389" i="3" s="1"/>
  <c r="I388" i="3"/>
  <c r="J388" i="3" s="1"/>
  <c r="I387" i="3"/>
  <c r="J387" i="3" s="1"/>
  <c r="I386" i="3"/>
  <c r="J386" i="3" s="1"/>
  <c r="I385" i="3"/>
  <c r="J385" i="3" s="1"/>
  <c r="I384" i="3"/>
  <c r="J384" i="3" s="1"/>
  <c r="I383" i="3"/>
  <c r="J383" i="3" s="1"/>
  <c r="I382" i="3"/>
  <c r="J382" i="3" s="1"/>
  <c r="I380" i="3"/>
  <c r="J380" i="3" s="1"/>
  <c r="I379" i="3"/>
  <c r="J379" i="3" s="1"/>
  <c r="I378" i="3"/>
  <c r="J378" i="3" s="1"/>
  <c r="I377" i="3"/>
  <c r="J377" i="3" s="1"/>
  <c r="I376" i="3"/>
  <c r="J376" i="3" s="1"/>
  <c r="I375" i="3"/>
  <c r="J375" i="3" s="1"/>
  <c r="I374" i="3"/>
  <c r="J374" i="3" s="1"/>
  <c r="I373" i="3"/>
  <c r="J373" i="3" s="1"/>
  <c r="I372" i="3"/>
  <c r="J372" i="3" s="1"/>
  <c r="I371" i="3"/>
  <c r="J371" i="3" s="1"/>
  <c r="I370" i="3"/>
  <c r="J370" i="3" s="1"/>
  <c r="I369" i="3"/>
  <c r="J369" i="3" s="1"/>
  <c r="I368" i="3"/>
  <c r="J368" i="3" s="1"/>
  <c r="I337" i="3"/>
  <c r="J337" i="3" s="1"/>
  <c r="I336" i="3"/>
  <c r="J336" i="3" s="1"/>
  <c r="H335" i="3"/>
  <c r="H334" i="3"/>
  <c r="H332" i="3"/>
  <c r="H331" i="3"/>
  <c r="H330" i="3"/>
  <c r="I329" i="3"/>
  <c r="J329" i="3" s="1"/>
  <c r="I328" i="3"/>
  <c r="J328" i="3" s="1"/>
  <c r="I327" i="3"/>
  <c r="J327" i="3" s="1"/>
  <c r="H326" i="3"/>
  <c r="H325" i="3"/>
  <c r="H323" i="3"/>
  <c r="I320" i="3"/>
  <c r="J320" i="3" s="1"/>
  <c r="I319" i="3"/>
  <c r="J319" i="3" s="1"/>
  <c r="I318" i="3"/>
  <c r="J318" i="3" s="1"/>
  <c r="I317" i="3"/>
  <c r="J317" i="3" s="1"/>
  <c r="I316" i="3"/>
  <c r="J316" i="3" s="1"/>
  <c r="I315" i="3"/>
  <c r="J315" i="3" s="1"/>
  <c r="I314" i="3"/>
  <c r="J314" i="3" s="1"/>
  <c r="I313" i="3"/>
  <c r="J313" i="3" s="1"/>
  <c r="I312" i="3"/>
  <c r="J312" i="3" s="1"/>
  <c r="I311" i="3"/>
  <c r="J311" i="3" s="1"/>
  <c r="I310" i="3"/>
  <c r="J310" i="3" s="1"/>
  <c r="I309" i="3"/>
  <c r="J309" i="3" s="1"/>
  <c r="I301" i="3"/>
  <c r="J301" i="3" s="1"/>
  <c r="I299" i="3"/>
  <c r="J299" i="3" s="1"/>
  <c r="H298" i="3"/>
  <c r="I297" i="3"/>
  <c r="J297" i="3" s="1"/>
  <c r="I296" i="3"/>
  <c r="J296" i="3" s="1"/>
  <c r="H292" i="3"/>
  <c r="I289" i="3"/>
  <c r="J289" i="3" s="1"/>
  <c r="I288" i="3"/>
  <c r="J288" i="3" s="1"/>
  <c r="I287" i="3"/>
  <c r="J287" i="3" s="1"/>
  <c r="I286" i="3"/>
  <c r="J286" i="3" s="1"/>
  <c r="I285" i="3"/>
  <c r="J285" i="3" s="1"/>
  <c r="I284" i="3"/>
  <c r="J284" i="3" s="1"/>
  <c r="I282" i="3"/>
  <c r="J282" i="3" s="1"/>
  <c r="I281" i="3"/>
  <c r="J281" i="3" s="1"/>
  <c r="I280" i="3"/>
  <c r="J280" i="3" s="1"/>
  <c r="I279" i="3"/>
  <c r="J279" i="3" s="1"/>
  <c r="I278" i="3"/>
  <c r="J278" i="3" s="1"/>
  <c r="I277" i="3"/>
  <c r="J277" i="3" s="1"/>
  <c r="I276" i="3"/>
  <c r="J276" i="3" s="1"/>
  <c r="I275" i="3"/>
  <c r="J275" i="3" s="1"/>
  <c r="I245" i="3"/>
  <c r="J245" i="3" s="1"/>
  <c r="I218" i="3"/>
  <c r="J218" i="3" s="1"/>
  <c r="H217" i="3"/>
  <c r="H216" i="3"/>
  <c r="I215" i="3"/>
  <c r="J215" i="3" s="1"/>
  <c r="I213" i="3"/>
  <c r="J213" i="3" s="1"/>
  <c r="I212" i="3"/>
  <c r="J212" i="3" s="1"/>
  <c r="I211" i="3"/>
  <c r="J211" i="3" s="1"/>
  <c r="I209" i="3"/>
  <c r="J209" i="3" s="1"/>
  <c r="I208" i="3"/>
  <c r="J208" i="3" s="1"/>
  <c r="I207" i="3"/>
  <c r="J207" i="3" s="1"/>
  <c r="I206" i="3"/>
  <c r="J206" i="3" s="1"/>
  <c r="I205" i="3"/>
  <c r="J205" i="3" s="1"/>
  <c r="I204" i="3"/>
  <c r="J204" i="3" s="1"/>
  <c r="I203" i="3"/>
  <c r="J203" i="3" s="1"/>
  <c r="I202" i="3"/>
  <c r="J202" i="3" s="1"/>
  <c r="I201" i="3"/>
  <c r="J201" i="3" s="1"/>
  <c r="I200" i="3"/>
  <c r="J200" i="3" s="1"/>
  <c r="I199" i="3"/>
  <c r="J199" i="3" s="1"/>
  <c r="I198" i="3"/>
  <c r="J198" i="3" s="1"/>
  <c r="I197" i="3"/>
  <c r="J197" i="3" s="1"/>
  <c r="I196" i="3"/>
  <c r="J196" i="3" s="1"/>
  <c r="I195" i="3"/>
  <c r="J195" i="3" s="1"/>
  <c r="I192" i="3"/>
  <c r="I179" i="3"/>
  <c r="J179" i="3" s="1"/>
  <c r="I178" i="3"/>
  <c r="J178" i="3" s="1"/>
  <c r="I177" i="3"/>
  <c r="J177" i="3" s="1"/>
  <c r="I176" i="3"/>
  <c r="J176" i="3" s="1"/>
  <c r="I175" i="3"/>
  <c r="J175" i="3" s="1"/>
  <c r="I174" i="3"/>
  <c r="J174" i="3" s="1"/>
  <c r="I172" i="3"/>
  <c r="J172" i="3" s="1"/>
  <c r="I171" i="3"/>
  <c r="J171" i="3" s="1"/>
  <c r="I170" i="3"/>
  <c r="J170" i="3" s="1"/>
  <c r="I169" i="3"/>
  <c r="J169" i="3" s="1"/>
  <c r="I168" i="3"/>
  <c r="J168" i="3" s="1"/>
  <c r="I167" i="3"/>
  <c r="J167" i="3" s="1"/>
  <c r="I166" i="3"/>
  <c r="J166" i="3" s="1"/>
  <c r="I165" i="3"/>
  <c r="J165" i="3" s="1"/>
  <c r="I164" i="3"/>
  <c r="J164" i="3" s="1"/>
  <c r="I163" i="3"/>
  <c r="J163" i="3" s="1"/>
  <c r="I162" i="3"/>
  <c r="J162" i="3" s="1"/>
  <c r="I161" i="3"/>
  <c r="J161" i="3" s="1"/>
  <c r="I160" i="3"/>
  <c r="J160" i="3" s="1"/>
  <c r="I159" i="3"/>
  <c r="J159" i="3" s="1"/>
  <c r="I158" i="3"/>
  <c r="J158" i="3" s="1"/>
  <c r="I157" i="3"/>
  <c r="J157" i="3" s="1"/>
  <c r="I156" i="3"/>
  <c r="J156" i="3" s="1"/>
  <c r="I155" i="3"/>
  <c r="J155" i="3" s="1"/>
  <c r="I154" i="3"/>
  <c r="J154" i="3" s="1"/>
  <c r="I153" i="3"/>
  <c r="J153" i="3" s="1"/>
  <c r="I152" i="3"/>
  <c r="J152" i="3" s="1"/>
  <c r="I151" i="3"/>
  <c r="J151" i="3" s="1"/>
  <c r="I150" i="3"/>
  <c r="J150" i="3" s="1"/>
  <c r="I149" i="3"/>
  <c r="J149" i="3" s="1"/>
  <c r="I145" i="3"/>
  <c r="J145" i="3" s="1"/>
  <c r="I144" i="3"/>
  <c r="J144" i="3" s="1"/>
  <c r="I143" i="3"/>
  <c r="J143" i="3" s="1"/>
  <c r="I142" i="3"/>
  <c r="J142" i="3" s="1"/>
  <c r="I140" i="3"/>
  <c r="J140" i="3" s="1"/>
  <c r="I139" i="3"/>
  <c r="J139" i="3" s="1"/>
  <c r="I138" i="3"/>
  <c r="J138" i="3" s="1"/>
  <c r="I137" i="3"/>
  <c r="J137" i="3" s="1"/>
  <c r="I136" i="3"/>
  <c r="J136" i="3" s="1"/>
  <c r="I135" i="3"/>
  <c r="J135" i="3" s="1"/>
  <c r="I134" i="3"/>
  <c r="J134" i="3" s="1"/>
  <c r="I133" i="3"/>
  <c r="J133" i="3" s="1"/>
  <c r="I132" i="3"/>
  <c r="J132" i="3" s="1"/>
  <c r="I131" i="3"/>
  <c r="J131" i="3" s="1"/>
  <c r="I130" i="3"/>
  <c r="J130" i="3" s="1"/>
  <c r="I129" i="3"/>
  <c r="J129" i="3" s="1"/>
  <c r="I128" i="3"/>
  <c r="J128" i="3" s="1"/>
  <c r="I127" i="3"/>
  <c r="J127" i="3" s="1"/>
  <c r="I126" i="3"/>
  <c r="J126" i="3" s="1"/>
  <c r="I125" i="3"/>
  <c r="J125" i="3" s="1"/>
  <c r="I123" i="3"/>
  <c r="J123" i="3" s="1"/>
  <c r="I122" i="3"/>
  <c r="J122" i="3" s="1"/>
  <c r="I121" i="3"/>
  <c r="J121" i="3" s="1"/>
  <c r="I120" i="3"/>
  <c r="J120" i="3" s="1"/>
  <c r="I119" i="3"/>
  <c r="J119" i="3" s="1"/>
  <c r="I112" i="3"/>
  <c r="J112" i="3" s="1"/>
  <c r="I111" i="3"/>
  <c r="J111" i="3" s="1"/>
  <c r="I110" i="3"/>
  <c r="J110" i="3" s="1"/>
  <c r="I109" i="3"/>
  <c r="J109" i="3" s="1"/>
  <c r="I108" i="3"/>
  <c r="J108" i="3" s="1"/>
  <c r="I107" i="3"/>
  <c r="J107" i="3" s="1"/>
  <c r="I106" i="3"/>
  <c r="J106" i="3" s="1"/>
  <c r="I105" i="3"/>
  <c r="J105" i="3" s="1"/>
  <c r="I104" i="3"/>
  <c r="J104" i="3" s="1"/>
  <c r="I103" i="3"/>
  <c r="J103" i="3" s="1"/>
  <c r="I102" i="3"/>
  <c r="J102" i="3" s="1"/>
  <c r="I101" i="3"/>
  <c r="J101" i="3" s="1"/>
  <c r="I100" i="3"/>
  <c r="J100" i="3" s="1"/>
  <c r="I99" i="3"/>
  <c r="J99" i="3" s="1"/>
  <c r="I98" i="3"/>
  <c r="J98" i="3" s="1"/>
  <c r="I97" i="3"/>
  <c r="J97" i="3" s="1"/>
  <c r="I96" i="3"/>
  <c r="J96" i="3" s="1"/>
  <c r="I95" i="3"/>
  <c r="J95" i="3" s="1"/>
  <c r="I94" i="3"/>
  <c r="J94" i="3" s="1"/>
  <c r="I93" i="3"/>
  <c r="J93" i="3" s="1"/>
  <c r="I92" i="3"/>
  <c r="J92" i="3" s="1"/>
  <c r="I91" i="3"/>
  <c r="J91" i="3" s="1"/>
  <c r="I90" i="3"/>
  <c r="J90" i="3" s="1"/>
  <c r="I89" i="3"/>
  <c r="J89" i="3" s="1"/>
  <c r="I88" i="3"/>
  <c r="J88" i="3" s="1"/>
  <c r="I87" i="3"/>
  <c r="J87" i="3" s="1"/>
  <c r="I79" i="3"/>
  <c r="J79" i="3" s="1"/>
  <c r="I78" i="3"/>
  <c r="J78" i="3" s="1"/>
  <c r="I77" i="3"/>
  <c r="J77" i="3" s="1"/>
  <c r="I71" i="3"/>
  <c r="J71" i="3" s="1"/>
  <c r="I70" i="3"/>
  <c r="J70" i="3" s="1"/>
  <c r="I69" i="3"/>
  <c r="J69" i="3" s="1"/>
  <c r="I68" i="3"/>
  <c r="J68" i="3" s="1"/>
  <c r="I67" i="3"/>
  <c r="J67" i="3" s="1"/>
  <c r="I66" i="3"/>
  <c r="J66" i="3" s="1"/>
  <c r="I65" i="3"/>
  <c r="J65" i="3" s="1"/>
  <c r="I64" i="3"/>
  <c r="J64" i="3" s="1"/>
  <c r="I63" i="3"/>
  <c r="J63" i="3" s="1"/>
  <c r="I62" i="3"/>
  <c r="J62" i="3" s="1"/>
  <c r="I61" i="3"/>
  <c r="J61" i="3" s="1"/>
  <c r="I60" i="3"/>
  <c r="J60" i="3" s="1"/>
  <c r="I59" i="3"/>
  <c r="J59" i="3" s="1"/>
  <c r="I57" i="3"/>
  <c r="J57" i="3" s="1"/>
  <c r="I56" i="3"/>
  <c r="J56" i="3" s="1"/>
  <c r="I55" i="3"/>
  <c r="J55" i="3" s="1"/>
  <c r="I54" i="3"/>
  <c r="J54" i="3" s="1"/>
  <c r="I53" i="3"/>
  <c r="J53" i="3" s="1"/>
  <c r="I52" i="3"/>
  <c r="J52" i="3" s="1"/>
  <c r="I51" i="3"/>
  <c r="J51" i="3" s="1"/>
  <c r="I50" i="3"/>
  <c r="J50" i="3" s="1"/>
  <c r="I49" i="3"/>
  <c r="J49" i="3" s="1"/>
  <c r="I48" i="3"/>
  <c r="J48" i="3" s="1"/>
  <c r="I47" i="3"/>
  <c r="J47" i="3" s="1"/>
  <c r="I46" i="3"/>
  <c r="J46" i="3" s="1"/>
  <c r="I45" i="3"/>
  <c r="J45" i="3" s="1"/>
  <c r="I44" i="3"/>
  <c r="J44" i="3" s="1"/>
  <c r="I43" i="3"/>
  <c r="J43" i="3" s="1"/>
  <c r="I42" i="3"/>
  <c r="J42" i="3" s="1"/>
  <c r="I41" i="3"/>
  <c r="J41" i="3" s="1"/>
  <c r="I40" i="3"/>
  <c r="J40" i="3" s="1"/>
  <c r="I39" i="3"/>
  <c r="J39" i="3" s="1"/>
  <c r="I38" i="3"/>
  <c r="J38" i="3" s="1"/>
  <c r="I37" i="3"/>
  <c r="J37" i="3" s="1"/>
  <c r="I36" i="3"/>
  <c r="J36" i="3" s="1"/>
  <c r="I35" i="3"/>
  <c r="J35" i="3" s="1"/>
  <c r="I34" i="3"/>
  <c r="J34" i="3" s="1"/>
  <c r="I33" i="3"/>
  <c r="J33" i="3" s="1"/>
  <c r="I32" i="3"/>
  <c r="J32" i="3" s="1"/>
  <c r="I31" i="3"/>
  <c r="J31" i="3" s="1"/>
  <c r="I30" i="3"/>
  <c r="J30" i="3" s="1"/>
  <c r="I29" i="3"/>
  <c r="J29" i="3" s="1"/>
  <c r="I28" i="3"/>
  <c r="J28" i="3" s="1"/>
  <c r="I27" i="3"/>
  <c r="J27" i="3" s="1"/>
  <c r="I26" i="3"/>
  <c r="J26" i="3" s="1"/>
  <c r="I25" i="3"/>
  <c r="J25" i="3" s="1"/>
  <c r="I24" i="3"/>
  <c r="J24" i="3" s="1"/>
  <c r="I19" i="3"/>
  <c r="J19" i="3" s="1"/>
  <c r="I18" i="3"/>
  <c r="J18" i="3" s="1"/>
  <c r="I17" i="3"/>
  <c r="J17" i="3" s="1"/>
  <c r="I16" i="3"/>
  <c r="J16" i="3" s="1"/>
  <c r="I15" i="3"/>
  <c r="J15" i="3" s="1"/>
  <c r="I14" i="3"/>
  <c r="J14" i="3" s="1"/>
  <c r="I13" i="3"/>
  <c r="J13" i="3" s="1"/>
  <c r="I12" i="3"/>
  <c r="J12" i="3" s="1"/>
  <c r="I11" i="3"/>
  <c r="J11" i="3" s="1"/>
  <c r="I10" i="3"/>
  <c r="J10" i="3" s="1"/>
  <c r="I9" i="3"/>
  <c r="J9" i="3" s="1"/>
  <c r="I8" i="3"/>
  <c r="J8" i="3" s="1"/>
  <c r="I7" i="3"/>
  <c r="J7" i="3" s="1"/>
  <c r="I6" i="3"/>
  <c r="J6" i="3" s="1"/>
  <c r="I5" i="3"/>
  <c r="J5" i="3" s="1"/>
  <c r="I4" i="3"/>
  <c r="J4" i="3" s="1"/>
  <c r="I3" i="3"/>
  <c r="J3" i="3" s="1"/>
  <c r="O2" i="3"/>
  <c r="I364" i="3" s="1"/>
  <c r="J364" i="3" s="1"/>
  <c r="I2" i="3"/>
  <c r="J2" i="3" s="1"/>
  <c r="I86" i="3" l="1"/>
  <c r="J86" i="3" s="1"/>
  <c r="I22" i="3"/>
  <c r="J22" i="3" s="1"/>
  <c r="J486" i="3"/>
  <c r="I228" i="3"/>
  <c r="K34" i="1" s="1"/>
  <c r="L34" i="1" s="1"/>
  <c r="J192" i="3"/>
  <c r="I237" i="3"/>
  <c r="J237" i="3" s="1"/>
  <c r="J482" i="3"/>
  <c r="I146" i="3"/>
  <c r="J146" i="3" s="1"/>
  <c r="J485" i="3"/>
  <c r="I420" i="3"/>
  <c r="J420" i="3" s="1"/>
  <c r="K22" i="1"/>
  <c r="L22" i="1" s="1"/>
  <c r="K6" i="1"/>
  <c r="L6" i="1" s="1"/>
  <c r="K2" i="1"/>
  <c r="L2" i="1" s="1"/>
  <c r="I451" i="3"/>
  <c r="J451" i="3" s="1"/>
  <c r="K27" i="1"/>
  <c r="L27" i="1" s="1"/>
  <c r="I419" i="3"/>
  <c r="J419" i="3" s="1"/>
  <c r="I452" i="3"/>
  <c r="J452" i="3" s="1"/>
  <c r="K7" i="1"/>
  <c r="L7" i="1" s="1"/>
  <c r="I21" i="3"/>
  <c r="J21" i="3" s="1"/>
  <c r="I58" i="3"/>
  <c r="J58" i="3" s="1"/>
  <c r="I219" i="3"/>
  <c r="J219" i="3" s="1"/>
  <c r="I273" i="3"/>
  <c r="J273" i="3" s="1"/>
  <c r="I325" i="3"/>
  <c r="J325" i="3" s="1"/>
  <c r="I355" i="3"/>
  <c r="J355" i="3" s="1"/>
  <c r="K30" i="1"/>
  <c r="L30" i="1" s="1"/>
  <c r="K58" i="1"/>
  <c r="L58" i="1" s="1"/>
  <c r="K10" i="1"/>
  <c r="L10" i="1" s="1"/>
  <c r="K31" i="1"/>
  <c r="L31" i="1" s="1"/>
  <c r="K15" i="1"/>
  <c r="L15" i="1" s="1"/>
  <c r="I246" i="3"/>
  <c r="J246" i="3" s="1"/>
  <c r="I292" i="3"/>
  <c r="J292" i="3" s="1"/>
  <c r="I305" i="3"/>
  <c r="J305" i="3" s="1"/>
  <c r="K3" i="1"/>
  <c r="L3" i="1" s="1"/>
  <c r="I255" i="3"/>
  <c r="J255" i="3" s="1"/>
  <c r="I187" i="3"/>
  <c r="I20" i="3"/>
  <c r="J20" i="3" s="1"/>
  <c r="I264" i="3"/>
  <c r="J264" i="3" s="1"/>
  <c r="I354" i="3"/>
  <c r="J354" i="3" s="1"/>
  <c r="K56" i="1"/>
  <c r="L56" i="1" s="1"/>
  <c r="J487" i="3"/>
  <c r="K66" i="1"/>
  <c r="L66" i="1" s="1"/>
  <c r="J427" i="3"/>
  <c r="K71" i="1"/>
  <c r="L71" i="1" s="1"/>
  <c r="K59" i="1"/>
  <c r="L59" i="1" s="1"/>
  <c r="K57" i="1"/>
  <c r="L57" i="1" s="1"/>
  <c r="K55" i="1"/>
  <c r="L55" i="1" s="1"/>
  <c r="K52" i="1"/>
  <c r="L52" i="1" s="1"/>
  <c r="I72" i="3"/>
  <c r="J72" i="3" s="1"/>
  <c r="I114" i="3"/>
  <c r="I147" i="3"/>
  <c r="J147" i="3" s="1"/>
  <c r="I180" i="3"/>
  <c r="J180" i="3" s="1"/>
  <c r="I188" i="3"/>
  <c r="I239" i="3"/>
  <c r="J239" i="3" s="1"/>
  <c r="I247" i="3"/>
  <c r="J247" i="3" s="1"/>
  <c r="I256" i="3"/>
  <c r="J256" i="3" s="1"/>
  <c r="I265" i="3"/>
  <c r="J265" i="3" s="1"/>
  <c r="I274" i="3"/>
  <c r="J274" i="3" s="1"/>
  <c r="I306" i="3"/>
  <c r="J306" i="3" s="1"/>
  <c r="I338" i="3"/>
  <c r="J338" i="3" s="1"/>
  <c r="I356" i="3"/>
  <c r="J356" i="3" s="1"/>
  <c r="I395" i="3"/>
  <c r="J395" i="3" s="1"/>
  <c r="I459" i="3"/>
  <c r="J459" i="3" s="1"/>
  <c r="I74" i="3"/>
  <c r="J74" i="3" s="1"/>
  <c r="I80" i="3"/>
  <c r="J80" i="3" s="1"/>
  <c r="I148" i="3"/>
  <c r="J148" i="3" s="1"/>
  <c r="I182" i="3"/>
  <c r="J182" i="3" s="1"/>
  <c r="I190" i="3"/>
  <c r="J190" i="3" s="1"/>
  <c r="I210" i="3"/>
  <c r="J210" i="3" s="1"/>
  <c r="I223" i="3"/>
  <c r="J223" i="3" s="1"/>
  <c r="I232" i="3"/>
  <c r="J232" i="3" s="1"/>
  <c r="I241" i="3"/>
  <c r="I248" i="3"/>
  <c r="J248" i="3" s="1"/>
  <c r="I257" i="3"/>
  <c r="J257" i="3" s="1"/>
  <c r="I266" i="3"/>
  <c r="J266" i="3" s="1"/>
  <c r="I307" i="3"/>
  <c r="J307" i="3" s="1"/>
  <c r="I339" i="3"/>
  <c r="J339" i="3" s="1"/>
  <c r="I363" i="3"/>
  <c r="J363" i="3" s="1"/>
  <c r="I460" i="3"/>
  <c r="J460" i="3" s="1"/>
  <c r="I23" i="3"/>
  <c r="I82" i="3"/>
  <c r="J82" i="3" s="1"/>
  <c r="I115" i="3"/>
  <c r="J115" i="3" s="1"/>
  <c r="I216" i="3"/>
  <c r="J216" i="3" s="1"/>
  <c r="I250" i="3"/>
  <c r="J250" i="3" s="1"/>
  <c r="I293" i="3"/>
  <c r="J293" i="3" s="1"/>
  <c r="I300" i="3"/>
  <c r="J300" i="3" s="1"/>
  <c r="I321" i="3"/>
  <c r="J321" i="3" s="1"/>
  <c r="I332" i="3"/>
  <c r="J332" i="3" s="1"/>
  <c r="I340" i="3"/>
  <c r="J340" i="3" s="1"/>
  <c r="I484" i="3"/>
  <c r="J484" i="3" s="1"/>
  <c r="I480" i="3"/>
  <c r="J480" i="3" s="1"/>
  <c r="I294" i="3"/>
  <c r="J294" i="3" s="1"/>
  <c r="I483" i="3"/>
  <c r="J483" i="3" s="1"/>
  <c r="I458" i="3"/>
  <c r="J458" i="3" s="1"/>
  <c r="I450" i="3"/>
  <c r="J450" i="3" s="1"/>
  <c r="I394" i="3"/>
  <c r="J394" i="3" s="1"/>
  <c r="I362" i="3"/>
  <c r="J362" i="3" s="1"/>
  <c r="I473" i="3"/>
  <c r="J473" i="3" s="1"/>
  <c r="I457" i="3"/>
  <c r="J457" i="3" s="1"/>
  <c r="I449" i="3"/>
  <c r="J449" i="3" s="1"/>
  <c r="I393" i="3"/>
  <c r="J393" i="3" s="1"/>
  <c r="I361" i="3"/>
  <c r="J361" i="3" s="1"/>
  <c r="I353" i="3"/>
  <c r="J353" i="3" s="1"/>
  <c r="I345" i="3"/>
  <c r="J345" i="3" s="1"/>
  <c r="I304" i="3"/>
  <c r="J304" i="3" s="1"/>
  <c r="I295" i="3"/>
  <c r="J295" i="3" s="1"/>
  <c r="I291" i="3"/>
  <c r="J291" i="3" s="1"/>
  <c r="I268" i="3"/>
  <c r="J268" i="3" s="1"/>
  <c r="I259" i="3"/>
  <c r="J259" i="3" s="1"/>
  <c r="I254" i="3"/>
  <c r="J254" i="3" s="1"/>
  <c r="I236" i="3"/>
  <c r="J236" i="3" s="1"/>
  <c r="I227" i="3"/>
  <c r="I222" i="3"/>
  <c r="J222" i="3" s="1"/>
  <c r="I214" i="3"/>
  <c r="J214" i="3" s="1"/>
  <c r="I81" i="3"/>
  <c r="J81" i="3" s="1"/>
  <c r="I73" i="3"/>
  <c r="J73" i="3" s="1"/>
  <c r="I481" i="3"/>
  <c r="J481" i="3" s="1"/>
  <c r="I456" i="3"/>
  <c r="J456" i="3" s="1"/>
  <c r="I448" i="3"/>
  <c r="J448" i="3" s="1"/>
  <c r="I392" i="3"/>
  <c r="J392" i="3" s="1"/>
  <c r="I360" i="3"/>
  <c r="J360" i="3" s="1"/>
  <c r="I352" i="3"/>
  <c r="J352" i="3" s="1"/>
  <c r="I344" i="3"/>
  <c r="J344" i="3" s="1"/>
  <c r="I324" i="3"/>
  <c r="J324" i="3" s="1"/>
  <c r="I303" i="3"/>
  <c r="J303" i="3" s="1"/>
  <c r="I298" i="3"/>
  <c r="J298" i="3" s="1"/>
  <c r="I290" i="3"/>
  <c r="J290" i="3" s="1"/>
  <c r="I272" i="3"/>
  <c r="J272" i="3" s="1"/>
  <c r="I263" i="3"/>
  <c r="J263" i="3" s="1"/>
  <c r="I258" i="3"/>
  <c r="J258" i="3" s="1"/>
  <c r="I249" i="3"/>
  <c r="J249" i="3" s="1"/>
  <c r="I240" i="3"/>
  <c r="J240" i="3" s="1"/>
  <c r="I231" i="3"/>
  <c r="I226" i="3"/>
  <c r="I217" i="3"/>
  <c r="J217" i="3" s="1"/>
  <c r="I193" i="3"/>
  <c r="J193" i="3" s="1"/>
  <c r="I189" i="3"/>
  <c r="J189" i="3" s="1"/>
  <c r="I185" i="3"/>
  <c r="J185" i="3" s="1"/>
  <c r="I181" i="3"/>
  <c r="J181" i="3" s="1"/>
  <c r="I173" i="3"/>
  <c r="J173" i="3" s="1"/>
  <c r="I141" i="3"/>
  <c r="J141" i="3" s="1"/>
  <c r="I117" i="3"/>
  <c r="J117" i="3" s="1"/>
  <c r="I113" i="3"/>
  <c r="I85" i="3"/>
  <c r="J85" i="3" s="1"/>
  <c r="I479" i="3"/>
  <c r="I471" i="3"/>
  <c r="J471" i="3" s="1"/>
  <c r="I455" i="3"/>
  <c r="J455" i="3" s="1"/>
  <c r="I447" i="3"/>
  <c r="J447" i="3" s="1"/>
  <c r="I391" i="3"/>
  <c r="J391" i="3" s="1"/>
  <c r="I367" i="3"/>
  <c r="J367" i="3" s="1"/>
  <c r="I359" i="3"/>
  <c r="J359" i="3" s="1"/>
  <c r="I351" i="3"/>
  <c r="I343" i="3"/>
  <c r="J343" i="3" s="1"/>
  <c r="I335" i="3"/>
  <c r="J335" i="3" s="1"/>
  <c r="I308" i="3"/>
  <c r="J308" i="3" s="1"/>
  <c r="I267" i="3"/>
  <c r="J267" i="3" s="1"/>
  <c r="I262" i="3"/>
  <c r="J262" i="3" s="1"/>
  <c r="I253" i="3"/>
  <c r="J253" i="3" s="1"/>
  <c r="I244" i="3"/>
  <c r="I235" i="3"/>
  <c r="J235" i="3" s="1"/>
  <c r="I230" i="3"/>
  <c r="J230" i="3" s="1"/>
  <c r="I221" i="3"/>
  <c r="J221" i="3" s="1"/>
  <c r="I366" i="3"/>
  <c r="J366" i="3" s="1"/>
  <c r="I350" i="3"/>
  <c r="J350" i="3" s="1"/>
  <c r="I330" i="3"/>
  <c r="J330" i="3" s="1"/>
  <c r="I478" i="3"/>
  <c r="J478" i="3" s="1"/>
  <c r="I462" i="3"/>
  <c r="J462" i="3" s="1"/>
  <c r="I454" i="3"/>
  <c r="J454" i="3" s="1"/>
  <c r="I446" i="3"/>
  <c r="J446" i="3" s="1"/>
  <c r="I422" i="3"/>
  <c r="J422" i="3" s="1"/>
  <c r="I390" i="3"/>
  <c r="J390" i="3" s="1"/>
  <c r="I358" i="3"/>
  <c r="J358" i="3" s="1"/>
  <c r="I342" i="3"/>
  <c r="J342" i="3" s="1"/>
  <c r="I477" i="3"/>
  <c r="I469" i="3"/>
  <c r="J469" i="3" s="1"/>
  <c r="I461" i="3"/>
  <c r="J461" i="3" s="1"/>
  <c r="I453" i="3"/>
  <c r="J453" i="3" s="1"/>
  <c r="I445" i="3"/>
  <c r="J445" i="3" s="1"/>
  <c r="I421" i="3"/>
  <c r="J421" i="3" s="1"/>
  <c r="I413" i="3"/>
  <c r="I397" i="3"/>
  <c r="J397" i="3" s="1"/>
  <c r="I381" i="3"/>
  <c r="J381" i="3" s="1"/>
  <c r="I365" i="3"/>
  <c r="J365" i="3" s="1"/>
  <c r="I357" i="3"/>
  <c r="J357" i="3" s="1"/>
  <c r="I349" i="3"/>
  <c r="I341" i="3"/>
  <c r="J341" i="3" s="1"/>
  <c r="I270" i="3"/>
  <c r="J270" i="3" s="1"/>
  <c r="I261" i="3"/>
  <c r="J261" i="3" s="1"/>
  <c r="I252" i="3"/>
  <c r="J252" i="3" s="1"/>
  <c r="I243" i="3"/>
  <c r="J243" i="3" s="1"/>
  <c r="I238" i="3"/>
  <c r="J238" i="3" s="1"/>
  <c r="I229" i="3"/>
  <c r="I220" i="3"/>
  <c r="J220" i="3" s="1"/>
  <c r="I75" i="3"/>
  <c r="I116" i="3"/>
  <c r="J116" i="3" s="1"/>
  <c r="I183" i="3"/>
  <c r="J183" i="3" s="1"/>
  <c r="I191" i="3"/>
  <c r="J191" i="3" s="1"/>
  <c r="I224" i="3"/>
  <c r="J224" i="3" s="1"/>
  <c r="I233" i="3"/>
  <c r="J233" i="3" s="1"/>
  <c r="I242" i="3"/>
  <c r="I251" i="3"/>
  <c r="J251" i="3" s="1"/>
  <c r="I260" i="3"/>
  <c r="J260" i="3" s="1"/>
  <c r="I269" i="3"/>
  <c r="J269" i="3" s="1"/>
  <c r="I322" i="3"/>
  <c r="J322" i="3" s="1"/>
  <c r="I333" i="3"/>
  <c r="J333" i="3" s="1"/>
  <c r="I346" i="3"/>
  <c r="J346" i="3" s="1"/>
  <c r="I475" i="3"/>
  <c r="J475" i="3" s="1"/>
  <c r="I76" i="3"/>
  <c r="J76" i="3" s="1"/>
  <c r="I83" i="3"/>
  <c r="J83" i="3" s="1"/>
  <c r="I118" i="3"/>
  <c r="J118" i="3" s="1"/>
  <c r="I124" i="3"/>
  <c r="J124" i="3" s="1"/>
  <c r="I184" i="3"/>
  <c r="J184" i="3" s="1"/>
  <c r="I225" i="3"/>
  <c r="J225" i="3" s="1"/>
  <c r="I234" i="3"/>
  <c r="J234" i="3" s="1"/>
  <c r="I283" i="3"/>
  <c r="J283" i="3" s="1"/>
  <c r="I323" i="3"/>
  <c r="J323" i="3" s="1"/>
  <c r="I334" i="3"/>
  <c r="J334" i="3" s="1"/>
  <c r="I347" i="3"/>
  <c r="J347" i="3" s="1"/>
  <c r="I476" i="3"/>
  <c r="J476" i="3" s="1"/>
  <c r="I84" i="3"/>
  <c r="J84" i="3" s="1"/>
  <c r="I186" i="3"/>
  <c r="J186" i="3" s="1"/>
  <c r="I194" i="3"/>
  <c r="J194" i="3" s="1"/>
  <c r="I271" i="3"/>
  <c r="J271" i="3" s="1"/>
  <c r="I302" i="3"/>
  <c r="I348" i="3"/>
  <c r="J348" i="3" s="1"/>
  <c r="I444" i="3"/>
  <c r="J444" i="3" s="1"/>
  <c r="I326" i="3"/>
  <c r="J326" i="3" s="1"/>
  <c r="I331" i="3"/>
  <c r="J331" i="3" s="1"/>
  <c r="K39" i="1" l="1"/>
  <c r="L39" i="1" s="1"/>
  <c r="J228" i="3"/>
  <c r="J349" i="3"/>
  <c r="K64" i="1"/>
  <c r="L64" i="1" s="1"/>
  <c r="J479" i="3"/>
  <c r="K65" i="1"/>
  <c r="L65" i="1" s="1"/>
  <c r="K24" i="1"/>
  <c r="L24" i="1" s="1"/>
  <c r="K19" i="1"/>
  <c r="L19" i="1" s="1"/>
  <c r="J241" i="3"/>
  <c r="K61" i="1"/>
  <c r="L61" i="1" s="1"/>
  <c r="K68" i="1"/>
  <c r="L68" i="1" s="1"/>
  <c r="K53" i="1"/>
  <c r="L53" i="1" s="1"/>
  <c r="K50" i="1"/>
  <c r="L50" i="1" s="1"/>
  <c r="J242" i="3"/>
  <c r="K62" i="1"/>
  <c r="L62" i="1" s="1"/>
  <c r="K69" i="1"/>
  <c r="L69" i="1" s="1"/>
  <c r="K51" i="1"/>
  <c r="L51" i="1" s="1"/>
  <c r="K54" i="1"/>
  <c r="L54" i="1" s="1"/>
  <c r="J227" i="3"/>
  <c r="K60" i="1"/>
  <c r="L60" i="1" s="1"/>
  <c r="J113" i="3"/>
  <c r="K67" i="1"/>
  <c r="L67" i="1" s="1"/>
  <c r="J226" i="3"/>
  <c r="K5" i="1"/>
  <c r="L5" i="1" s="1"/>
  <c r="K4" i="1"/>
  <c r="L4" i="1" s="1"/>
  <c r="J188" i="3"/>
  <c r="K14" i="1"/>
  <c r="L14" i="1" s="1"/>
  <c r="K26" i="1"/>
  <c r="L26" i="1" s="1"/>
  <c r="K9" i="1"/>
  <c r="L9" i="1" s="1"/>
  <c r="J187" i="3"/>
  <c r="K25" i="1"/>
  <c r="L25" i="1" s="1"/>
  <c r="K20" i="1"/>
  <c r="L20" i="1" s="1"/>
  <c r="J302" i="3"/>
  <c r="K63" i="1"/>
  <c r="L63" i="1" s="1"/>
  <c r="J229" i="3"/>
  <c r="K40" i="1"/>
  <c r="L40" i="1" s="1"/>
  <c r="K47" i="1"/>
  <c r="L47" i="1" s="1"/>
  <c r="K35" i="1"/>
  <c r="L35" i="1" s="1"/>
  <c r="K49" i="1"/>
  <c r="L49" i="1" s="1"/>
  <c r="K46" i="1"/>
  <c r="L46" i="1" s="1"/>
  <c r="K48" i="1"/>
  <c r="L48" i="1" s="1"/>
  <c r="J351" i="3"/>
  <c r="K17" i="1"/>
  <c r="L17" i="1" s="1"/>
  <c r="K12" i="1"/>
  <c r="L12" i="1" s="1"/>
  <c r="J244" i="3"/>
  <c r="K16" i="1"/>
  <c r="L16" i="1" s="1"/>
  <c r="K11" i="1"/>
  <c r="L11" i="1" s="1"/>
  <c r="J231" i="3"/>
  <c r="K41" i="1"/>
  <c r="L41" i="1" s="1"/>
  <c r="K36" i="1"/>
  <c r="L36" i="1" s="1"/>
  <c r="J413" i="3"/>
  <c r="K70" i="1"/>
  <c r="L70" i="1" s="1"/>
  <c r="J23" i="3"/>
  <c r="K18" i="1"/>
  <c r="L18" i="1" s="1"/>
  <c r="K32" i="1"/>
  <c r="L32" i="1" s="1"/>
  <c r="K23" i="1"/>
  <c r="L23" i="1" s="1"/>
  <c r="K37" i="1"/>
  <c r="L37" i="1" s="1"/>
  <c r="J477" i="3"/>
  <c r="K42" i="1"/>
  <c r="L42" i="1" s="1"/>
  <c r="K44" i="1"/>
  <c r="L44" i="1" s="1"/>
  <c r="K43" i="1"/>
  <c r="L43" i="1" s="1"/>
  <c r="K45" i="1"/>
  <c r="L45" i="1" s="1"/>
  <c r="J75" i="3"/>
  <c r="K33" i="1"/>
  <c r="L33" i="1" s="1"/>
  <c r="K29" i="1"/>
  <c r="L29" i="1" s="1"/>
  <c r="K38" i="1"/>
  <c r="L38" i="1" s="1"/>
  <c r="K28" i="1"/>
  <c r="L28" i="1" s="1"/>
  <c r="J114" i="3"/>
  <c r="K13" i="1"/>
  <c r="L13" i="1" s="1"/>
  <c r="K8" i="1"/>
  <c r="L8" i="1" s="1"/>
  <c r="L72" i="1" l="1"/>
</calcChain>
</file>

<file path=xl/sharedStrings.xml><?xml version="1.0" encoding="utf-8"?>
<sst xmlns="http://schemas.openxmlformats.org/spreadsheetml/2006/main" count="2600" uniqueCount="652">
  <si>
    <t>articulo</t>
  </si>
  <si>
    <t>descripcion</t>
  </si>
  <si>
    <t>presentacion</t>
  </si>
  <si>
    <t>fecha</t>
  </si>
  <si>
    <t>modulo</t>
  </si>
  <si>
    <t>cbte</t>
  </si>
  <si>
    <t>numero</t>
  </si>
  <si>
    <t>cantidad</t>
  </si>
  <si>
    <t>razon</t>
  </si>
  <si>
    <t>UN</t>
  </si>
  <si>
    <t>VTAS</t>
  </si>
  <si>
    <t>RMX</t>
  </si>
  <si>
    <t>kit banda siliconada TOSTADORA IMPORTADA</t>
  </si>
  <si>
    <t>Relevo Térmico Lateral 531196400</t>
  </si>
  <si>
    <t>Relevo Térmico Superior 531196500</t>
  </si>
  <si>
    <t>Burlete Heladera de Leche 20,5 * 33</t>
  </si>
  <si>
    <t>932027030 MUELLE SOLAPA</t>
  </si>
  <si>
    <t>534393100 CONTADOR VOLUMETRICO GICAR CON ADAPT USADO</t>
  </si>
  <si>
    <t>RESORTE GUIA PISTON SUP</t>
  </si>
  <si>
    <t>10189</t>
  </si>
  <si>
    <t>BOMBA LECHE</t>
  </si>
  <si>
    <t>Resorte Inferior Tope Grupo Café</t>
  </si>
  <si>
    <t>10433</t>
  </si>
  <si>
    <t>KIT B 966952000</t>
  </si>
  <si>
    <t>10434</t>
  </si>
  <si>
    <t>KIT E1  966953000</t>
  </si>
  <si>
    <t>KIT E2 966954000</t>
  </si>
  <si>
    <t>966936010 Kit fotocélula conector</t>
  </si>
  <si>
    <t>PICO COMBINADO USADO</t>
  </si>
  <si>
    <t>10420</t>
  </si>
  <si>
    <t>KIT E3 781742000</t>
  </si>
  <si>
    <t>946810000 CONJ.SONDA DE NIVEL</t>
  </si>
  <si>
    <t>L&amp;A BURGER</t>
  </si>
  <si>
    <t>10340</t>
  </si>
  <si>
    <t>Filtro Aspiracion Leche 966423000</t>
  </si>
  <si>
    <t>532177500 REGLETA CONEXIONES 5 POLOS</t>
  </si>
  <si>
    <t>ELCTRO VALVULA 3 VIAS 533896510R</t>
  </si>
  <si>
    <t>Valor vendido en dolares</t>
  </si>
  <si>
    <t>CODIGO</t>
  </si>
  <si>
    <t>CATEGORIA</t>
  </si>
  <si>
    <t>DESCRIPCION</t>
  </si>
  <si>
    <t>DEPOSITO</t>
  </si>
  <si>
    <t>Proveedor</t>
  </si>
  <si>
    <t>PRECIO USD</t>
  </si>
  <si>
    <t>PRECIO ARS</t>
  </si>
  <si>
    <t>PRECIO EUR</t>
  </si>
  <si>
    <t>Precio final en USD</t>
  </si>
  <si>
    <t>Precio + valor FRQ</t>
  </si>
  <si>
    <t>Comentario</t>
  </si>
  <si>
    <t>Columna1</t>
  </si>
  <si>
    <t>Dólar hoy Banco Nacion</t>
  </si>
  <si>
    <t xml:space="preserve">Euro </t>
  </si>
  <si>
    <t>REPUESTOS</t>
  </si>
  <si>
    <t>TEFLON TOSTADORA VERTICAL IMPORTADA</t>
  </si>
  <si>
    <t>DEP_SANMA</t>
  </si>
  <si>
    <t>ADVANCE</t>
  </si>
  <si>
    <t>Euro a Dólar</t>
  </si>
  <si>
    <t>MANGUERA GAS BROILER</t>
  </si>
  <si>
    <t>DEP_PQBAYR</t>
  </si>
  <si>
    <t>NO CORRESPONDE</t>
  </si>
  <si>
    <t>Corresponde al inventario de Valentin</t>
  </si>
  <si>
    <t>KIT FILTRO HIELERA</t>
  </si>
  <si>
    <t>Valor agregado FRQ</t>
  </si>
  <si>
    <t>FILTRO REPUESTO HIELERA</t>
  </si>
  <si>
    <t>SIN STOCK</t>
  </si>
  <si>
    <t>CAJA FUERTE CHICA</t>
  </si>
  <si>
    <t>CAJA FUERTE GDE</t>
  </si>
  <si>
    <t>MARCO FREEZER CARNES</t>
  </si>
  <si>
    <t>CIRCOLO</t>
  </si>
  <si>
    <t>Repujador quita orring</t>
  </si>
  <si>
    <t>Baqueta 1,25 cm</t>
  </si>
  <si>
    <t>TABLA DE MESAS REDONDAS</t>
  </si>
  <si>
    <t>EXTRACCIONES USADAS</t>
  </si>
  <si>
    <t>No son usadas, estan rotas</t>
  </si>
  <si>
    <t xml:space="preserve">Extracciones rota para reparar </t>
  </si>
  <si>
    <t>LOCKER USADO</t>
  </si>
  <si>
    <t>T PARA FRENTE PHU</t>
  </si>
  <si>
    <t>SENSOR DE LLAMA NACIONAL</t>
  </si>
  <si>
    <t>Resistencias Electro</t>
  </si>
  <si>
    <t>CARTEL POLLO</t>
  </si>
  <si>
    <t>TENSOR CARGARDOR DE CARNES</t>
  </si>
  <si>
    <t>HIT LIMIT FREIDORA</t>
  </si>
  <si>
    <t>Internet</t>
  </si>
  <si>
    <t>523135120 TORNILLO AUTORROSCANTE</t>
  </si>
  <si>
    <t>CIMBALI</t>
  </si>
  <si>
    <t>KIT C MANTENIMIENTO CIMBALI</t>
  </si>
  <si>
    <t>Salpiquero Cimballi ( USADO)</t>
  </si>
  <si>
    <t xml:space="preserve">532392700 Válvula Seguridad </t>
  </si>
  <si>
    <t>TERMOPILA FREIDORA</t>
  </si>
  <si>
    <t>MERCADO LIBRE</t>
  </si>
  <si>
    <t>TERMOSTATO TRABAJO FREIDORA</t>
  </si>
  <si>
    <t>SERVICE PARTNERS</t>
  </si>
  <si>
    <t>PILOTO FREIDORA</t>
  </si>
  <si>
    <t>Aripafe</t>
  </si>
  <si>
    <t>PERILLA PARA TERMOSTATO</t>
  </si>
  <si>
    <t>PERILLA ALUMINIO</t>
  </si>
  <si>
    <t>ORINGS CHEDDAR</t>
  </si>
  <si>
    <t xml:space="preserve">17185 SENSOR LLAMA BROYLER </t>
  </si>
  <si>
    <t>MOTOR ACARAMELADORA</t>
  </si>
  <si>
    <t>PARTWON</t>
  </si>
  <si>
    <t>CADENA CHICA BROILER JF63  250 mm</t>
  </si>
  <si>
    <t>PLATO IZQ GRANDE BROILER</t>
  </si>
  <si>
    <t>PLATO DER CHICO BROILER</t>
  </si>
  <si>
    <t>VÁLVULA GAS BROILER</t>
  </si>
  <si>
    <t>CONTROLADOR TEM BROILER 19076</t>
  </si>
  <si>
    <t>10061</t>
  </si>
  <si>
    <t>CADENA GRANDE BROILER JF63 300mm</t>
  </si>
  <si>
    <t>LLAVE ESPATULA BROILER</t>
  </si>
  <si>
    <t>PLATO CHICO BROILER JF 64</t>
  </si>
  <si>
    <t>PLATO GRANDE BROILER JF 64</t>
  </si>
  <si>
    <t>FLEXIBLES QUEMADORES AIRE 20909</t>
  </si>
  <si>
    <t>VÁLVULA SOLENOIDE 1/2 19054</t>
  </si>
  <si>
    <t>FLEXIBLES QUEMADORES AIRE CORTO NACIONAL</t>
  </si>
  <si>
    <t>CADENA MOTOR REDUCTOR 6027</t>
  </si>
  <si>
    <t>MODULO DE IGNICION 16921</t>
  </si>
  <si>
    <t>CADENA GRANDE BROILER JF 64 430 mm</t>
  </si>
  <si>
    <t>FLEXIBLES QUEMADORES AIRE LARGO NACIONAL</t>
  </si>
  <si>
    <t>CADENA GRANDE BROILER JF63/2 330 mm</t>
  </si>
  <si>
    <t>MOTOR SOPLADOR BROILER</t>
  </si>
  <si>
    <t>BUJE BRONCE BROILER</t>
  </si>
  <si>
    <t>PIÑONES 17899 BROILER</t>
  </si>
  <si>
    <t>CADENA CHICA ORIGINAL</t>
  </si>
  <si>
    <t>RESISTENCIA BROILER Usada</t>
  </si>
  <si>
    <t>todas son desmanteladas de equipos</t>
  </si>
  <si>
    <t>CADENA CHICA BROILER JF64/JF63 2G  230 mm</t>
  </si>
  <si>
    <t>ENCARRILADOR LADO SENSOR</t>
  </si>
  <si>
    <t>SENSOR DE TEMP.BROILER</t>
  </si>
  <si>
    <t>KIT  ORINGS TAYLOR 713</t>
  </si>
  <si>
    <t>BPAR</t>
  </si>
  <si>
    <t>CUCHILLAS TAYLOR 713</t>
  </si>
  <si>
    <t>VASELINA TAYLOR</t>
  </si>
  <si>
    <t>CLIPS TUBO ALIMENTACION  TAYLOR 713</t>
  </si>
  <si>
    <t>LUBE ROJO TAYLOR</t>
  </si>
  <si>
    <t>ARANDELAS PLANAS PARA TOPPIING</t>
  </si>
  <si>
    <t>ARANDELAS CON ORING PARA TOPPIING</t>
  </si>
  <si>
    <t>CEPILLO BROILER GUIA DE CARNES</t>
  </si>
  <si>
    <t>TORNILLO FRENTE DE TAYLOR CORTO</t>
  </si>
  <si>
    <t>TORNILLO FRENTE DE TAYLOR LARGO</t>
  </si>
  <si>
    <t>SOMBRERO ALIMENTACION MEZCLA 713</t>
  </si>
  <si>
    <t>PURGAR 713</t>
  </si>
  <si>
    <t>SAL REGENERANTE X25KG</t>
  </si>
  <si>
    <t>SENSOR DE GRUPO</t>
  </si>
  <si>
    <t>946940000 KIT MANTENIMIENTO PREVENTIVO CHOCOLATE</t>
  </si>
  <si>
    <t>KIT "B" DE MANTENIMIENTO CIMBALI</t>
  </si>
  <si>
    <t>537056100 KIT DE CONDUCTO (TOBOGAN)</t>
  </si>
  <si>
    <t>KIT "A" DE MANTENIMIENTO CIMBALI</t>
  </si>
  <si>
    <t>KIT ORINGS TAYLOR 716</t>
  </si>
  <si>
    <t>CUCHILLAS TAYLOR 716</t>
  </si>
  <si>
    <t>Valvula EM</t>
  </si>
  <si>
    <t>EVETEC</t>
  </si>
  <si>
    <t>TORNILLOS DE ACERO INOXIDABLE</t>
  </si>
  <si>
    <t>966492000 PROTECTOR DE GOMA DE VALVULA DE PRESION</t>
  </si>
  <si>
    <t>401400000 ORRING DE JUNTA TORICA</t>
  </si>
  <si>
    <t>916537010 CONJUNTO VASO DE EXPANSIÓN</t>
  </si>
  <si>
    <t>966946000 SENSORES DE SOBREPRESION</t>
  </si>
  <si>
    <t>532177500 SOCALOS DE CONEXIÓN ELECTRICA</t>
  </si>
  <si>
    <t>REGADERAS</t>
  </si>
  <si>
    <t>KIT ARTEFACTO 45w DURLOCK</t>
  </si>
  <si>
    <t>BUJE TEFLON TRASERO BROILER</t>
  </si>
  <si>
    <t>SEPARADOR CARNES JF63 2-G CHICO</t>
  </si>
  <si>
    <t>SEPARADOR CARNES J63 2-G GRANDE</t>
  </si>
  <si>
    <t>ENCARRILADOR LADO DERECHO</t>
  </si>
  <si>
    <t>CONTACTOR HORNO</t>
  </si>
  <si>
    <t>LUZ ROJA HORNO</t>
  </si>
  <si>
    <t>RESISTENCIA HORNO</t>
  </si>
  <si>
    <t>TURBINA HORNO</t>
  </si>
  <si>
    <t>ELECTROVÁLVULA SIMPLE HORNO</t>
  </si>
  <si>
    <t>SWICH SEGURIDAD HORNO</t>
  </si>
  <si>
    <t>VIDRIO INTERIOR</t>
  </si>
  <si>
    <t>VIDRIO EXTERIOR NACIONAL</t>
  </si>
  <si>
    <t>TRABA QUEMADOR GAS BROILER</t>
  </si>
  <si>
    <t>REEMP. INTERNO ACERO CHEDDAR</t>
  </si>
  <si>
    <t>INTERNET</t>
  </si>
  <si>
    <t>TUERCA PLÁSTICA CHEDDAR</t>
  </si>
  <si>
    <t>TERMOMAGNÉTICA 4X63AMP</t>
  </si>
  <si>
    <t>CONTACTOR 3X12 BOBINA 220V</t>
  </si>
  <si>
    <t>CONTACTOR 3X12 BOBINA 24V</t>
  </si>
  <si>
    <t>CONMUTADORA CORTINA 3X20AMP</t>
  </si>
  <si>
    <t>FUSIBLE TABAQUERO 1X10 AMP</t>
  </si>
  <si>
    <t>FUSIBLE NH 125AMP</t>
  </si>
  <si>
    <t>PROTECTOR ALTA/BAJA TENSIÓN 40AMP</t>
  </si>
  <si>
    <t>INTERRUPTOR DE SEGURIDAD</t>
  </si>
  <si>
    <t>Bomba de leche</t>
  </si>
  <si>
    <t>534393100 CONTADOR VOLUMETRICO GICAR CON ADAPT</t>
  </si>
  <si>
    <t>537058400 ALIMENTADOR S30</t>
  </si>
  <si>
    <t>944704040 PISTON DIAM 44 STELPSEAL CON FONDO CAMARA</t>
  </si>
  <si>
    <t>946814010CONJ. RAMPA DESCAFEINADO</t>
  </si>
  <si>
    <t>966841020 CONJ CALENTADOR S30</t>
  </si>
  <si>
    <t>ESPATULA BROILER</t>
  </si>
  <si>
    <t>RESORTES PANINERA</t>
  </si>
  <si>
    <t>Plato Grande JF63 N</t>
  </si>
  <si>
    <t>Plato Chico JF63 N</t>
  </si>
  <si>
    <t>Tuerca Acero Chedar</t>
  </si>
  <si>
    <t>966486000 SENSOR DE TEMPERATURA</t>
  </si>
  <si>
    <t>MAGUERA 3/8 KIT FILTRO AGUA</t>
  </si>
  <si>
    <t>x metro</t>
  </si>
  <si>
    <t>MANIJA BLANCA TOPINERA</t>
  </si>
  <si>
    <t>MANIJA NEGRA TOPINERA</t>
  </si>
  <si>
    <t>TUERCA RESPALDO TOPINERA</t>
  </si>
  <si>
    <t>TUERCA SIN RESPALDO TOPINERA</t>
  </si>
  <si>
    <t>MANIJA EXTRACCIÓN TAYLOR</t>
  </si>
  <si>
    <t>RESORTE TOPINERA</t>
  </si>
  <si>
    <t>Soporte p/colgar Batidor</t>
  </si>
  <si>
    <t>Manija Columna Feteadora</t>
  </si>
  <si>
    <t>Tecla Encendido Feteadora</t>
  </si>
  <si>
    <t>Perilla Plato Feteadora</t>
  </si>
  <si>
    <t>Arandela Plastica Feteadora</t>
  </si>
  <si>
    <t>Prensa Fiambre Feteadora</t>
  </si>
  <si>
    <t>Perilla Ajusta Columna Feteadora</t>
  </si>
  <si>
    <t>Resistencia Horno UNOX</t>
  </si>
  <si>
    <t>531508600 CONTACTORA CIMBALLI</t>
  </si>
  <si>
    <t>VIDRIO INTERIOR HORNO UNOX</t>
  </si>
  <si>
    <t>VIDRIO EXTERIOR HORNO UNOX</t>
  </si>
  <si>
    <t>SOPORTE DE CAJA DE AIRE</t>
  </si>
  <si>
    <t>LAMPARAS DE PAPA 500 WATTS</t>
  </si>
  <si>
    <t>no se fabrica mas</t>
  </si>
  <si>
    <t>3781133399 MANOMETRO</t>
  </si>
  <si>
    <t>ORING CATTABRIGA                                  </t>
  </si>
  <si>
    <t>BAIRES</t>
  </si>
  <si>
    <t>TUBO ALIMENTACION CATTABRIGA</t>
  </si>
  <si>
    <t>Barra Cargadora 250mm</t>
  </si>
  <si>
    <t>Barra Cargadora 300mm</t>
  </si>
  <si>
    <t>Barra Cargadora 330mm</t>
  </si>
  <si>
    <t>Barra Cargadora 230mm</t>
  </si>
  <si>
    <t>Barra Cargadora 430mm</t>
  </si>
  <si>
    <t>KIT DE CEPILLOS IMPORTADO</t>
  </si>
  <si>
    <t>CORTINA CAMARA DE FRIO</t>
  </si>
  <si>
    <t>CUATRO MAR</t>
  </si>
  <si>
    <t>RESISTENCIA DE FREIDORA IG</t>
  </si>
  <si>
    <t>IG</t>
  </si>
  <si>
    <t>SERIGRAFIA DE TIMER DE PAPAS</t>
  </si>
  <si>
    <t>SETEC</t>
  </si>
  <si>
    <t>SENSOR GRUPO CAFE NACIONAL</t>
  </si>
  <si>
    <t>TEFLON PARA PLANCHA</t>
  </si>
  <si>
    <t>TACONIC</t>
  </si>
  <si>
    <t>CAMPANA PARA FRENTE PHU</t>
  </si>
  <si>
    <t>TERMOSTATO HI LIMIT FREIDORA</t>
  </si>
  <si>
    <t>VALVULA GAS FREIDORA IG</t>
  </si>
  <si>
    <t>BARRA TENSORA JF63/JF63N</t>
  </si>
  <si>
    <t>BARRA TENSORA JF64</t>
  </si>
  <si>
    <t>EJE DELANTERO CHICO JF63</t>
  </si>
  <si>
    <t>EJE DELANTERO GRANDE JF64</t>
  </si>
  <si>
    <t>EJE DELANTERO CHICO JF64 / JF63N GRANDE</t>
  </si>
  <si>
    <t>EJE DELANTERO CHICO JF63N</t>
  </si>
  <si>
    <t>LAMPARA 375W</t>
  </si>
  <si>
    <t>LUXRAM</t>
  </si>
  <si>
    <t>TENSOR TEFLON BROILLER</t>
  </si>
  <si>
    <t>Mismo codigo que 10013</t>
  </si>
  <si>
    <t>SOPORTE DE BANDEJA</t>
  </si>
  <si>
    <t>POMELLO LUNGO BIANCO</t>
  </si>
  <si>
    <t>CHAPA SUJECION TEFLON BR MV</t>
  </si>
  <si>
    <t>SEPARADOR CARNE MV LADO GRANDE</t>
  </si>
  <si>
    <t>SEPARADOR CARNE MV LADO CHICO</t>
  </si>
  <si>
    <t>PIÑON CADENA NAC TOSTADORA</t>
  </si>
  <si>
    <t>Antunes 7001339  TERMOSTATO PARA ACARAMELADORA</t>
  </si>
  <si>
    <t>PARTSTOWN</t>
  </si>
  <si>
    <t>Racord en T 532656700</t>
  </si>
  <si>
    <t xml:space="preserve">532656800 Racord T c/rosca Macho </t>
  </si>
  <si>
    <t xml:space="preserve">532657100 Racord Codo </t>
  </si>
  <si>
    <t xml:space="preserve"> 532658900 Racord Amarillo Codo</t>
  </si>
  <si>
    <t xml:space="preserve">966409000 Codo Entrada Leche Mang. </t>
  </si>
  <si>
    <t xml:space="preserve">402270000 Junta Cobre </t>
  </si>
  <si>
    <t xml:space="preserve"> 402302000 Junta Teflon</t>
  </si>
  <si>
    <t xml:space="preserve">463726000 Sensor Cajón Pozo  </t>
  </si>
  <si>
    <t xml:space="preserve">410146000 Iman Cajón de Pozo </t>
  </si>
  <si>
    <t xml:space="preserve">532567300 Racord Salida Volumetrico </t>
  </si>
  <si>
    <t>532650800 Racord Salida Grupo</t>
  </si>
  <si>
    <t xml:space="preserve">533900800 Válvula 3vias EDL </t>
  </si>
  <si>
    <t>Válvula Extraccion Simple</t>
  </si>
  <si>
    <t>Válvula Extraccion Combinada</t>
  </si>
  <si>
    <t>Rep. Válvula Extraccion Simple</t>
  </si>
  <si>
    <t>Rep. Válvula Extraccion Combinada</t>
  </si>
  <si>
    <t xml:space="preserve"> 59004010 MAGNETRÓN PARA MICROONDAS</t>
  </si>
  <si>
    <t>ACOPLE MACHO MANGUERA BR</t>
  </si>
  <si>
    <t>ACOPLE HEMBRA MANGUERA BR</t>
  </si>
  <si>
    <t>MOTOR EXTRACCION USADO</t>
  </si>
  <si>
    <t>TIRADOR P/ EMBREGUE CARGADOR CARNE</t>
  </si>
  <si>
    <t>CABLEADO CALDERA- CIMBALI</t>
  </si>
  <si>
    <t>JF63 SEPARADOR CHICO</t>
  </si>
  <si>
    <t>JF63 SEPARADOR GRANDE</t>
  </si>
  <si>
    <t>JF64 SEPARADOR CHICO</t>
  </si>
  <si>
    <t>JF64 SEPARADOR GRANDE</t>
  </si>
  <si>
    <t>TEFLON PARA BROILER</t>
  </si>
  <si>
    <t>966841010 Caldera S30 Nueva</t>
  </si>
  <si>
    <t>KIT ABLANDADOR DE AGUA</t>
  </si>
  <si>
    <t>PRIMATER</t>
  </si>
  <si>
    <t>FILTRO HQS CARBON</t>
  </si>
  <si>
    <t>Mercado libre Mexico</t>
  </si>
  <si>
    <t>CARTUCHO DE PREFILTRO EC 110</t>
  </si>
  <si>
    <t>CUCHILLA RASCADORA CATABRIGA</t>
  </si>
  <si>
    <t>MONITOR USADO DE 65"</t>
  </si>
  <si>
    <t>537058400 FUENTE DE ALIMENTACIÓN 24 V S30 USADO</t>
  </si>
  <si>
    <t>537060800 PLACA TRIACK S30 (NUEVA)</t>
  </si>
  <si>
    <t>MARCO FREEZER PAPAS</t>
  </si>
  <si>
    <t>PALANCA EXPULCION 431516030</t>
  </si>
  <si>
    <t>461054050 RESORTE</t>
  </si>
  <si>
    <t xml:space="preserve">531494300 CAPACITOR 10MF </t>
  </si>
  <si>
    <t xml:space="preserve">532091300 TECLA ENCENDIDO </t>
  </si>
  <si>
    <t xml:space="preserve">532302720 EMPALME Y  </t>
  </si>
  <si>
    <t xml:space="preserve">532600700 EMPALME PORTA GOMA </t>
  </si>
  <si>
    <t xml:space="preserve"> 532655700RACOR RECTO </t>
  </si>
  <si>
    <t>RACOR 90° 532658700F</t>
  </si>
  <si>
    <t xml:space="preserve"> 533180010 BOMBA INOX</t>
  </si>
  <si>
    <t>781742000 KIT E3</t>
  </si>
  <si>
    <t>KIT M 781743000</t>
  </si>
  <si>
    <t xml:space="preserve">944708000 KIT EMPAQUE RASPADOR </t>
  </si>
  <si>
    <t xml:space="preserve">944715000 DESLIZADOR FONDOS </t>
  </si>
  <si>
    <t>946781020 MOLIENDA COMPLETA DER.</t>
  </si>
  <si>
    <t xml:space="preserve">946804000 CAJON DE FONDOS </t>
  </si>
  <si>
    <t xml:space="preserve">966012020 AISLANTE DERA PERFORADO </t>
  </si>
  <si>
    <t>966013020 AISLANTE CALDERA</t>
  </si>
  <si>
    <t xml:space="preserve"> 966153000 POSICION TAZA</t>
  </si>
  <si>
    <t>966432000 BOQUILLA DIAM 0,6MM</t>
  </si>
  <si>
    <t xml:space="preserve"> 966519010 MOTOREDUCTOR ( MOLIENDA) </t>
  </si>
  <si>
    <t>KIT EM 966957000</t>
  </si>
  <si>
    <t>MONITOR USADO DE 43"</t>
  </si>
  <si>
    <t>610003110 TIRAS REACTIVAS DE AGUA</t>
  </si>
  <si>
    <t>461111000 PISTON SUPERIOR D 50</t>
  </si>
  <si>
    <t>531508600 MINICONTACTOR 20 A</t>
  </si>
  <si>
    <t>966549002F TUBO ELECTROVALVULAS</t>
  </si>
  <si>
    <t>3251133417 GOMA ANTIVIBR CON SOPORTE</t>
  </si>
  <si>
    <t>4001042313 CLAVIJA HEXAGONO INC GR M5</t>
  </si>
  <si>
    <t>461115015 PORTEPISTON D44</t>
  </si>
  <si>
    <t>4821108987 SEMICUERPO JUNTA BOMBA</t>
  </si>
  <si>
    <t>401235020 EMPAQUE 11*6,5*1,5</t>
  </si>
  <si>
    <t>402195010 OR 9,25*1,78* NFS</t>
  </si>
  <si>
    <t>402302000 JUNTA 17-13,2*1,5</t>
  </si>
  <si>
    <t>4081021923 ANILLO</t>
  </si>
  <si>
    <t>461080000 RESORTE PISTON SUP.</t>
  </si>
  <si>
    <t>481361000 FILTRO BOQUILLA</t>
  </si>
  <si>
    <t>4821023082 SEMICUERPO JUNTA MOTOR</t>
  </si>
  <si>
    <t>531194810 SONDA BOILER CAFE</t>
  </si>
  <si>
    <t>531494200 CONDENSADOR 14MF MET 41633929</t>
  </si>
  <si>
    <t>532162200 SUJETA CABLE</t>
  </si>
  <si>
    <t>532302500 TUBO ESPIRALADO</t>
  </si>
  <si>
    <t>532662300F RACOR CODO G3/8 M ORIENTABLE D8</t>
  </si>
  <si>
    <t>532746200 ABRAZADERA CON TORNILLO</t>
  </si>
  <si>
    <t>931301000 GUIA DESENGANCHE PALANCA EXPULSION FOND</t>
  </si>
  <si>
    <t>940072002F RACOR DIFUSOR CALENTADOR 1/8 GAS</t>
  </si>
  <si>
    <t>946805020 CONJ.CUBETA LAVADO S20/S30</t>
  </si>
  <si>
    <t>966026000 DOBLADORA DE TUBO</t>
  </si>
  <si>
    <t>966220010 REJILLA CUBETA</t>
  </si>
  <si>
    <t>981153000 NIPLE 3/8 GAS C/FILTRO</t>
  </si>
  <si>
    <t>CANASTA SOLIDA TEFLONADA PARA H. PRATICA</t>
  </si>
  <si>
    <t>CHAPON REFLECTOR BR MV GRANDE</t>
  </si>
  <si>
    <t>NO DEBERIAN ESTAR EN EL STOCK, son acondicionamiento de broiler MV</t>
  </si>
  <si>
    <t>CHAPON REFLECTOR BR MV CHICO</t>
  </si>
  <si>
    <t>PLAFON EMBUTIR CIRCULAR X 12 W FRIO</t>
  </si>
  <si>
    <t>PLAFON EMBUTIR CIRCULAR X 18 W FRIO</t>
  </si>
  <si>
    <t>REFLECTOR LED X 20 W FRIO</t>
  </si>
  <si>
    <t>PRONTO ELECTRICA</t>
  </si>
  <si>
    <t>LAMPARA LED AR 111 FRIA</t>
  </si>
  <si>
    <t>LAMPARA PERA FILAMENTO LED VINTAGE</t>
  </si>
  <si>
    <t>966513002F TUBO SENSOR PRESION</t>
  </si>
  <si>
    <t>BISAGRA HORNO UNOX</t>
  </si>
  <si>
    <t>CONTRA BISAGRA HORNO UNOX</t>
  </si>
  <si>
    <t>GUIA DE BANDEJA P/HORNO ( JUEGO DER-IZQ)</t>
  </si>
  <si>
    <t>SOPLADOR DE BROILER ORIGINAL</t>
  </si>
  <si>
    <t>CONTROLADOR DE MOTOR BROILER ORIGINAL</t>
  </si>
  <si>
    <t>KIT DE REPUESTOS BROILER MV</t>
  </si>
  <si>
    <t>Vino con el broiler no tiene codigo de parte porque son varios</t>
  </si>
  <si>
    <t>VALVULA EAC USADA</t>
  </si>
  <si>
    <t>533902500 VALVULA EAR USADA</t>
  </si>
  <si>
    <t>3781133399 MANOMETRO CIMBALLI USADO</t>
  </si>
  <si>
    <t>533180010 BOMBA INOX CIMBALLI USADO</t>
  </si>
  <si>
    <t>533896940F VALVULA EV 3 VIAS USADA</t>
  </si>
  <si>
    <t>PLACA MANITOWOC USADA 000007926</t>
  </si>
  <si>
    <t xml:space="preserve">63925SER PLACA TAYLOR  USADA </t>
  </si>
  <si>
    <t>TAYLOR</t>
  </si>
  <si>
    <t>537060800 PLACA TRIACK USADA</t>
  </si>
  <si>
    <t>BANDEJA DE HORNO PRATICA</t>
  </si>
  <si>
    <t>966846040 PLACA CPU USADA</t>
  </si>
  <si>
    <t>son placas para reparar</t>
  </si>
  <si>
    <t>PLACA FLEX</t>
  </si>
  <si>
    <t>SENSOR DE NIVEL USADO</t>
  </si>
  <si>
    <t>944881020F VALVULA DE EXPANSION USADA</t>
  </si>
  <si>
    <t>VALVULA 3 VIAS G</t>
  </si>
  <si>
    <t>944794010 ARIADOR USADO</t>
  </si>
  <si>
    <t>532657700 VALVULA ANT. 6MM</t>
  </si>
  <si>
    <t>3951133673 CAPILAR USADO</t>
  </si>
  <si>
    <t>BOMBA PRESURISADORA</t>
  </si>
  <si>
    <t>KIT HORNO PRATICA</t>
  </si>
  <si>
    <t>Tengo que dividir el repuesto en varios item</t>
  </si>
  <si>
    <t>KIT BOMBA TAYLOR USADO</t>
  </si>
  <si>
    <t>FICHA 10 AMP</t>
  </si>
  <si>
    <t>FICHA STECK MACHO</t>
  </si>
  <si>
    <t>REFLECTORES 50 W</t>
  </si>
  <si>
    <t>KIT TERMICAS</t>
  </si>
  <si>
    <t>KIT 220 VOLTS</t>
  </si>
  <si>
    <t>REJILLA FREIDORA IG</t>
  </si>
  <si>
    <t>SALPICADERO USADO</t>
  </si>
  <si>
    <t>son para reparar</t>
  </si>
  <si>
    <t>QUEMADOR INF JF 63 USADO</t>
  </si>
  <si>
    <t>CAJA DE AIRE USADA JF 63</t>
  </si>
  <si>
    <t>TOLVA DE CHOCOLATE USADA</t>
  </si>
  <si>
    <t>KIT TOLVA CAFÉ</t>
  </si>
  <si>
    <t>BANDEJA DESAGUE CIMBALLI</t>
  </si>
  <si>
    <t>TAPA TRASERA S30 USADA</t>
  </si>
  <si>
    <t>946531000 TAPA SUPERIOR S30 USADA</t>
  </si>
  <si>
    <t>946807000 TAPA LATERAL S30 USADA</t>
  </si>
  <si>
    <t>GRUPO CAFÉ USADO</t>
  </si>
  <si>
    <t>Son solo carcazas</t>
  </si>
  <si>
    <t>CALDERA ROTA GRANDE</t>
  </si>
  <si>
    <t>son rotas para reparar</t>
  </si>
  <si>
    <t>CALDERA ROTA CHICA</t>
  </si>
  <si>
    <t>946782020 MOTOR DE MOLIENDA USADO</t>
  </si>
  <si>
    <t>530298120 MOTOR DE AGUA USADO</t>
  </si>
  <si>
    <t>946811000 TORRE DE DOSIFICACION COMPLETA USADA</t>
  </si>
  <si>
    <t>TAPA GRUPO CAFÉ USADA</t>
  </si>
  <si>
    <t>985758010 LANZA DE VAPOR USADA</t>
  </si>
  <si>
    <t>946811000 LANZA DE TE USADA</t>
  </si>
  <si>
    <t>CONTROLADRO DE MOTOR BR USADO</t>
  </si>
  <si>
    <t>BURLETE HORNO UNOX</t>
  </si>
  <si>
    <t>401347000 KIT A Orring grande negro</t>
  </si>
  <si>
    <t>966402010 KIT A Gitante Mixer</t>
  </si>
  <si>
    <t>402223000 KIT A Orring verde</t>
  </si>
  <si>
    <t>402186010 KIT A Orring transparente chico</t>
  </si>
  <si>
    <t>402187010 KIT A  Orring transparente grande</t>
  </si>
  <si>
    <t>401374000 KIT A Orring chico negro</t>
  </si>
  <si>
    <t>461518000 KIT A filtro de grupo</t>
  </si>
  <si>
    <t>936188000 KIT A Arandela blanca de piston</t>
  </si>
  <si>
    <t>936197000 KIT A tornillo inox punta azul</t>
  </si>
  <si>
    <t>Numero de parte incorrecto</t>
  </si>
  <si>
    <t>532658900 KIT A racor codo</t>
  </si>
  <si>
    <t>532655600 KIT A RACORD ACOPLE</t>
  </si>
  <si>
    <t>532657600 KIT A Racor Doble</t>
  </si>
  <si>
    <t>946813000 KIT A Pico salida café</t>
  </si>
  <si>
    <t>484391000 KIT B manguera de leche</t>
  </si>
  <si>
    <t>944794010 KIT B embudo Circuito de leche</t>
  </si>
  <si>
    <t>946740000 KIT B pico salida de leche</t>
  </si>
  <si>
    <t>946810000 KIT C  zonda Caldera</t>
  </si>
  <si>
    <t>946235000 KIT C tubo manguera 12,5 cm</t>
  </si>
  <si>
    <t>946233000 KIT C tubo manguera 11,5 cm</t>
  </si>
  <si>
    <t>946234000 KIT C  tubo manguera 10,5 cm</t>
  </si>
  <si>
    <t>946240000 KIT C tubo manguera 19 cm</t>
  </si>
  <si>
    <t>946241000 KIT C TUBO SILICONA6X 10 DE 15 CM</t>
  </si>
  <si>
    <t>946238000 KIT C TUBO MANGUERA ENRROLLADA CHICO</t>
  </si>
  <si>
    <t>946239000 KIT C TUBO SILICONA 4,8 X 7,9 ENROLLADA</t>
  </si>
  <si>
    <t>946236000 KIT C Tubo manguera enrrollada grande</t>
  </si>
  <si>
    <t>946237000 KIT C  TUBO SILICONA6X 10 GRANDE</t>
  </si>
  <si>
    <t>401183010 KIT C ARANDELA BLANCA</t>
  </si>
  <si>
    <t>981153000 KIT C NIPLE 3/8</t>
  </si>
  <si>
    <t>402195000 KIT C ORRING VERDE 9,25 X 1,78</t>
  </si>
  <si>
    <t>481361000 KIT C FILTRO SENSOR  9X 1,5</t>
  </si>
  <si>
    <t>Soporte de maquina de hielo Manitowc "J"</t>
  </si>
  <si>
    <t>TEC SOLUCIONES</t>
  </si>
  <si>
    <t>Manifold  R22/410/404/407</t>
  </si>
  <si>
    <t>LOPE DE VEGA</t>
  </si>
  <si>
    <t>Forzador de Camara 30 Soplante</t>
  </si>
  <si>
    <t>Forzador de Camara 30 Aspirante</t>
  </si>
  <si>
    <t>Forzador de Camara 35 Aspirante</t>
  </si>
  <si>
    <t>Forzador de Camara 35 Soplante</t>
  </si>
  <si>
    <t>19913 Buje plastico para precadena</t>
  </si>
  <si>
    <t>Cadena de Broiler MV64E 230 mm</t>
  </si>
  <si>
    <t>Cadena de Broiler MV64E 430 mm</t>
  </si>
  <si>
    <t>BUJE PLASTICO PRECADENA</t>
  </si>
  <si>
    <t>PISO DE GOMA ANTIDESLIZANTE X MT</t>
  </si>
  <si>
    <t>ARIPAFE</t>
  </si>
  <si>
    <t>21204 # canaleta para grasa JF63</t>
  </si>
  <si>
    <t>canaleta para grasa JF64</t>
  </si>
  <si>
    <t>CONTRAAGITADOR COMPLETO</t>
  </si>
  <si>
    <t>TAPA P/FREEZER [JUEGO 1 CCO + 1 GDE]</t>
  </si>
  <si>
    <t>14896 Cojinete interno Embrague</t>
  </si>
  <si>
    <t>22929 Transformador Nieco</t>
  </si>
  <si>
    <t>16034 Transformador Nieco  24 V usado</t>
  </si>
  <si>
    <t>16034 Transformador Nieco  24 V</t>
  </si>
  <si>
    <t>7001580 Antunes Tecla de encendido</t>
  </si>
  <si>
    <t>15480 Interruptor disyuntor Nieco , 2 polos, 50 A Usado</t>
  </si>
  <si>
    <t>13579 Pulsador, inversión de motor Usado</t>
  </si>
  <si>
    <t>532652000 EMPALME RAPIDO A CODO</t>
  </si>
  <si>
    <t>944088000F FILTRO D.50 250 MICRAS</t>
  </si>
  <si>
    <t>532655900 RAC.GOM. G1/8 M</t>
  </si>
  <si>
    <t>402246010 Oring  55,25X2,62</t>
  </si>
  <si>
    <t xml:space="preserve">946372000  REGULADOR DE FLUJO 1/8 NIQUELADO </t>
  </si>
  <si>
    <t>534600100 FILTRO SILENCIADOR</t>
  </si>
  <si>
    <t>012721 Cuplin de Taylor 3/4 "X 1 7/8"</t>
  </si>
  <si>
    <t>431914010 MOTOR 24V 420RPM</t>
  </si>
  <si>
    <t>23159 Placa Flex Usada</t>
  </si>
  <si>
    <t>Evetec</t>
  </si>
  <si>
    <t>055987 PERNO PARA TORNILLO DE FREEZER DOOR USADO</t>
  </si>
  <si>
    <t>JRF</t>
  </si>
  <si>
    <t>32564 EJE DE BATIDOR USADO</t>
  </si>
  <si>
    <t>021286SER1 Reductor de Taylor 713/716 USADO</t>
  </si>
  <si>
    <t>JTC</t>
  </si>
  <si>
    <t>021522-27  Taylor 089459-27 MOTOR USADO</t>
  </si>
  <si>
    <t>053481-27 Motor De Ventilador (TURBINA) usado</t>
  </si>
  <si>
    <t>048259-27H COMPRESSOR Taylor USADO</t>
  </si>
  <si>
    <t>533897820 Valvula  2VIE 1/8G usada</t>
  </si>
  <si>
    <t>G29090-CF23 HEADSET HS6200</t>
  </si>
  <si>
    <t>104G044 BATERIAS BAT50</t>
  </si>
  <si>
    <t>25331 Separador Porta Phu</t>
  </si>
  <si>
    <t>28112 - Chapon Trasero JF 64</t>
  </si>
  <si>
    <t>BANDEJA DE GOTEO FRONTAL - 500MM TAYLOR</t>
  </si>
  <si>
    <t xml:space="preserve">Termistor Taylor </t>
  </si>
  <si>
    <t>Taylor</t>
  </si>
  <si>
    <t>533896630R VALVULA EV 2 VIE D3 24VCC</t>
  </si>
  <si>
    <t>Bandeja Lateral Taylor 713</t>
  </si>
  <si>
    <t>Frente Polieste Round up</t>
  </si>
  <si>
    <t>Quemador Inferior JF 64 Nacional</t>
  </si>
  <si>
    <t>R-KPE2107A  Kit Panel control Horno Unox</t>
  </si>
  <si>
    <t>CONECTECH</t>
  </si>
  <si>
    <t>KIT CRISTAL UNICO SUPERIOR NEGRO RALLAS Paninera</t>
  </si>
  <si>
    <t>IC743000114  Vaselina Cattabriga</t>
  </si>
  <si>
    <t>IC155-005945 VARILLA NIVEL COMPLETA Cattabriga</t>
  </si>
  <si>
    <t>IC118108120 Cuerpo frente Cattabriga</t>
  </si>
  <si>
    <t>Caldera reparada</t>
  </si>
  <si>
    <t>Resistencia de Broiler electrico MV/JF</t>
  </si>
  <si>
    <t>RESISTENCIAS ELECTRO</t>
  </si>
  <si>
    <t>Escudo de Calor JF 64</t>
  </si>
  <si>
    <t>Sensor de hielo Manitowc</t>
  </si>
  <si>
    <t>Sonda de temperatura de Cattabriga</t>
  </si>
  <si>
    <t xml:space="preserve">Caja de Aire JF 63 </t>
  </si>
  <si>
    <t>Separador Cambro Broiler JF 63</t>
  </si>
  <si>
    <t>02-5028-02 Solapa con Iman Scotman</t>
  </si>
  <si>
    <t>02-5029-01 Deflector Scotman</t>
  </si>
  <si>
    <t>11-0606-02 Termistores Scotman</t>
  </si>
  <si>
    <t>12-3122-26 Bomba de Agua Scotman</t>
  </si>
  <si>
    <t>Grasera plancha chica</t>
  </si>
  <si>
    <t>Grasera plancha mediana</t>
  </si>
  <si>
    <t>Chapon delantero JF64</t>
  </si>
  <si>
    <t>Resistencia de Broiler Electrico Grande  JF Nacional</t>
  </si>
  <si>
    <t>Resistencia Transfer de hamburguesa</t>
  </si>
  <si>
    <t>Filtro de cobre 30 Gm con chocote</t>
  </si>
  <si>
    <t>Motocompresor R134 Freezer papas/freezer BR</t>
  </si>
  <si>
    <t>Valvula de carga para soldar</t>
  </si>
  <si>
    <t>Combistato de 1 sonda</t>
  </si>
  <si>
    <t>Cable tipo taller por mt</t>
  </si>
  <si>
    <t>934168010 Empalme Portagoma acoplamiento rapido S20</t>
  </si>
  <si>
    <t>936159045F Fondo de Camara Diametro 44</t>
  </si>
  <si>
    <t>936318000 Agitador para Molinillo</t>
  </si>
  <si>
    <t>944706030 Piston Diametro 44 Stepseal</t>
  </si>
  <si>
    <t>946792020 Moledor Izq Completo</t>
  </si>
  <si>
    <t>947155000 Etiqueta Aire Fria</t>
  </si>
  <si>
    <t>966234010 Base Tolva Cafe Doble</t>
  </si>
  <si>
    <t>781739020 Kit B PPM S20</t>
  </si>
  <si>
    <t>781741000 Kit E22 PPM S20</t>
  </si>
  <si>
    <t>781745000 Kit "C" PPM S20</t>
  </si>
  <si>
    <t>781740010 Kit E1 PPM S20</t>
  </si>
  <si>
    <t>966957020 Kit "EM" CBM S30-S20</t>
  </si>
  <si>
    <t>418925002 Valvula Retencion 1/8</t>
  </si>
  <si>
    <t>419506030 Form. Valvula de Retencion</t>
  </si>
  <si>
    <t>532567400 Empalme a Codo AD4 a D6</t>
  </si>
  <si>
    <t>532657000 Racor Rapido Recto 6M-4F</t>
  </si>
  <si>
    <t>966409000 Racor P. Goma Emp rapido D4</t>
  </si>
  <si>
    <t>976727000 Chapa cierre Camara</t>
  </si>
  <si>
    <t>981011000F Conjunto de Tubo sensor de presion</t>
  </si>
  <si>
    <t>FRENTE HELADERA VERTICAL - 550x200MM [CHICO]</t>
  </si>
  <si>
    <t>BANDEJA DE GOTEO FRONTAL CATTABRIGA</t>
  </si>
  <si>
    <t>SENSOR DE NIVEL CATTABRIGA</t>
  </si>
  <si>
    <t>Relay Finder Cattabriga</t>
  </si>
  <si>
    <t>Ruedas Freezer papas/broiler</t>
  </si>
  <si>
    <t>Sensor de freezer door</t>
  </si>
  <si>
    <t>Tuerca Grupo Café</t>
  </si>
  <si>
    <t xml:space="preserve"> 932013010 Soporte solapa</t>
  </si>
  <si>
    <t>IDITEC</t>
  </si>
  <si>
    <t xml:space="preserve"> 966171000 Rampa de salida de producto</t>
  </si>
  <si>
    <t>EV. 3 VÍAS ETV-SO2 (ELF3)</t>
  </si>
  <si>
    <t>Sensor de Temperatura</t>
  </si>
  <si>
    <t>530298120MOTOR BOMBA 220 -240/50-60</t>
  </si>
  <si>
    <t>VÁLVULA 3 VÍAS RPE diám. 1,5</t>
  </si>
  <si>
    <t>946453000 Engranaje Conico</t>
  </si>
  <si>
    <t>966519010 MOTORREDUCTOR</t>
  </si>
  <si>
    <t xml:space="preserve">537060800 TARJETA TRIAC S30	</t>
  </si>
  <si>
    <t>966011002F RACOR DIFUSOR CALDERA</t>
  </si>
  <si>
    <t xml:space="preserve">ELECTROV. 3 VÍAS	</t>
  </si>
  <si>
    <t>Tubo de Alimentacion Catabriga Nacional</t>
  </si>
  <si>
    <t>ACCES TECH</t>
  </si>
  <si>
    <t>966485000 RES. DE CARTUCHO C/CON.</t>
  </si>
  <si>
    <t>966846040 TARJETA CPU</t>
  </si>
  <si>
    <t>Cimbali</t>
  </si>
  <si>
    <t>Precio de Lista</t>
  </si>
  <si>
    <t>Margen Gancia</t>
  </si>
  <si>
    <t>LOS INVENCIBLES S,A (GUEMES)</t>
  </si>
  <si>
    <t>10020</t>
  </si>
  <si>
    <t>Válvula Seguridad 532392700</t>
  </si>
  <si>
    <t>MTZ CABILDO SAS</t>
  </si>
  <si>
    <t>ZONSUR S.R.L. (S. LIBERTAD)</t>
  </si>
  <si>
    <t>10755</t>
  </si>
  <si>
    <t>10774</t>
  </si>
  <si>
    <t>00008549</t>
  </si>
  <si>
    <t>EVOLUCION DRF S.R.L</t>
  </si>
  <si>
    <t>00008613</t>
  </si>
  <si>
    <t>SAMBU S.A.S.</t>
  </si>
  <si>
    <t>10119</t>
  </si>
  <si>
    <t>KIT DE CONDUCTO (TOBOGAN)</t>
  </si>
  <si>
    <t>00008584</t>
  </si>
  <si>
    <t>00008615</t>
  </si>
  <si>
    <t>BURGERBUS S.A.</t>
  </si>
  <si>
    <t>10136</t>
  </si>
  <si>
    <t>PLACA TRIAK SCHEDA</t>
  </si>
  <si>
    <t>10190</t>
  </si>
  <si>
    <t>CONTADOR VOLUMETRICO GICAR CON ADAPT</t>
  </si>
  <si>
    <t>00008544</t>
  </si>
  <si>
    <t>10333</t>
  </si>
  <si>
    <t>10334</t>
  </si>
  <si>
    <t>00008531</t>
  </si>
  <si>
    <t>00008596</t>
  </si>
  <si>
    <t>00008768</t>
  </si>
  <si>
    <t>DRAS SRL</t>
  </si>
  <si>
    <t>10417</t>
  </si>
  <si>
    <t>RACOR RECTO 532655700</t>
  </si>
  <si>
    <t>00008512</t>
  </si>
  <si>
    <t>BOEDO GOURMET SRL</t>
  </si>
  <si>
    <t>10419</t>
  </si>
  <si>
    <t>BOMBA INOX 533180010</t>
  </si>
  <si>
    <t>00008629</t>
  </si>
  <si>
    <t>AMICI VERDE S.R.L.</t>
  </si>
  <si>
    <t>00008614</t>
  </si>
  <si>
    <t>REDFOOD SRL</t>
  </si>
  <si>
    <t>00008659</t>
  </si>
  <si>
    <t>PARADOR 71 SRL(LINIERS)</t>
  </si>
  <si>
    <t>00008713</t>
  </si>
  <si>
    <t>FRANUS S.A.</t>
  </si>
  <si>
    <t>10421</t>
  </si>
  <si>
    <t>00008727</t>
  </si>
  <si>
    <t>10436</t>
  </si>
  <si>
    <t>10644</t>
  </si>
  <si>
    <t>00008490</t>
  </si>
  <si>
    <t>JULUSA S.R.L</t>
  </si>
  <si>
    <t>00008525</t>
  </si>
  <si>
    <t>00008561</t>
  </si>
  <si>
    <t>PUESTO RICO SA</t>
  </si>
  <si>
    <t>10887</t>
  </si>
  <si>
    <t>936045000 ANILLO BENZING OPTURADOR FOTOCELULA</t>
  </si>
  <si>
    <t>10888</t>
  </si>
  <si>
    <t>944704040 PISTÓN DIÁM 44 STEPSEAL CON FONDO CÁMARA</t>
  </si>
  <si>
    <t>00008758</t>
  </si>
  <si>
    <t>00009218</t>
  </si>
  <si>
    <t>L.C. TRESM S.R.L.</t>
  </si>
  <si>
    <t>00009197</t>
  </si>
  <si>
    <t>ZVEZA S.R.L.</t>
  </si>
  <si>
    <t>10801</t>
  </si>
  <si>
    <t>00009223</t>
  </si>
  <si>
    <t>LIBERTAD OPERACIONES  S.A</t>
  </si>
  <si>
    <t>10908</t>
  </si>
  <si>
    <t>746710000 KIT Caldera S30 con tapa posterior y jun</t>
  </si>
  <si>
    <t>00008974</t>
  </si>
  <si>
    <t>00008950</t>
  </si>
  <si>
    <t>ZONSUR S.R.L. (GOMEZ PARDO)</t>
  </si>
  <si>
    <t>10594</t>
  </si>
  <si>
    <t>00008883</t>
  </si>
  <si>
    <t>10642</t>
  </si>
  <si>
    <t>10418</t>
  </si>
  <si>
    <t>00008822</t>
  </si>
  <si>
    <t>ZENTA FOOD S.A.S</t>
  </si>
  <si>
    <t>00008825</t>
  </si>
  <si>
    <t>Gancho para separador de carnes</t>
  </si>
  <si>
    <t>FERNANDEZ NATALIA Y DE ZUBIZAR</t>
  </si>
  <si>
    <t>IDAVE SRL</t>
  </si>
  <si>
    <t>BARSI FOODS S.A (SAN ISIDRO)</t>
  </si>
  <si>
    <t>VILLA MATILDE MDQ S.A (LA PERL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</si>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</sst>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$&quot;\ * #,##0.00_-;\-&quot;$&quot;\ * #,##0.00_-;_-&quot;$&quot;\ * &quot;-&quot;??_-;_-@_-"/>
    <numFmt numFmtId="165" formatCode="_-[$USD]\ * #,##0.00_-;\-[$USD]\ * #,##0.00_-;_-[$USD]\ * &quot;-&quot;??_-;_-@_-"/>
    <numFmt numFmtId="166" formatCode="_-[$$-2C0A]\ * #,##0.00_-;\-[$$-2C0A]\ * #,##0.00_-;_-[$$-2C0A]\ * &quot;-&quot;??_-;_-@_-"/>
    <numFmt numFmtId="167" formatCode="_-* #,##0.00\ [$€-C0A]_-;\-* #,##0.00\ [$€-C0A]_-;_-* &quot;-&quot;??\ [$€-C0A]_-;_-@_-"/>
  </numFmts>
  <fonts count="13" x14ac:knownFonts="1">
    <font>
      <sz val="10"/>
      <name val="Arial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b/>
      <sz val="9"/>
      <name val="Aptos Narrow"/>
      <family val="2"/>
    </font>
    <font>
      <sz val="10"/>
      <name val="Aptos Narrow"/>
      <family val="2"/>
    </font>
    <font>
      <sz val="9"/>
      <color rgb="FF323C46"/>
      <name val="Montserrat"/>
    </font>
    <font>
      <sz val="8"/>
      <color rgb="FF323C46"/>
      <name val="Montserrat"/>
    </font>
    <font>
      <sz val="11"/>
      <color rgb="FF000000"/>
      <name val="Aptos Narrow"/>
      <family val="2"/>
      <scheme val="minor"/>
    </font>
    <font>
      <sz val="7"/>
      <color rgb="FF000000"/>
      <name val="Montserrat"/>
    </font>
    <font>
      <sz val="7"/>
      <color rgb="FF323C46"/>
      <name val="Montserrat"/>
    </font>
    <font>
      <sz val="11"/>
      <color rgb="FF000000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/>
    <xf numFmtId="0" fontId="2" fillId="0" borderId="0"/>
    <xf numFmtId="164" fontId="2" fillId="0" borderId="0" applyFont="0" applyFill="0" applyBorder="0" applyAlignment="0" applyProtection="0"/>
  </cellStyleXfs>
  <cellXfs count="44">
    <xf numFmtId="0" fontId="0" fillId="0" borderId="0" xfId="0"/>
    <xf numFmtId="0" fontId="4" fillId="0" borderId="0" xfId="0" applyFont="1"/>
    <xf numFmtId="14" fontId="0" fillId="0" borderId="0" xfId="0" applyNumberFormat="1"/>
    <xf numFmtId="165" fontId="0" fillId="0" borderId="0" xfId="0" applyNumberFormat="1" applyAlignment="1">
      <alignment horizontal="right"/>
    </xf>
    <xf numFmtId="165" fontId="0" fillId="0" borderId="0" xfId="0" applyNumberFormat="1"/>
    <xf numFmtId="2" fontId="0" fillId="0" borderId="0" xfId="0" applyNumberFormat="1"/>
    <xf numFmtId="0" fontId="5" fillId="2" borderId="0" xfId="1" applyFont="1" applyFill="1" applyAlignment="1">
      <alignment horizontal="center" vertical="center"/>
    </xf>
    <xf numFmtId="0" fontId="5" fillId="2" borderId="1" xfId="1" applyFont="1" applyFill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2" fillId="3" borderId="0" xfId="1" applyFill="1"/>
    <xf numFmtId="0" fontId="2" fillId="0" borderId="0" xfId="1"/>
    <xf numFmtId="0" fontId="6" fillId="0" borderId="0" xfId="1" applyFont="1" applyAlignment="1">
      <alignment horizontal="center" vertical="center"/>
    </xf>
    <xf numFmtId="0" fontId="6" fillId="0" borderId="0" xfId="1" applyFont="1" applyAlignment="1">
      <alignment horizontal="center"/>
    </xf>
    <xf numFmtId="0" fontId="6" fillId="0" borderId="0" xfId="1" applyFont="1"/>
    <xf numFmtId="165" fontId="2" fillId="0" borderId="0" xfId="1" applyNumberFormat="1"/>
    <xf numFmtId="166" fontId="2" fillId="0" borderId="0" xfId="1" applyNumberFormat="1"/>
    <xf numFmtId="2" fontId="2" fillId="3" borderId="0" xfId="1" applyNumberFormat="1" applyFill="1"/>
    <xf numFmtId="2" fontId="2" fillId="0" borderId="0" xfId="1" applyNumberFormat="1"/>
    <xf numFmtId="0" fontId="2" fillId="4" borderId="0" xfId="1" applyFill="1"/>
    <xf numFmtId="0" fontId="7" fillId="0" borderId="0" xfId="1" applyFont="1"/>
    <xf numFmtId="0" fontId="7" fillId="5" borderId="0" xfId="1" applyFont="1" applyFill="1" applyAlignment="1">
      <alignment vertical="center" wrapText="1"/>
    </xf>
    <xf numFmtId="167" fontId="2" fillId="0" borderId="0" xfId="1" applyNumberFormat="1"/>
    <xf numFmtId="165" fontId="3" fillId="0" borderId="0" xfId="1" applyNumberFormat="1" applyFont="1"/>
    <xf numFmtId="167" fontId="0" fillId="0" borderId="0" xfId="2" applyNumberFormat="1" applyFont="1" applyBorder="1"/>
    <xf numFmtId="0" fontId="8" fillId="0" borderId="0" xfId="1" applyFont="1"/>
    <xf numFmtId="16" fontId="2" fillId="0" borderId="0" xfId="1" applyNumberFormat="1"/>
    <xf numFmtId="0" fontId="6" fillId="0" borderId="2" xfId="1" applyFont="1" applyBorder="1"/>
    <xf numFmtId="0" fontId="9" fillId="0" borderId="0" xfId="1" applyFont="1"/>
    <xf numFmtId="0" fontId="9" fillId="0" borderId="2" xfId="1" applyFont="1" applyBorder="1" applyAlignment="1">
      <alignment wrapText="1"/>
    </xf>
    <xf numFmtId="0" fontId="10" fillId="0" borderId="0" xfId="1" applyFont="1"/>
    <xf numFmtId="0" fontId="9" fillId="0" borderId="3" xfId="1" applyFont="1" applyBorder="1"/>
    <xf numFmtId="0" fontId="11" fillId="0" borderId="0" xfId="1" applyFont="1"/>
    <xf numFmtId="0" fontId="2" fillId="0" borderId="0" xfId="1" applyAlignment="1">
      <alignment horizontal="center"/>
    </xf>
    <xf numFmtId="0" fontId="1" fillId="0" borderId="0" xfId="0" applyFont="1"/>
    <xf numFmtId="0" fontId="9" fillId="0" borderId="3" xfId="0" applyFont="1" applyBorder="1"/>
    <xf numFmtId="0" fontId="6" fillId="0" borderId="0" xfId="0" applyFont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center"/>
    </xf>
    <xf numFmtId="165" fontId="1" fillId="0" borderId="0" xfId="0" applyNumberFormat="1" applyFont="1"/>
    <xf numFmtId="166" fontId="1" fillId="0" borderId="0" xfId="0" applyNumberFormat="1" applyFont="1"/>
    <xf numFmtId="0" fontId="12" fillId="0" borderId="2" xfId="0" applyFont="1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left"/>
    </xf>
  </cellXfs>
  <cellStyles count="3">
    <cellStyle name="Moneda 2" xfId="2" xr:uid="{D598B166-DF6F-4B6F-8F45-2377ECDA1655}"/>
    <cellStyle name="Normal" xfId="0" builtinId="0"/>
    <cellStyle name="Normal 2" xfId="1" xr:uid="{098A76F3-E54C-4D48-B346-7141F2C17343}"/>
  </cellStyles>
  <dxfs count="2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-[$USD]\ * #,##0.00_-;\-[$USD]\ * #,##0.00_-;_-[$USD]\ 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65" formatCode="_-[$USD]\ * #,##0.00_-;\-[$USD]\ * #,##0.00_-;_-[$USD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-[$USD]\ * #,##0.00_-;\-[$USD]\ * #,##0.00_-;_-[$USD]\ 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65" formatCode="_-[$USD]\ * #,##0.00_-;\-[$USD]\ * #,##0.00_-;_-[$USD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_-[$$-2C0A]\ * #,##0.00_-;\-[$$-2C0A]\ * #,##0.00_-;_-[$$-2C0A]\ 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66" formatCode="_-[$$-2C0A]\ * #,##0.00_-;\-[$$-2C0A]\ * #,##0.00_-;_-[$$-2C0A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-[$USD]\ * #,##0.00_-;\-[$USD]\ * #,##0.00_-;_-[$USD]\ 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65" formatCode="_-[$USD]\ * #,##0.00_-;\-[$USD]\ * #,##0.00_-;_-[$USD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fill>
        <patternFill patternType="solid">
          <fgColor indexed="64"/>
          <bgColor indexed="44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65" formatCode="_-[$USD]\ * #,##0.00_-;\-[$USD]\ * #,##0.00_-;_-[$USD]\ * &quot;-&quot;??_-;_-@_-"/>
    </dxf>
    <dxf>
      <numFmt numFmtId="165" formatCode="_-[$USD]\ * #,##0.00_-;\-[$USD]\ * #,##0.00_-;_-[$USD]\ * &quot;-&quot;??_-;_-@_-"/>
    </dxf>
    <dxf>
      <numFmt numFmtId="165" formatCode="_-[$USD]\ * #,##0.00_-;\-[$USD]\ * #,##0.00_-;_-[$USD]\ * &quot;-&quot;??_-;_-@_-"/>
      <alignment horizontal="right" vertical="bottom" textRotation="0" wrapText="0" indent="0" justifyLastLine="0" shrinkToFit="0" readingOrder="0"/>
    </dxf>
    <dxf>
      <numFmt numFmtId="165" formatCode="_-[$USD]\ * #,##0.00_-;\-[$USD]\ * #,##0.00_-;_-[$USD]\ * &quot;-&quot;??_-;_-@_-"/>
      <alignment horizontal="right" vertical="bottom" textRotation="0" wrapText="0" indent="0" justifyLastLine="0" shrinkToFit="0" readingOrder="0"/>
    </dxf>
    <dxf>
      <numFmt numFmtId="165" formatCode="_-[$USD]\ * #,##0.00_-;\-[$USD]\ * #,##0.00_-;_-[$USD]\ * &quot;-&quot;??_-;_-@_-"/>
      <alignment horizontal="right" vertical="bottom" textRotation="0" wrapText="0" indent="0" justifyLastLine="0" shrinkToFit="0" readingOrder="0"/>
    </dxf>
    <dxf>
      <numFmt numFmtId="165" formatCode="_-[$USD]\ * #,##0.00_-;\-[$USD]\ * #,##0.00_-;_-[$USD]\ * &quot;-&quot;??_-;_-@_-"/>
      <alignment horizontal="right" vertical="bottom" textRotation="0" wrapText="0" indent="0" justifyLastLine="0" shrinkToFit="0" readingOrder="0"/>
    </dxf>
    <dxf>
      <numFmt numFmtId="168" formatCode="d/m/yyyy"/>
    </dxf>
    <dxf>
      <numFmt numFmtId="168" formatCode="d/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E6C6CE-2B53-489B-A182-7F04F53F521A}" name="Tabla1" displayName="Tabla1" ref="A1:L72" totalsRowCount="1">
  <autoFilter ref="A1:L71" xr:uid="{B32397CE-CC89-4001-8F09-38C4F2BB6B5C}"/>
  <sortState xmlns:xlrd2="http://schemas.microsoft.com/office/spreadsheetml/2017/richdata2" ref="A2:L71">
    <sortCondition ref="D1:D71"/>
  </sortState>
  <tableColumns count="12">
    <tableColumn id="1" xr3:uid="{83834AB4-D625-40F8-A17C-7115DA48210D}" name="articulo"/>
    <tableColumn id="2" xr3:uid="{C019A8A6-42DA-422D-B031-3C9A7EA85F80}" name="descripcion"/>
    <tableColumn id="3" xr3:uid="{9BA04B50-FE6B-44AE-8A84-EED8A05EA2B1}" name="presentacion"/>
    <tableColumn id="4" xr3:uid="{C6EA14C0-FD6E-4DD8-B045-742BBBA91A0E}" name="fecha" dataDxfId="28" totalsRowDxfId="27"/>
    <tableColumn id="5" xr3:uid="{5A7E1970-864C-45D6-9B76-624088825F47}" name="modulo"/>
    <tableColumn id="6" xr3:uid="{91E7950E-7AA2-4757-B200-C7DD30A3B0DC}" name="cbte"/>
    <tableColumn id="7" xr3:uid="{8CA398CF-DD8E-42EF-B71B-55AD4EB57A7D}" name="numero"/>
    <tableColumn id="8" xr3:uid="{CE7CE2F1-7E05-4ED9-B77B-5D2EA586882E}" name="cantidad"/>
    <tableColumn id="9" xr3:uid="{48C1969E-2E1A-4E67-9F2F-BD3B8A1263C5}" name="razon"/>
    <tableColumn id="10" xr3:uid="{412C35F4-93DF-418E-8802-E3756B648652}" name="Valor vendido en dolares" dataDxfId="26" totalsRowDxfId="25"/>
    <tableColumn id="17" xr3:uid="{A5EE3F70-EC90-4C26-848C-2A6CF066ACAB}" name="Precio de Lista" dataDxfId="24" totalsRowDxfId="23">
      <calculatedColumnFormula>VLOOKUP(VALUE(A2),Tabla13[#All],9,0)</calculatedColumnFormula>
    </tableColumn>
    <tableColumn id="14" xr3:uid="{67AFC06A-3993-4CEE-9B9A-AD13EDAAB39C}" name="Margen Gancia" totalsRowFunction="custom" dataDxfId="22" totalsRowDxfId="21">
      <calculatedColumnFormula>Tabla1[[#This Row],[Valor vendido en dolares]]-Tabla1[[#This Row],[Precio de Lista]]</calculatedColumnFormula>
      <totalsRowFormula>SUM(Tabla1[Margen Gancia])</totalsRowFormula>
    </tableColumn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E119AC9-347B-4FE9-897F-3989BCAEC6D4}" name="Tabla13" displayName="Tabla13" ref="A1:L557" totalsRowCount="1" headerRowDxfId="20">
  <autoFilter ref="A1:L556" xr:uid="{91813DCC-0B1E-4572-9496-1BE59C0F1143}"/>
  <sortState xmlns:xlrd2="http://schemas.microsoft.com/office/spreadsheetml/2017/richdata2" ref="A2:L556">
    <sortCondition ref="A1:A556"/>
  </sortState>
  <tableColumns count="12">
    <tableColumn id="1" xr3:uid="{9D771C50-E2CE-494B-BE1D-FD32A77E2A54}" name="CODIGO" dataDxfId="19" totalsRowDxfId="18"/>
    <tableColumn id="2" xr3:uid="{750BEDD1-A7CE-4352-909E-D58615B38FE8}" name="CATEGORIA" dataDxfId="17" totalsRowDxfId="16"/>
    <tableColumn id="3" xr3:uid="{39379D3F-BCB3-4672-8BB6-FB2F086D5242}" name="DESCRIPCION" dataDxfId="15" totalsRowDxfId="14"/>
    <tableColumn id="4" xr3:uid="{A8187DCA-4A7E-448C-8F33-B625D6B4D520}" name="DEPOSITO" dataDxfId="13" totalsRowDxfId="12"/>
    <tableColumn id="5" xr3:uid="{D19C11D9-2215-409E-9999-F9223C67015E}" name="Proveedor" totalsRowDxfId="11"/>
    <tableColumn id="6" xr3:uid="{280618E8-2E3D-4A9E-9BD7-A974A2DDA31C}" name="PRECIO USD" dataDxfId="10" totalsRowDxfId="9"/>
    <tableColumn id="7" xr3:uid="{70258327-98FA-4961-B07F-38E0CB14BC55}" name="PRECIO ARS" dataDxfId="8" totalsRowDxfId="7"/>
    <tableColumn id="8" xr3:uid="{118CDED4-BB2C-499F-A3FD-6701C6E0839E}" name="PRECIO EUR" totalsRowDxfId="6"/>
    <tableColumn id="9" xr3:uid="{EE3A04E6-7C03-4B81-BC30-197509CFBBB5}" name="Precio final en USD" dataDxfId="5" totalsRowDxfId="4">
      <calculatedColumnFormula>IF(AND(F2="",G2="",H2=""),"",IF(F2&lt;&gt;"",F2,IF(G2&lt;&gt;"",G2/$O$1,IF(H2&lt;&gt;"",H2*$O$2,"ver"))))</calculatedColumnFormula>
    </tableColumn>
    <tableColumn id="12" xr3:uid="{8D85154A-432D-4F82-8221-1D9E46213EA9}" name="Precio + valor FRQ" dataDxfId="3" totalsRowDxfId="2">
      <calculatedColumnFormula>Tabla13[[#This Row],[Precio final en USD]]*$P$4</calculatedColumnFormula>
    </tableColumn>
    <tableColumn id="10" xr3:uid="{60EA5C2D-4B43-420E-A319-0EC737AC27EC}" name="Comentario" totalsRowDxfId="1"/>
    <tableColumn id="11" xr3:uid="{901DF5C9-32B5-49AC-B785-863CEC95104B}" name="Columna1" totalsRow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81FA5-2510-4545-BBAC-2AB399FC9150}">
  <dimension ref="A1:P72"/>
  <sheetViews>
    <sheetView tabSelected="1" topLeftCell="D47" workbookViewId="0">
      <selection sqref="A1:XFD1048576"/>
    </sheetView>
  </sheetViews>
  <sheetFormatPr baseColWidth="10" defaultRowHeight="13" x14ac:dyDescent="0.15"/>
  <cols>
    <col min="2" max="2" width="54.83203125" bestFit="1" customWidth="1"/>
    <col min="3" max="3" width="13.33203125" customWidth="1"/>
    <col min="9" max="9" width="30.83203125" bestFit="1" customWidth="1"/>
    <col min="10" max="10" width="25.83203125" bestFit="1" customWidth="1"/>
    <col min="11" max="11" width="25.83203125" customWidth="1"/>
    <col min="12" max="12" width="16.1640625" bestFit="1" customWidth="1"/>
  </cols>
  <sheetData>
    <row r="1" spans="1:16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37</v>
      </c>
      <c r="K1" s="1" t="s">
        <v>570</v>
      </c>
      <c r="L1" s="1" t="s">
        <v>571</v>
      </c>
      <c r="P1" s="5"/>
    </row>
    <row r="2" spans="1:16" x14ac:dyDescent="0.15">
      <c r="A2" t="s">
        <v>577</v>
      </c>
      <c r="B2" t="s">
        <v>565</v>
      </c>
      <c r="C2" t="s">
        <v>9</v>
      </c>
      <c r="D2" s="2">
        <v>46024</v>
      </c>
      <c r="E2" t="s">
        <v>10</v>
      </c>
      <c r="F2" t="s">
        <v>11</v>
      </c>
      <c r="G2" t="s">
        <v>617</v>
      </c>
      <c r="H2">
        <v>-1</v>
      </c>
      <c r="I2" t="s">
        <v>618</v>
      </c>
      <c r="J2" s="3">
        <v>32</v>
      </c>
      <c r="K2" s="3">
        <f>VLOOKUP(VALUE(A2),Tabla13[#All],9,0)</f>
        <v>20</v>
      </c>
      <c r="L2" s="4">
        <f>Tabla1[[#This Row],[Valor vendido en dolares]]-Tabla1[[#This Row],[Precio de Lista]]</f>
        <v>12</v>
      </c>
    </row>
    <row r="3" spans="1:16" x14ac:dyDescent="0.15">
      <c r="A3" t="s">
        <v>577</v>
      </c>
      <c r="B3" t="s">
        <v>565</v>
      </c>
      <c r="C3" t="s">
        <v>9</v>
      </c>
      <c r="D3" s="2">
        <v>46024</v>
      </c>
      <c r="E3" t="s">
        <v>10</v>
      </c>
      <c r="F3" t="s">
        <v>11</v>
      </c>
      <c r="G3" t="s">
        <v>617</v>
      </c>
      <c r="H3">
        <v>-1</v>
      </c>
      <c r="I3" t="s">
        <v>618</v>
      </c>
      <c r="J3" s="3">
        <v>32</v>
      </c>
      <c r="K3" s="3">
        <f>VLOOKUP(VALUE(A3),Tabla13[#All],9,0)</f>
        <v>20</v>
      </c>
      <c r="L3" s="4">
        <f>Tabla1[[#This Row],[Valor vendido en dolares]]-Tabla1[[#This Row],[Precio de Lista]]</f>
        <v>12</v>
      </c>
    </row>
    <row r="4" spans="1:16" x14ac:dyDescent="0.15">
      <c r="A4" t="s">
        <v>599</v>
      </c>
      <c r="B4" t="s">
        <v>600</v>
      </c>
      <c r="C4" t="s">
        <v>9</v>
      </c>
      <c r="D4" s="2">
        <v>46026</v>
      </c>
      <c r="E4" t="s">
        <v>10</v>
      </c>
      <c r="F4" t="s">
        <v>11</v>
      </c>
      <c r="G4" t="s">
        <v>601</v>
      </c>
      <c r="H4">
        <v>-1</v>
      </c>
      <c r="I4" t="s">
        <v>602</v>
      </c>
      <c r="J4" s="3">
        <v>13.92</v>
      </c>
      <c r="K4" s="3">
        <f>VLOOKUP(VALUE(A4),Tabla13[#All],9,0)</f>
        <v>8.6970847457627123</v>
      </c>
      <c r="L4" s="4">
        <f>Tabla1[[#This Row],[Valor vendido en dolares]]-Tabla1[[#This Row],[Precio de Lista]]</f>
        <v>5.2229152542372876</v>
      </c>
    </row>
    <row r="5" spans="1:16" x14ac:dyDescent="0.15">
      <c r="A5" t="s">
        <v>599</v>
      </c>
      <c r="B5" t="s">
        <v>600</v>
      </c>
      <c r="C5" t="s">
        <v>9</v>
      </c>
      <c r="D5" s="2">
        <v>46026</v>
      </c>
      <c r="E5" t="s">
        <v>10</v>
      </c>
      <c r="F5" t="s">
        <v>11</v>
      </c>
      <c r="G5" t="s">
        <v>601</v>
      </c>
      <c r="H5">
        <v>-1</v>
      </c>
      <c r="I5" t="s">
        <v>602</v>
      </c>
      <c r="J5" s="3">
        <v>13.92</v>
      </c>
      <c r="K5" s="3">
        <f>VLOOKUP(VALUE(A5),Tabla13[#All],9,0)</f>
        <v>8.6970847457627123</v>
      </c>
      <c r="L5" s="4">
        <f>Tabla1[[#This Row],[Valor vendido en dolares]]-Tabla1[[#This Row],[Precio de Lista]]</f>
        <v>5.2229152542372876</v>
      </c>
    </row>
    <row r="6" spans="1:16" x14ac:dyDescent="0.15">
      <c r="A6" t="s">
        <v>577</v>
      </c>
      <c r="B6" t="s">
        <v>565</v>
      </c>
      <c r="C6" t="s">
        <v>9</v>
      </c>
      <c r="D6" s="2">
        <v>46027</v>
      </c>
      <c r="E6" t="s">
        <v>10</v>
      </c>
      <c r="F6" t="s">
        <v>11</v>
      </c>
      <c r="G6" t="s">
        <v>619</v>
      </c>
      <c r="H6">
        <v>-3</v>
      </c>
      <c r="I6" t="s">
        <v>618</v>
      </c>
      <c r="J6" s="3">
        <v>32</v>
      </c>
      <c r="K6" s="3">
        <f>VLOOKUP(VALUE(A6),Tabla13[#All],9,0)</f>
        <v>20</v>
      </c>
      <c r="L6" s="4">
        <f>Tabla1[[#This Row],[Valor vendido en dolares]]-Tabla1[[#This Row],[Precio de Lista]]</f>
        <v>12</v>
      </c>
    </row>
    <row r="7" spans="1:16" x14ac:dyDescent="0.15">
      <c r="A7" t="s">
        <v>577</v>
      </c>
      <c r="B7" t="s">
        <v>565</v>
      </c>
      <c r="C7" t="s">
        <v>9</v>
      </c>
      <c r="D7" s="2">
        <v>46027</v>
      </c>
      <c r="E7" t="s">
        <v>10</v>
      </c>
      <c r="F7" t="s">
        <v>11</v>
      </c>
      <c r="G7" t="s">
        <v>619</v>
      </c>
      <c r="H7">
        <v>-3</v>
      </c>
      <c r="I7" t="s">
        <v>618</v>
      </c>
      <c r="J7" s="3">
        <v>32</v>
      </c>
      <c r="K7" s="3">
        <f>VLOOKUP(VALUE(A7),Tabla13[#All],9,0)</f>
        <v>20</v>
      </c>
      <c r="L7" s="4">
        <f>Tabla1[[#This Row],[Valor vendido en dolares]]-Tabla1[[#This Row],[Precio de Lista]]</f>
        <v>12</v>
      </c>
    </row>
    <row r="8" spans="1:16" x14ac:dyDescent="0.15">
      <c r="A8" t="s">
        <v>590</v>
      </c>
      <c r="B8" t="s">
        <v>591</v>
      </c>
      <c r="C8" t="s">
        <v>9</v>
      </c>
      <c r="D8" s="2">
        <v>46028</v>
      </c>
      <c r="E8" t="s">
        <v>10</v>
      </c>
      <c r="F8" t="s">
        <v>11</v>
      </c>
      <c r="G8" t="s">
        <v>592</v>
      </c>
      <c r="H8">
        <v>-1</v>
      </c>
      <c r="I8" t="s">
        <v>32</v>
      </c>
      <c r="J8" s="3">
        <v>113.44</v>
      </c>
      <c r="K8" s="3">
        <f>VLOOKUP(VALUE(A8),Tabla13[#All],9,0)</f>
        <v>70.902169491525427</v>
      </c>
      <c r="L8" s="4">
        <f>Tabla1[[#This Row],[Valor vendido en dolares]]-Tabla1[[#This Row],[Precio de Lista]]</f>
        <v>42.53783050847457</v>
      </c>
    </row>
    <row r="9" spans="1:16" x14ac:dyDescent="0.15">
      <c r="A9" t="s">
        <v>594</v>
      </c>
      <c r="B9" t="s">
        <v>14</v>
      </c>
      <c r="C9" t="s">
        <v>9</v>
      </c>
      <c r="D9" s="2">
        <v>46028</v>
      </c>
      <c r="E9" t="s">
        <v>10</v>
      </c>
      <c r="F9" t="s">
        <v>11</v>
      </c>
      <c r="G9" t="s">
        <v>595</v>
      </c>
      <c r="H9">
        <v>-1</v>
      </c>
      <c r="I9" t="s">
        <v>582</v>
      </c>
      <c r="J9" s="3">
        <v>25.9</v>
      </c>
      <c r="K9" s="3">
        <f>VLOOKUP(VALUE(A9),Tabla13[#All],9,0)</f>
        <v>16.184949152542373</v>
      </c>
      <c r="L9" s="4">
        <f>Tabla1[[#This Row],[Valor vendido en dolares]]-Tabla1[[#This Row],[Precio de Lista]]</f>
        <v>9.7150508474576256</v>
      </c>
    </row>
    <row r="10" spans="1:16" x14ac:dyDescent="0.15">
      <c r="A10" t="s">
        <v>33</v>
      </c>
      <c r="B10" t="s">
        <v>34</v>
      </c>
      <c r="C10" t="s">
        <v>9</v>
      </c>
      <c r="D10" s="2">
        <v>46028</v>
      </c>
      <c r="E10" t="s">
        <v>10</v>
      </c>
      <c r="F10" t="s">
        <v>11</v>
      </c>
      <c r="G10" t="s">
        <v>595</v>
      </c>
      <c r="H10">
        <v>-1</v>
      </c>
      <c r="I10" t="s">
        <v>582</v>
      </c>
      <c r="J10" s="3">
        <v>8</v>
      </c>
      <c r="K10" s="3">
        <f>VLOOKUP(VALUE(A10),Tabla13[#All],9,0)</f>
        <v>5</v>
      </c>
      <c r="L10" s="4">
        <f>Tabla1[[#This Row],[Valor vendido en dolares]]-Tabla1[[#This Row],[Precio de Lista]]</f>
        <v>3</v>
      </c>
    </row>
    <row r="11" spans="1:16" x14ac:dyDescent="0.15">
      <c r="A11" t="s">
        <v>615</v>
      </c>
      <c r="B11" t="s">
        <v>314</v>
      </c>
      <c r="C11" t="s">
        <v>9</v>
      </c>
      <c r="D11" s="2">
        <v>46028</v>
      </c>
      <c r="E11" t="s">
        <v>10</v>
      </c>
      <c r="F11" t="s">
        <v>11</v>
      </c>
      <c r="G11" t="s">
        <v>595</v>
      </c>
      <c r="H11">
        <v>-1</v>
      </c>
      <c r="I11" t="s">
        <v>582</v>
      </c>
      <c r="J11" s="3">
        <v>254.83</v>
      </c>
      <c r="K11" s="3">
        <f>VLOOKUP(VALUE(A11),Tabla13[#All],9,0)</f>
        <v>159.26827118644067</v>
      </c>
      <c r="L11" s="4">
        <f>Tabla1[[#This Row],[Valor vendido en dolares]]-Tabla1[[#This Row],[Precio de Lista]]</f>
        <v>95.561728813559341</v>
      </c>
    </row>
    <row r="12" spans="1:16" x14ac:dyDescent="0.15">
      <c r="A12" t="s">
        <v>616</v>
      </c>
      <c r="B12" t="s">
        <v>427</v>
      </c>
      <c r="C12" t="s">
        <v>9</v>
      </c>
      <c r="D12" s="2">
        <v>46028</v>
      </c>
      <c r="E12" t="s">
        <v>10</v>
      </c>
      <c r="F12" t="s">
        <v>11</v>
      </c>
      <c r="G12" t="s">
        <v>595</v>
      </c>
      <c r="H12">
        <v>-1</v>
      </c>
      <c r="I12" t="s">
        <v>582</v>
      </c>
      <c r="J12" s="3">
        <v>22.73</v>
      </c>
      <c r="K12" s="3">
        <f>VLOOKUP(VALUE(A12),Tabla13[#All],9,0)</f>
        <v>14.208338983050849</v>
      </c>
      <c r="L12" s="4">
        <f>Tabla1[[#This Row],[Valor vendido en dolares]]-Tabla1[[#This Row],[Precio de Lista]]</f>
        <v>8.5216610169491513</v>
      </c>
    </row>
    <row r="13" spans="1:16" x14ac:dyDescent="0.15">
      <c r="A13" t="s">
        <v>590</v>
      </c>
      <c r="B13" t="s">
        <v>591</v>
      </c>
      <c r="C13" t="s">
        <v>9</v>
      </c>
      <c r="D13" s="2">
        <v>46028</v>
      </c>
      <c r="E13" t="s">
        <v>10</v>
      </c>
      <c r="F13" t="s">
        <v>11</v>
      </c>
      <c r="G13" t="s">
        <v>592</v>
      </c>
      <c r="H13">
        <v>-1</v>
      </c>
      <c r="I13" t="s">
        <v>32</v>
      </c>
      <c r="J13" s="3">
        <v>113.44</v>
      </c>
      <c r="K13" s="3">
        <f>VLOOKUP(VALUE(A13),Tabla13[#All],9,0)</f>
        <v>70.902169491525427</v>
      </c>
      <c r="L13" s="4">
        <f>Tabla1[[#This Row],[Valor vendido en dolares]]-Tabla1[[#This Row],[Precio de Lista]]</f>
        <v>42.53783050847457</v>
      </c>
    </row>
    <row r="14" spans="1:16" x14ac:dyDescent="0.15">
      <c r="A14" t="s">
        <v>594</v>
      </c>
      <c r="B14" t="s">
        <v>14</v>
      </c>
      <c r="C14" t="s">
        <v>9</v>
      </c>
      <c r="D14" s="2">
        <v>46028</v>
      </c>
      <c r="E14" t="s">
        <v>10</v>
      </c>
      <c r="F14" t="s">
        <v>11</v>
      </c>
      <c r="G14" t="s">
        <v>595</v>
      </c>
      <c r="H14">
        <v>-1</v>
      </c>
      <c r="I14" t="s">
        <v>582</v>
      </c>
      <c r="J14" s="3">
        <v>25.9</v>
      </c>
      <c r="K14" s="3">
        <f>VLOOKUP(VALUE(A14),Tabla13[#All],9,0)</f>
        <v>16.184949152542373</v>
      </c>
      <c r="L14" s="4">
        <f>Tabla1[[#This Row],[Valor vendido en dolares]]-Tabla1[[#This Row],[Precio de Lista]]</f>
        <v>9.7150508474576256</v>
      </c>
    </row>
    <row r="15" spans="1:16" x14ac:dyDescent="0.15">
      <c r="A15" t="s">
        <v>33</v>
      </c>
      <c r="B15" t="s">
        <v>34</v>
      </c>
      <c r="C15" t="s">
        <v>9</v>
      </c>
      <c r="D15" s="2">
        <v>46028</v>
      </c>
      <c r="E15" t="s">
        <v>10</v>
      </c>
      <c r="F15" t="s">
        <v>11</v>
      </c>
      <c r="G15" t="s">
        <v>595</v>
      </c>
      <c r="H15">
        <v>-1</v>
      </c>
      <c r="I15" t="s">
        <v>582</v>
      </c>
      <c r="J15" s="3">
        <v>8</v>
      </c>
      <c r="K15" s="3">
        <f>VLOOKUP(VALUE(A15),Tabla13[#All],9,0)</f>
        <v>5</v>
      </c>
      <c r="L15" s="4">
        <f>Tabla1[[#This Row],[Valor vendido en dolares]]-Tabla1[[#This Row],[Precio de Lista]]</f>
        <v>3</v>
      </c>
    </row>
    <row r="16" spans="1:16" x14ac:dyDescent="0.15">
      <c r="A16" t="s">
        <v>615</v>
      </c>
      <c r="B16" t="s">
        <v>314</v>
      </c>
      <c r="C16" t="s">
        <v>9</v>
      </c>
      <c r="D16" s="2">
        <v>46028</v>
      </c>
      <c r="E16" t="s">
        <v>10</v>
      </c>
      <c r="F16" t="s">
        <v>11</v>
      </c>
      <c r="G16" t="s">
        <v>595</v>
      </c>
      <c r="H16">
        <v>-1</v>
      </c>
      <c r="I16" t="s">
        <v>582</v>
      </c>
      <c r="J16" s="3">
        <v>254.83</v>
      </c>
      <c r="K16" s="3">
        <f>VLOOKUP(VALUE(A16),Tabla13[#All],9,0)</f>
        <v>159.26827118644067</v>
      </c>
      <c r="L16" s="4">
        <f>Tabla1[[#This Row],[Valor vendido en dolares]]-Tabla1[[#This Row],[Precio de Lista]]</f>
        <v>95.561728813559341</v>
      </c>
    </row>
    <row r="17" spans="1:12" x14ac:dyDescent="0.15">
      <c r="A17" t="s">
        <v>616</v>
      </c>
      <c r="B17" t="s">
        <v>427</v>
      </c>
      <c r="C17" t="s">
        <v>9</v>
      </c>
      <c r="D17" s="2">
        <v>46028</v>
      </c>
      <c r="E17" t="s">
        <v>10</v>
      </c>
      <c r="F17" t="s">
        <v>11</v>
      </c>
      <c r="G17" t="s">
        <v>595</v>
      </c>
      <c r="H17">
        <v>-1</v>
      </c>
      <c r="I17" t="s">
        <v>582</v>
      </c>
      <c r="J17" s="3">
        <v>22.73</v>
      </c>
      <c r="K17" s="3">
        <f>VLOOKUP(VALUE(A17),Tabla13[#All],9,0)</f>
        <v>14.208338983050849</v>
      </c>
      <c r="L17" s="4">
        <f>Tabla1[[#This Row],[Valor vendido en dolares]]-Tabla1[[#This Row],[Precio de Lista]]</f>
        <v>8.5216610169491513</v>
      </c>
    </row>
    <row r="18" spans="1:12" x14ac:dyDescent="0.15">
      <c r="A18" t="s">
        <v>573</v>
      </c>
      <c r="B18" t="s">
        <v>574</v>
      </c>
      <c r="C18" t="s">
        <v>9</v>
      </c>
      <c r="D18" s="2">
        <v>46029</v>
      </c>
      <c r="E18" t="s">
        <v>10</v>
      </c>
      <c r="F18" t="s">
        <v>11</v>
      </c>
      <c r="G18" t="s">
        <v>579</v>
      </c>
      <c r="H18">
        <v>-1</v>
      </c>
      <c r="I18" t="s">
        <v>580</v>
      </c>
      <c r="J18" s="3">
        <v>33.58</v>
      </c>
      <c r="K18" s="3">
        <f>VLOOKUP(VALUE(A18),Tabla13[#All],9,0)</f>
        <v>20.986949152542376</v>
      </c>
      <c r="L18" s="4">
        <f>Tabla1[[#This Row],[Valor vendido en dolares]]-Tabla1[[#This Row],[Precio de Lista]]</f>
        <v>12.593050847457622</v>
      </c>
    </row>
    <row r="19" spans="1:12" x14ac:dyDescent="0.15">
      <c r="A19" t="s">
        <v>588</v>
      </c>
      <c r="B19" t="s">
        <v>589</v>
      </c>
      <c r="C19" t="s">
        <v>9</v>
      </c>
      <c r="D19" s="2">
        <v>46029</v>
      </c>
      <c r="E19" t="s">
        <v>10</v>
      </c>
      <c r="F19" t="s">
        <v>11</v>
      </c>
      <c r="G19" t="s">
        <v>579</v>
      </c>
      <c r="H19">
        <v>-1</v>
      </c>
      <c r="I19" t="s">
        <v>580</v>
      </c>
      <c r="J19" s="3">
        <v>686.89</v>
      </c>
      <c r="K19" s="3">
        <f>VLOOKUP(VALUE(A19),Tabla13[#All],9,0)</f>
        <v>429.30810169491531</v>
      </c>
      <c r="L19" s="4">
        <f>Tabla1[[#This Row],[Valor vendido en dolares]]-Tabla1[[#This Row],[Precio de Lista]]</f>
        <v>257.58189830508468</v>
      </c>
    </row>
    <row r="20" spans="1:12" x14ac:dyDescent="0.15">
      <c r="A20" t="s">
        <v>593</v>
      </c>
      <c r="B20" t="s">
        <v>13</v>
      </c>
      <c r="C20" t="s">
        <v>9</v>
      </c>
      <c r="D20" s="2">
        <v>46029</v>
      </c>
      <c r="E20" t="s">
        <v>10</v>
      </c>
      <c r="F20" t="s">
        <v>11</v>
      </c>
      <c r="G20" t="s">
        <v>579</v>
      </c>
      <c r="H20">
        <v>-1</v>
      </c>
      <c r="I20" t="s">
        <v>580</v>
      </c>
      <c r="J20" s="3">
        <v>31.22</v>
      </c>
      <c r="K20" s="3">
        <f>VLOOKUP(VALUE(A20),Tabla13[#All],9,0)</f>
        <v>19.510305084745767</v>
      </c>
      <c r="L20" s="4">
        <f>Tabla1[[#This Row],[Valor vendido en dolares]]-Tabla1[[#This Row],[Precio de Lista]]</f>
        <v>11.709694915254232</v>
      </c>
    </row>
    <row r="21" spans="1:12" x14ac:dyDescent="0.15">
      <c r="A21" t="s">
        <v>594</v>
      </c>
      <c r="B21" t="s">
        <v>14</v>
      </c>
      <c r="C21" t="s">
        <v>9</v>
      </c>
      <c r="D21" s="2">
        <v>46029</v>
      </c>
      <c r="E21" t="s">
        <v>10</v>
      </c>
      <c r="F21" t="s">
        <v>11</v>
      </c>
      <c r="G21" t="s">
        <v>579</v>
      </c>
      <c r="H21">
        <v>-1</v>
      </c>
      <c r="I21" t="s">
        <v>580</v>
      </c>
      <c r="J21" s="3">
        <v>25.9</v>
      </c>
      <c r="K21" s="3">
        <v>21.57</v>
      </c>
      <c r="L21" s="4">
        <f>Tabla1[[#This Row],[Valor vendido en dolares]]-Tabla1[[#This Row],[Precio de Lista]]</f>
        <v>4.3299999999999983</v>
      </c>
    </row>
    <row r="22" spans="1:12" x14ac:dyDescent="0.15">
      <c r="A22" t="s">
        <v>577</v>
      </c>
      <c r="B22" t="s">
        <v>565</v>
      </c>
      <c r="C22" t="s">
        <v>9</v>
      </c>
      <c r="D22" s="2">
        <v>46029</v>
      </c>
      <c r="E22" t="s">
        <v>10</v>
      </c>
      <c r="F22" t="s">
        <v>11</v>
      </c>
      <c r="G22" t="s">
        <v>620</v>
      </c>
      <c r="H22">
        <v>-2</v>
      </c>
      <c r="I22" t="s">
        <v>621</v>
      </c>
      <c r="J22" s="3">
        <v>32</v>
      </c>
      <c r="K22" s="3">
        <f>VLOOKUP(VALUE(A22),Tabla13[#All],9,0)</f>
        <v>20</v>
      </c>
      <c r="L22" s="4">
        <f>Tabla1[[#This Row],[Valor vendido en dolares]]-Tabla1[[#This Row],[Precio de Lista]]</f>
        <v>12</v>
      </c>
    </row>
    <row r="23" spans="1:12" x14ac:dyDescent="0.15">
      <c r="A23" t="s">
        <v>573</v>
      </c>
      <c r="B23" t="s">
        <v>574</v>
      </c>
      <c r="C23" t="s">
        <v>9</v>
      </c>
      <c r="D23" s="2">
        <v>46029</v>
      </c>
      <c r="E23" t="s">
        <v>10</v>
      </c>
      <c r="F23" t="s">
        <v>11</v>
      </c>
      <c r="G23" t="s">
        <v>579</v>
      </c>
      <c r="H23">
        <v>-1</v>
      </c>
      <c r="I23" t="s">
        <v>580</v>
      </c>
      <c r="J23" s="3">
        <v>33.58</v>
      </c>
      <c r="K23" s="3">
        <f>VLOOKUP(VALUE(A23),Tabla13[#All],9,0)</f>
        <v>20.986949152542376</v>
      </c>
      <c r="L23" s="4">
        <f>Tabla1[[#This Row],[Valor vendido en dolares]]-Tabla1[[#This Row],[Precio de Lista]]</f>
        <v>12.593050847457622</v>
      </c>
    </row>
    <row r="24" spans="1:12" x14ac:dyDescent="0.15">
      <c r="A24" t="s">
        <v>588</v>
      </c>
      <c r="B24" t="s">
        <v>589</v>
      </c>
      <c r="C24" t="s">
        <v>9</v>
      </c>
      <c r="D24" s="2">
        <v>46029</v>
      </c>
      <c r="E24" t="s">
        <v>10</v>
      </c>
      <c r="F24" t="s">
        <v>11</v>
      </c>
      <c r="G24" t="s">
        <v>579</v>
      </c>
      <c r="H24">
        <v>-1</v>
      </c>
      <c r="I24" t="s">
        <v>580</v>
      </c>
      <c r="J24" s="3">
        <v>686.89</v>
      </c>
      <c r="K24" s="3">
        <f>VLOOKUP(VALUE(A24),Tabla13[#All],9,0)</f>
        <v>429.30810169491531</v>
      </c>
      <c r="L24" s="4">
        <f>Tabla1[[#This Row],[Valor vendido en dolares]]-Tabla1[[#This Row],[Precio de Lista]]</f>
        <v>257.58189830508468</v>
      </c>
    </row>
    <row r="25" spans="1:12" x14ac:dyDescent="0.15">
      <c r="A25" t="s">
        <v>593</v>
      </c>
      <c r="B25" t="s">
        <v>13</v>
      </c>
      <c r="C25" t="s">
        <v>9</v>
      </c>
      <c r="D25" s="2">
        <v>46029</v>
      </c>
      <c r="E25" t="s">
        <v>10</v>
      </c>
      <c r="F25" t="s">
        <v>11</v>
      </c>
      <c r="G25" t="s">
        <v>579</v>
      </c>
      <c r="H25">
        <v>-1</v>
      </c>
      <c r="I25" t="s">
        <v>580</v>
      </c>
      <c r="J25" s="3">
        <v>31.22</v>
      </c>
      <c r="K25" s="3">
        <f>VLOOKUP(VALUE(A25),Tabla13[#All],9,0)</f>
        <v>19.510305084745767</v>
      </c>
      <c r="L25" s="4">
        <f>Tabla1[[#This Row],[Valor vendido en dolares]]-Tabla1[[#This Row],[Precio de Lista]]</f>
        <v>11.709694915254232</v>
      </c>
    </row>
    <row r="26" spans="1:12" x14ac:dyDescent="0.15">
      <c r="A26" t="s">
        <v>594</v>
      </c>
      <c r="B26" t="s">
        <v>14</v>
      </c>
      <c r="C26" t="s">
        <v>9</v>
      </c>
      <c r="D26" s="2">
        <v>46029</v>
      </c>
      <c r="E26" t="s">
        <v>10</v>
      </c>
      <c r="F26" t="s">
        <v>11</v>
      </c>
      <c r="G26" t="s">
        <v>579</v>
      </c>
      <c r="H26">
        <v>-1</v>
      </c>
      <c r="I26" t="s">
        <v>580</v>
      </c>
      <c r="J26" s="3">
        <v>25.9</v>
      </c>
      <c r="K26" s="3">
        <f>VLOOKUP(VALUE(A26),Tabla13[#All],9,0)</f>
        <v>16.184949152542373</v>
      </c>
      <c r="L26" s="4">
        <f>Tabla1[[#This Row],[Valor vendido en dolares]]-Tabla1[[#This Row],[Precio de Lista]]</f>
        <v>9.7150508474576256</v>
      </c>
    </row>
    <row r="27" spans="1:12" x14ac:dyDescent="0.15">
      <c r="A27" t="s">
        <v>577</v>
      </c>
      <c r="B27" t="s">
        <v>565</v>
      </c>
      <c r="C27" t="s">
        <v>9</v>
      </c>
      <c r="D27" s="2">
        <v>46029</v>
      </c>
      <c r="E27" t="s">
        <v>10</v>
      </c>
      <c r="F27" t="s">
        <v>11</v>
      </c>
      <c r="G27" t="s">
        <v>620</v>
      </c>
      <c r="H27">
        <v>-2</v>
      </c>
      <c r="I27" t="s">
        <v>621</v>
      </c>
      <c r="J27" s="3">
        <v>32</v>
      </c>
      <c r="K27" s="3">
        <f>VLOOKUP(VALUE(A27),Tabla13[#All],9,0)</f>
        <v>20</v>
      </c>
      <c r="L27" s="4">
        <f>Tabla1[[#This Row],[Valor vendido en dolares]]-Tabla1[[#This Row],[Precio de Lista]]</f>
        <v>12</v>
      </c>
    </row>
    <row r="28" spans="1:12" x14ac:dyDescent="0.15">
      <c r="A28" t="s">
        <v>583</v>
      </c>
      <c r="B28" t="s">
        <v>584</v>
      </c>
      <c r="C28" t="s">
        <v>9</v>
      </c>
      <c r="D28" s="2">
        <v>46030</v>
      </c>
      <c r="E28" t="s">
        <v>10</v>
      </c>
      <c r="F28" t="s">
        <v>11</v>
      </c>
      <c r="G28" t="s">
        <v>585</v>
      </c>
      <c r="H28">
        <v>-1</v>
      </c>
      <c r="I28" t="s">
        <v>576</v>
      </c>
      <c r="J28" s="3">
        <v>47.9</v>
      </c>
      <c r="K28" s="3">
        <f>VLOOKUP(VALUE(A28),Tabla13[#All],9,0)</f>
        <v>29.939830508474579</v>
      </c>
      <c r="L28" s="4">
        <f>Tabla1[[#This Row],[Valor vendido en dolares]]-Tabla1[[#This Row],[Precio de Lista]]</f>
        <v>17.96016949152542</v>
      </c>
    </row>
    <row r="29" spans="1:12" x14ac:dyDescent="0.15">
      <c r="A29" t="s">
        <v>583</v>
      </c>
      <c r="B29" t="s">
        <v>584</v>
      </c>
      <c r="C29" t="s">
        <v>9</v>
      </c>
      <c r="D29" s="2">
        <v>46030</v>
      </c>
      <c r="E29" t="s">
        <v>10</v>
      </c>
      <c r="F29" t="s">
        <v>11</v>
      </c>
      <c r="G29" t="s">
        <v>585</v>
      </c>
      <c r="H29">
        <v>-1</v>
      </c>
      <c r="I29" t="s">
        <v>576</v>
      </c>
      <c r="J29" s="3">
        <v>47.9</v>
      </c>
      <c r="K29" s="3">
        <f>VLOOKUP(VALUE(A29),Tabla13[#All],9,0)</f>
        <v>29.939830508474579</v>
      </c>
      <c r="L29" s="4">
        <f>Tabla1[[#This Row],[Valor vendido en dolares]]-Tabla1[[#This Row],[Precio de Lista]]</f>
        <v>17.96016949152542</v>
      </c>
    </row>
    <row r="30" spans="1:12" x14ac:dyDescent="0.15">
      <c r="A30" t="s">
        <v>33</v>
      </c>
      <c r="B30" t="s">
        <v>34</v>
      </c>
      <c r="C30" t="s">
        <v>9</v>
      </c>
      <c r="D30" s="2">
        <v>46031</v>
      </c>
      <c r="E30" t="s">
        <v>10</v>
      </c>
      <c r="F30" t="s">
        <v>11</v>
      </c>
      <c r="G30" t="s">
        <v>596</v>
      </c>
      <c r="H30">
        <v>-2</v>
      </c>
      <c r="I30" t="s">
        <v>576</v>
      </c>
      <c r="J30" s="3">
        <v>8</v>
      </c>
      <c r="K30" s="3">
        <f>VLOOKUP(VALUE(A30),Tabla13[#All],9,0)</f>
        <v>5</v>
      </c>
      <c r="L30" s="4">
        <f>Tabla1[[#This Row],[Valor vendido en dolares]]-Tabla1[[#This Row],[Precio de Lista]]</f>
        <v>3</v>
      </c>
    </row>
    <row r="31" spans="1:12" x14ac:dyDescent="0.15">
      <c r="A31" t="s">
        <v>33</v>
      </c>
      <c r="B31" t="s">
        <v>34</v>
      </c>
      <c r="C31" t="s">
        <v>9</v>
      </c>
      <c r="D31" s="2">
        <v>46031</v>
      </c>
      <c r="E31" t="s">
        <v>10</v>
      </c>
      <c r="F31" t="s">
        <v>11</v>
      </c>
      <c r="G31" t="s">
        <v>596</v>
      </c>
      <c r="H31">
        <v>-2</v>
      </c>
      <c r="I31" t="s">
        <v>576</v>
      </c>
      <c r="J31" s="3">
        <v>8</v>
      </c>
      <c r="K31" s="3">
        <f>VLOOKUP(VALUE(A31),Tabla13[#All],9,0)</f>
        <v>5</v>
      </c>
      <c r="L31" s="4">
        <f>Tabla1[[#This Row],[Valor vendido en dolares]]-Tabla1[[#This Row],[Precio de Lista]]</f>
        <v>3</v>
      </c>
    </row>
    <row r="32" spans="1:12" x14ac:dyDescent="0.15">
      <c r="A32" t="s">
        <v>573</v>
      </c>
      <c r="B32" t="s">
        <v>574</v>
      </c>
      <c r="C32" t="s">
        <v>9</v>
      </c>
      <c r="D32" s="2">
        <v>46034</v>
      </c>
      <c r="E32" t="s">
        <v>10</v>
      </c>
      <c r="F32" t="s">
        <v>11</v>
      </c>
      <c r="G32" t="s">
        <v>581</v>
      </c>
      <c r="H32">
        <v>-1</v>
      </c>
      <c r="I32" t="s">
        <v>582</v>
      </c>
      <c r="J32" s="3">
        <v>33.58</v>
      </c>
      <c r="K32" s="3">
        <f>VLOOKUP(VALUE(A32),Tabla13[#All],9,0)</f>
        <v>20.986949152542376</v>
      </c>
      <c r="L32" s="4">
        <f>Tabla1[[#This Row],[Valor vendido en dolares]]-Tabla1[[#This Row],[Precio de Lista]]</f>
        <v>12.593050847457622</v>
      </c>
    </row>
    <row r="33" spans="1:12" x14ac:dyDescent="0.15">
      <c r="A33" t="s">
        <v>583</v>
      </c>
      <c r="B33" t="s">
        <v>584</v>
      </c>
      <c r="C33" t="s">
        <v>9</v>
      </c>
      <c r="D33" s="2">
        <v>46034</v>
      </c>
      <c r="E33" t="s">
        <v>10</v>
      </c>
      <c r="F33" t="s">
        <v>11</v>
      </c>
      <c r="G33" t="s">
        <v>586</v>
      </c>
      <c r="H33">
        <v>-1</v>
      </c>
      <c r="I33" t="s">
        <v>587</v>
      </c>
      <c r="J33" s="3">
        <v>47.9</v>
      </c>
      <c r="K33" s="3">
        <f>VLOOKUP(VALUE(A33),Tabla13[#All],9,0)</f>
        <v>29.939830508474579</v>
      </c>
      <c r="L33" s="4">
        <f>Tabla1[[#This Row],[Valor vendido en dolares]]-Tabla1[[#This Row],[Precio de Lista]]</f>
        <v>17.96016949152542</v>
      </c>
    </row>
    <row r="34" spans="1:12" x14ac:dyDescent="0.15">
      <c r="A34" t="s">
        <v>603</v>
      </c>
      <c r="B34" t="s">
        <v>604</v>
      </c>
      <c r="C34" t="s">
        <v>9</v>
      </c>
      <c r="D34" s="2">
        <v>46034</v>
      </c>
      <c r="E34" t="s">
        <v>10</v>
      </c>
      <c r="F34" t="s">
        <v>11</v>
      </c>
      <c r="G34" t="s">
        <v>605</v>
      </c>
      <c r="H34">
        <v>-1</v>
      </c>
      <c r="I34" t="s">
        <v>606</v>
      </c>
      <c r="J34" s="3">
        <v>301.33999999999997</v>
      </c>
      <c r="K34" s="3">
        <f>VLOOKUP(VALUE(A34),Tabla13[#All],9,0)</f>
        <v>188.33606779661017</v>
      </c>
      <c r="L34" s="4">
        <f>Tabla1[[#This Row],[Valor vendido en dolares]]-Tabla1[[#This Row],[Precio de Lista]]</f>
        <v>113.00393220338981</v>
      </c>
    </row>
    <row r="35" spans="1:12" x14ac:dyDescent="0.15">
      <c r="A35" t="s">
        <v>29</v>
      </c>
      <c r="B35" t="s">
        <v>30</v>
      </c>
      <c r="C35" t="s">
        <v>9</v>
      </c>
      <c r="D35" s="2">
        <v>46034</v>
      </c>
      <c r="E35" t="s">
        <v>10</v>
      </c>
      <c r="F35" t="s">
        <v>11</v>
      </c>
      <c r="G35" t="s">
        <v>607</v>
      </c>
      <c r="H35">
        <v>-1</v>
      </c>
      <c r="I35" t="s">
        <v>608</v>
      </c>
      <c r="J35" s="3">
        <v>531.67999999999995</v>
      </c>
      <c r="K35" s="3">
        <f>VLOOKUP(VALUE(A35),Tabla13[#All],9,0)</f>
        <v>332.30305084745765</v>
      </c>
      <c r="L35" s="4">
        <f>Tabla1[[#This Row],[Valor vendido en dolares]]-Tabla1[[#This Row],[Precio de Lista]]</f>
        <v>199.37694915254229</v>
      </c>
    </row>
    <row r="36" spans="1:12" x14ac:dyDescent="0.15">
      <c r="A36" t="s">
        <v>613</v>
      </c>
      <c r="B36" t="s">
        <v>304</v>
      </c>
      <c r="C36" t="s">
        <v>9</v>
      </c>
      <c r="D36" s="2">
        <v>46034</v>
      </c>
      <c r="E36" t="s">
        <v>10</v>
      </c>
      <c r="F36" t="s">
        <v>11</v>
      </c>
      <c r="G36" t="s">
        <v>607</v>
      </c>
      <c r="H36">
        <v>-2</v>
      </c>
      <c r="I36" t="s">
        <v>608</v>
      </c>
      <c r="J36" s="3">
        <v>236.26</v>
      </c>
      <c r="K36" s="3">
        <f>VLOOKUP(VALUE(A36),Tabla13[#All],9,0)</f>
        <v>147.66440677966102</v>
      </c>
      <c r="L36" s="4">
        <f>Tabla1[[#This Row],[Valor vendido en dolares]]-Tabla1[[#This Row],[Precio de Lista]]</f>
        <v>88.595593220338969</v>
      </c>
    </row>
    <row r="37" spans="1:12" x14ac:dyDescent="0.15">
      <c r="A37" t="s">
        <v>573</v>
      </c>
      <c r="B37" t="s">
        <v>574</v>
      </c>
      <c r="C37" t="s">
        <v>9</v>
      </c>
      <c r="D37" s="2">
        <v>46034</v>
      </c>
      <c r="E37" t="s">
        <v>10</v>
      </c>
      <c r="F37" t="s">
        <v>11</v>
      </c>
      <c r="G37" t="s">
        <v>581</v>
      </c>
      <c r="H37">
        <v>-1</v>
      </c>
      <c r="I37" t="s">
        <v>582</v>
      </c>
      <c r="J37" s="3">
        <v>33.58</v>
      </c>
      <c r="K37" s="3">
        <f>VLOOKUP(VALUE(A37),Tabla13[#All],9,0)</f>
        <v>20.986949152542376</v>
      </c>
      <c r="L37" s="4">
        <f>Tabla1[[#This Row],[Valor vendido en dolares]]-Tabla1[[#This Row],[Precio de Lista]]</f>
        <v>12.593050847457622</v>
      </c>
    </row>
    <row r="38" spans="1:12" x14ac:dyDescent="0.15">
      <c r="A38" t="s">
        <v>583</v>
      </c>
      <c r="B38" t="s">
        <v>584</v>
      </c>
      <c r="C38" t="s">
        <v>9</v>
      </c>
      <c r="D38" s="2">
        <v>46034</v>
      </c>
      <c r="E38" t="s">
        <v>10</v>
      </c>
      <c r="F38" t="s">
        <v>11</v>
      </c>
      <c r="G38" t="s">
        <v>586</v>
      </c>
      <c r="H38">
        <v>-1</v>
      </c>
      <c r="I38" t="s">
        <v>587</v>
      </c>
      <c r="J38" s="3">
        <v>47.9</v>
      </c>
      <c r="K38" s="3">
        <f>VLOOKUP(VALUE(A38),Tabla13[#All],9,0)</f>
        <v>29.939830508474579</v>
      </c>
      <c r="L38" s="4">
        <f>Tabla1[[#This Row],[Valor vendido en dolares]]-Tabla1[[#This Row],[Precio de Lista]]</f>
        <v>17.96016949152542</v>
      </c>
    </row>
    <row r="39" spans="1:12" x14ac:dyDescent="0.15">
      <c r="A39" t="s">
        <v>603</v>
      </c>
      <c r="B39" t="s">
        <v>604</v>
      </c>
      <c r="C39" t="s">
        <v>9</v>
      </c>
      <c r="D39" s="2">
        <v>46034</v>
      </c>
      <c r="E39" t="s">
        <v>10</v>
      </c>
      <c r="F39" t="s">
        <v>11</v>
      </c>
      <c r="G39" t="s">
        <v>605</v>
      </c>
      <c r="H39">
        <v>-1</v>
      </c>
      <c r="I39" t="s">
        <v>606</v>
      </c>
      <c r="J39" s="3">
        <v>301.33999999999997</v>
      </c>
      <c r="K39" s="3">
        <f>VLOOKUP(VALUE(A39),Tabla13[#All],9,0)</f>
        <v>188.33606779661017</v>
      </c>
      <c r="L39" s="4">
        <f>Tabla1[[#This Row],[Valor vendido en dolares]]-Tabla1[[#This Row],[Precio de Lista]]</f>
        <v>113.00393220338981</v>
      </c>
    </row>
    <row r="40" spans="1:12" x14ac:dyDescent="0.15">
      <c r="A40" t="s">
        <v>29</v>
      </c>
      <c r="B40" t="s">
        <v>30</v>
      </c>
      <c r="C40" t="s">
        <v>9</v>
      </c>
      <c r="D40" s="2">
        <v>46034</v>
      </c>
      <c r="E40" t="s">
        <v>10</v>
      </c>
      <c r="F40" t="s">
        <v>11</v>
      </c>
      <c r="G40" t="s">
        <v>607</v>
      </c>
      <c r="H40">
        <v>-1</v>
      </c>
      <c r="I40" t="s">
        <v>608</v>
      </c>
      <c r="J40" s="3">
        <v>531.67999999999995</v>
      </c>
      <c r="K40" s="3">
        <f>VLOOKUP(VALUE(A40),Tabla13[#All],9,0)</f>
        <v>332.30305084745765</v>
      </c>
      <c r="L40" s="4">
        <f>Tabla1[[#This Row],[Valor vendido en dolares]]-Tabla1[[#This Row],[Precio de Lista]]</f>
        <v>199.37694915254229</v>
      </c>
    </row>
    <row r="41" spans="1:12" x14ac:dyDescent="0.15">
      <c r="A41" t="s">
        <v>613</v>
      </c>
      <c r="B41" t="s">
        <v>304</v>
      </c>
      <c r="C41" t="s">
        <v>9</v>
      </c>
      <c r="D41" s="2">
        <v>46034</v>
      </c>
      <c r="E41" t="s">
        <v>10</v>
      </c>
      <c r="F41" t="s">
        <v>11</v>
      </c>
      <c r="G41" t="s">
        <v>607</v>
      </c>
      <c r="H41">
        <v>-2</v>
      </c>
      <c r="I41" t="s">
        <v>608</v>
      </c>
      <c r="J41" s="3">
        <v>236.26</v>
      </c>
      <c r="K41" s="3">
        <f>VLOOKUP(VALUE(A41),Tabla13[#All],9,0)</f>
        <v>147.66440677966102</v>
      </c>
      <c r="L41" s="4">
        <f>Tabla1[[#This Row],[Valor vendido en dolares]]-Tabla1[[#This Row],[Precio de Lista]]</f>
        <v>88.595593220338969</v>
      </c>
    </row>
    <row r="42" spans="1:12" x14ac:dyDescent="0.15">
      <c r="A42" s="41">
        <v>10901</v>
      </c>
      <c r="B42" t="s">
        <v>646</v>
      </c>
      <c r="C42" t="s">
        <v>9</v>
      </c>
      <c r="D42" s="2">
        <v>46034</v>
      </c>
      <c r="E42" t="s">
        <v>10</v>
      </c>
      <c r="F42" t="s">
        <v>11</v>
      </c>
      <c r="G42" s="43">
        <v>8639</v>
      </c>
      <c r="H42">
        <v>-1</v>
      </c>
      <c r="I42" t="s">
        <v>647</v>
      </c>
      <c r="J42" s="3">
        <v>13.94</v>
      </c>
      <c r="K42" s="3">
        <f>VLOOKUP(VALUE(A42),Tabla13[#All],9,0)</f>
        <v>27.149322033898308</v>
      </c>
      <c r="L42" s="4">
        <f>Tabla1[[#This Row],[Valor vendido en dolares]]-Tabla1[[#This Row],[Precio de Lista]]</f>
        <v>-13.209322033898308</v>
      </c>
    </row>
    <row r="43" spans="1:12" x14ac:dyDescent="0.15">
      <c r="A43" s="41">
        <v>10901</v>
      </c>
      <c r="B43" t="s">
        <v>646</v>
      </c>
      <c r="C43" t="s">
        <v>9</v>
      </c>
      <c r="D43" s="2">
        <v>46034</v>
      </c>
      <c r="E43" t="s">
        <v>10</v>
      </c>
      <c r="F43" t="s">
        <v>11</v>
      </c>
      <c r="G43" s="41">
        <v>8640</v>
      </c>
      <c r="H43">
        <v>-1</v>
      </c>
      <c r="I43" t="s">
        <v>648</v>
      </c>
      <c r="J43" s="3">
        <v>13.94</v>
      </c>
      <c r="K43" s="3">
        <f>VLOOKUP(VALUE(A43),Tabla13[#All],9,0)</f>
        <v>27.149322033898308</v>
      </c>
      <c r="L43" s="4">
        <f>Tabla1[[#This Row],[Valor vendido en dolares]]-Tabla1[[#This Row],[Precio de Lista]]</f>
        <v>-13.209322033898308</v>
      </c>
    </row>
    <row r="44" spans="1:12" x14ac:dyDescent="0.15">
      <c r="A44" s="41">
        <v>10901</v>
      </c>
      <c r="B44" t="s">
        <v>646</v>
      </c>
      <c r="C44" t="s">
        <v>9</v>
      </c>
      <c r="D44" s="2">
        <v>46034</v>
      </c>
      <c r="E44" t="s">
        <v>10</v>
      </c>
      <c r="F44" t="s">
        <v>11</v>
      </c>
      <c r="G44" s="41">
        <v>8641</v>
      </c>
      <c r="H44">
        <v>-2</v>
      </c>
      <c r="I44" t="s">
        <v>649</v>
      </c>
      <c r="J44" s="3">
        <v>13.94</v>
      </c>
      <c r="K44" s="3">
        <f>VLOOKUP(VALUE(A44),Tabla13[#All],9,0)</f>
        <v>27.149322033898308</v>
      </c>
      <c r="L44" s="4">
        <f>Tabla1[[#This Row],[Valor vendido en dolares]]-Tabla1[[#This Row],[Precio de Lista]]</f>
        <v>-13.209322033898308</v>
      </c>
    </row>
    <row r="45" spans="1:12" x14ac:dyDescent="0.15">
      <c r="A45" s="41">
        <v>10901</v>
      </c>
      <c r="B45" t="s">
        <v>646</v>
      </c>
      <c r="C45" t="s">
        <v>9</v>
      </c>
      <c r="D45" s="2">
        <v>46034</v>
      </c>
      <c r="E45" t="s">
        <v>10</v>
      </c>
      <c r="F45" t="s">
        <v>11</v>
      </c>
      <c r="G45" s="41">
        <v>8638</v>
      </c>
      <c r="H45">
        <v>-1</v>
      </c>
      <c r="I45" t="s">
        <v>650</v>
      </c>
      <c r="J45" s="3">
        <v>13.94</v>
      </c>
      <c r="K45" s="3">
        <f>VLOOKUP(VALUE(A45),Tabla13[#All],9,0)</f>
        <v>27.149322033898308</v>
      </c>
      <c r="L45" s="4">
        <f>Tabla1[[#This Row],[Valor vendido en dolares]]-Tabla1[[#This Row],[Precio de Lista]]</f>
        <v>-13.209322033898308</v>
      </c>
    </row>
    <row r="46" spans="1:12" x14ac:dyDescent="0.15">
      <c r="A46" t="s">
        <v>29</v>
      </c>
      <c r="B46" t="s">
        <v>30</v>
      </c>
      <c r="C46" t="s">
        <v>9</v>
      </c>
      <c r="D46" s="2">
        <v>46035</v>
      </c>
      <c r="E46" t="s">
        <v>10</v>
      </c>
      <c r="F46" t="s">
        <v>11</v>
      </c>
      <c r="G46" t="s">
        <v>609</v>
      </c>
      <c r="H46">
        <v>-1</v>
      </c>
      <c r="I46" t="s">
        <v>610</v>
      </c>
      <c r="J46" s="3">
        <v>531.67999999999995</v>
      </c>
      <c r="K46" s="3">
        <f>VLOOKUP(VALUE(A46),Tabla13[#All],9,0)</f>
        <v>332.30305084745765</v>
      </c>
      <c r="L46" s="4">
        <f>Tabla1[[#This Row],[Valor vendido en dolares]]-Tabla1[[#This Row],[Precio de Lista]]</f>
        <v>199.37694915254229</v>
      </c>
    </row>
    <row r="47" spans="1:12" x14ac:dyDescent="0.15">
      <c r="A47" t="s">
        <v>29</v>
      </c>
      <c r="B47" t="s">
        <v>30</v>
      </c>
      <c r="C47" t="s">
        <v>9</v>
      </c>
      <c r="D47" s="2">
        <v>46035</v>
      </c>
      <c r="E47" t="s">
        <v>10</v>
      </c>
      <c r="F47" t="s">
        <v>11</v>
      </c>
      <c r="G47" t="s">
        <v>609</v>
      </c>
      <c r="H47">
        <v>-1</v>
      </c>
      <c r="I47" t="s">
        <v>610</v>
      </c>
      <c r="J47" s="3">
        <v>531.67999999999995</v>
      </c>
      <c r="K47" s="3">
        <f>VLOOKUP(VALUE(A47),Tabla13[#All],9,0)</f>
        <v>332.30305084745765</v>
      </c>
      <c r="L47" s="4">
        <f>Tabla1[[#This Row],[Valor vendido en dolares]]-Tabla1[[#This Row],[Precio de Lista]]</f>
        <v>199.37694915254229</v>
      </c>
    </row>
    <row r="48" spans="1:12" x14ac:dyDescent="0.15">
      <c r="A48" t="s">
        <v>29</v>
      </c>
      <c r="B48" t="s">
        <v>30</v>
      </c>
      <c r="C48" t="s">
        <v>9</v>
      </c>
      <c r="D48" s="2">
        <v>46036</v>
      </c>
      <c r="E48" t="s">
        <v>10</v>
      </c>
      <c r="F48" t="s">
        <v>11</v>
      </c>
      <c r="G48" t="s">
        <v>611</v>
      </c>
      <c r="H48">
        <v>-1</v>
      </c>
      <c r="I48" t="s">
        <v>612</v>
      </c>
      <c r="J48" s="3">
        <v>531.67999999999995</v>
      </c>
      <c r="K48" s="3">
        <f>VLOOKUP(VALUE(A48),Tabla13[#All],9,0)</f>
        <v>332.30305084745765</v>
      </c>
      <c r="L48" s="4">
        <f>Tabla1[[#This Row],[Valor vendido en dolares]]-Tabla1[[#This Row],[Precio de Lista]]</f>
        <v>199.37694915254229</v>
      </c>
    </row>
    <row r="49" spans="1:12" x14ac:dyDescent="0.15">
      <c r="A49" t="s">
        <v>29</v>
      </c>
      <c r="B49" t="s">
        <v>30</v>
      </c>
      <c r="C49" t="s">
        <v>9</v>
      </c>
      <c r="D49" s="2">
        <v>46036</v>
      </c>
      <c r="E49" t="s">
        <v>10</v>
      </c>
      <c r="F49" t="s">
        <v>11</v>
      </c>
      <c r="G49" t="s">
        <v>611</v>
      </c>
      <c r="H49">
        <v>-1</v>
      </c>
      <c r="I49" t="s">
        <v>612</v>
      </c>
      <c r="J49" s="3">
        <v>531.67999999999995</v>
      </c>
      <c r="K49" s="3">
        <f>VLOOKUP(VALUE(A49),Tabla13[#All],9,0)</f>
        <v>332.30305084745765</v>
      </c>
      <c r="L49" s="4">
        <f>Tabla1[[#This Row],[Valor vendido en dolares]]-Tabla1[[#This Row],[Precio de Lista]]</f>
        <v>199.37694915254229</v>
      </c>
    </row>
    <row r="50" spans="1:12" x14ac:dyDescent="0.15">
      <c r="A50" t="s">
        <v>22</v>
      </c>
      <c r="B50" t="s">
        <v>23</v>
      </c>
      <c r="C50" t="s">
        <v>9</v>
      </c>
      <c r="D50" s="2">
        <v>46037</v>
      </c>
      <c r="E50" t="s">
        <v>10</v>
      </c>
      <c r="F50" t="s">
        <v>11</v>
      </c>
      <c r="G50" t="s">
        <v>614</v>
      </c>
      <c r="H50">
        <v>-1</v>
      </c>
      <c r="I50" t="s">
        <v>572</v>
      </c>
      <c r="J50" s="3">
        <v>215.43</v>
      </c>
      <c r="K50" s="3">
        <f>VLOOKUP(VALUE(A50),Tabla13[#All],9,0)</f>
        <v>134.6420338983051</v>
      </c>
      <c r="L50" s="4">
        <f>Tabla1[[#This Row],[Valor vendido en dolares]]-Tabla1[[#This Row],[Precio de Lista]]</f>
        <v>80.787966101694906</v>
      </c>
    </row>
    <row r="51" spans="1:12" x14ac:dyDescent="0.15">
      <c r="A51" t="s">
        <v>24</v>
      </c>
      <c r="B51" t="s">
        <v>25</v>
      </c>
      <c r="C51" t="s">
        <v>9</v>
      </c>
      <c r="D51" s="2">
        <v>46037</v>
      </c>
      <c r="E51" t="s">
        <v>10</v>
      </c>
      <c r="F51" t="s">
        <v>11</v>
      </c>
      <c r="G51" t="s">
        <v>614</v>
      </c>
      <c r="H51">
        <v>-1</v>
      </c>
      <c r="I51" t="s">
        <v>572</v>
      </c>
      <c r="J51" s="3">
        <v>446.11</v>
      </c>
      <c r="K51" s="3">
        <f>VLOOKUP(VALUE(A51),Tabla13[#All],9,0)</f>
        <v>278.81830508474582</v>
      </c>
      <c r="L51" s="4">
        <f>Tabla1[[#This Row],[Valor vendido en dolares]]-Tabla1[[#This Row],[Precio de Lista]]</f>
        <v>167.2916949152542</v>
      </c>
    </row>
    <row r="52" spans="1:12" x14ac:dyDescent="0.15">
      <c r="A52" t="s">
        <v>624</v>
      </c>
      <c r="B52" t="s">
        <v>625</v>
      </c>
      <c r="C52" t="s">
        <v>9</v>
      </c>
      <c r="D52" s="2">
        <v>46037</v>
      </c>
      <c r="E52" t="s">
        <v>10</v>
      </c>
      <c r="F52" t="s">
        <v>11</v>
      </c>
      <c r="G52" t="s">
        <v>626</v>
      </c>
      <c r="H52">
        <v>-1</v>
      </c>
      <c r="I52" t="s">
        <v>575</v>
      </c>
      <c r="J52" s="3">
        <v>465.95</v>
      </c>
      <c r="K52" s="3">
        <f>VLOOKUP(VALUE(A52),Tabla13[#All],9,0)</f>
        <v>291.22000000000003</v>
      </c>
      <c r="L52" s="4">
        <f>Tabla1[[#This Row],[Valor vendido en dolares]]-Tabla1[[#This Row],[Precio de Lista]]</f>
        <v>174.72999999999996</v>
      </c>
    </row>
    <row r="53" spans="1:12" x14ac:dyDescent="0.15">
      <c r="A53" t="s">
        <v>22</v>
      </c>
      <c r="B53" t="s">
        <v>23</v>
      </c>
      <c r="C53" t="s">
        <v>9</v>
      </c>
      <c r="D53" s="2">
        <v>46037</v>
      </c>
      <c r="E53" t="s">
        <v>10</v>
      </c>
      <c r="F53" t="s">
        <v>11</v>
      </c>
      <c r="G53" t="s">
        <v>614</v>
      </c>
      <c r="H53">
        <v>-1</v>
      </c>
      <c r="I53" t="s">
        <v>572</v>
      </c>
      <c r="J53" s="3">
        <v>215.43</v>
      </c>
      <c r="K53" s="3">
        <f>VLOOKUP(VALUE(A53),Tabla13[#All],9,0)</f>
        <v>134.6420338983051</v>
      </c>
      <c r="L53" s="4">
        <f>Tabla1[[#This Row],[Valor vendido en dolares]]-Tabla1[[#This Row],[Precio de Lista]]</f>
        <v>80.787966101694906</v>
      </c>
    </row>
    <row r="54" spans="1:12" x14ac:dyDescent="0.15">
      <c r="A54" t="s">
        <v>24</v>
      </c>
      <c r="B54" t="s">
        <v>25</v>
      </c>
      <c r="C54" t="s">
        <v>9</v>
      </c>
      <c r="D54" s="2">
        <v>46037</v>
      </c>
      <c r="E54" t="s">
        <v>10</v>
      </c>
      <c r="F54" t="s">
        <v>11</v>
      </c>
      <c r="G54" t="s">
        <v>614</v>
      </c>
      <c r="H54">
        <v>-1</v>
      </c>
      <c r="I54" t="s">
        <v>572</v>
      </c>
      <c r="J54" s="3">
        <v>446.11</v>
      </c>
      <c r="K54" s="3">
        <f>VLOOKUP(VALUE(A54),Tabla13[#All],9,0)</f>
        <v>278.81830508474582</v>
      </c>
      <c r="L54" s="4">
        <f>Tabla1[[#This Row],[Valor vendido en dolares]]-Tabla1[[#This Row],[Precio de Lista]]</f>
        <v>167.2916949152542</v>
      </c>
    </row>
    <row r="55" spans="1:12" x14ac:dyDescent="0.15">
      <c r="A55" t="s">
        <v>624</v>
      </c>
      <c r="B55" t="s">
        <v>625</v>
      </c>
      <c r="C55" t="s">
        <v>9</v>
      </c>
      <c r="D55" s="2">
        <v>46037</v>
      </c>
      <c r="E55" t="s">
        <v>10</v>
      </c>
      <c r="F55" t="s">
        <v>11</v>
      </c>
      <c r="G55" t="s">
        <v>626</v>
      </c>
      <c r="H55">
        <v>-1</v>
      </c>
      <c r="I55" t="s">
        <v>575</v>
      </c>
      <c r="J55" s="3">
        <v>465.95</v>
      </c>
      <c r="K55" s="3">
        <f>VLOOKUP(VALUE(A55),Tabla13[#All],9,0)</f>
        <v>291.22000000000003</v>
      </c>
      <c r="L55" s="4">
        <f>Tabla1[[#This Row],[Valor vendido en dolares]]-Tabla1[[#This Row],[Precio de Lista]]</f>
        <v>174.72999999999996</v>
      </c>
    </row>
    <row r="56" spans="1:12" x14ac:dyDescent="0.15">
      <c r="A56" t="s">
        <v>33</v>
      </c>
      <c r="B56" t="s">
        <v>34</v>
      </c>
      <c r="C56" t="s">
        <v>9</v>
      </c>
      <c r="D56" s="2">
        <v>46038</v>
      </c>
      <c r="E56" t="s">
        <v>10</v>
      </c>
      <c r="F56" t="s">
        <v>11</v>
      </c>
      <c r="G56" t="s">
        <v>597</v>
      </c>
      <c r="H56">
        <v>-2</v>
      </c>
      <c r="I56" t="s">
        <v>598</v>
      </c>
      <c r="J56" s="3">
        <v>8</v>
      </c>
      <c r="K56" s="3">
        <f>VLOOKUP(VALUE(A56),Tabla13[#All],9,0)</f>
        <v>5</v>
      </c>
      <c r="L56" s="4">
        <f>Tabla1[[#This Row],[Valor vendido en dolares]]-Tabla1[[#This Row],[Precio de Lista]]</f>
        <v>3</v>
      </c>
    </row>
    <row r="57" spans="1:12" x14ac:dyDescent="0.15">
      <c r="A57" t="s">
        <v>622</v>
      </c>
      <c r="B57" t="s">
        <v>623</v>
      </c>
      <c r="C57" t="s">
        <v>9</v>
      </c>
      <c r="D57" s="2">
        <v>46038</v>
      </c>
      <c r="E57" t="s">
        <v>10</v>
      </c>
      <c r="F57" t="s">
        <v>11</v>
      </c>
      <c r="G57" t="s">
        <v>597</v>
      </c>
      <c r="H57">
        <v>-1</v>
      </c>
      <c r="I57" t="s">
        <v>598</v>
      </c>
      <c r="J57" s="3">
        <v>35.380000000000003</v>
      </c>
      <c r="K57" s="3">
        <f>VLOOKUP(VALUE(A57),Tabla13[#All],9,0)</f>
        <v>22.11</v>
      </c>
      <c r="L57" s="4">
        <f>Tabla1[[#This Row],[Valor vendido en dolares]]-Tabla1[[#This Row],[Precio de Lista]]</f>
        <v>13.270000000000003</v>
      </c>
    </row>
    <row r="58" spans="1:12" x14ac:dyDescent="0.15">
      <c r="A58" t="s">
        <v>33</v>
      </c>
      <c r="B58" t="s">
        <v>34</v>
      </c>
      <c r="C58" t="s">
        <v>9</v>
      </c>
      <c r="D58" s="2">
        <v>46038</v>
      </c>
      <c r="E58" t="s">
        <v>10</v>
      </c>
      <c r="F58" t="s">
        <v>11</v>
      </c>
      <c r="G58" t="s">
        <v>597</v>
      </c>
      <c r="H58">
        <v>-2</v>
      </c>
      <c r="I58" t="s">
        <v>598</v>
      </c>
      <c r="J58" s="3">
        <v>8</v>
      </c>
      <c r="K58" s="3">
        <f>VLOOKUP(VALUE(A58),Tabla13[#All],9,0)</f>
        <v>5</v>
      </c>
      <c r="L58" s="4">
        <f>Tabla1[[#This Row],[Valor vendido en dolares]]-Tabla1[[#This Row],[Precio de Lista]]</f>
        <v>3</v>
      </c>
    </row>
    <row r="59" spans="1:12" x14ac:dyDescent="0.15">
      <c r="A59" t="s">
        <v>622</v>
      </c>
      <c r="B59" t="s">
        <v>623</v>
      </c>
      <c r="C59" t="s">
        <v>9</v>
      </c>
      <c r="D59" s="2">
        <v>46038</v>
      </c>
      <c r="E59" t="s">
        <v>10</v>
      </c>
      <c r="F59" t="s">
        <v>11</v>
      </c>
      <c r="G59" t="s">
        <v>597</v>
      </c>
      <c r="H59">
        <v>-1</v>
      </c>
      <c r="I59" t="s">
        <v>598</v>
      </c>
      <c r="J59" s="3">
        <v>35.380000000000003</v>
      </c>
      <c r="K59" s="3">
        <f>VLOOKUP(VALUE(A59),Tabla13[#All],9,0)</f>
        <v>22.11</v>
      </c>
      <c r="L59" s="4">
        <f>Tabla1[[#This Row],[Valor vendido en dolares]]-Tabla1[[#This Row],[Precio de Lista]]</f>
        <v>13.270000000000003</v>
      </c>
    </row>
    <row r="60" spans="1:12" x14ac:dyDescent="0.15">
      <c r="A60" t="s">
        <v>642</v>
      </c>
      <c r="B60" t="s">
        <v>301</v>
      </c>
      <c r="C60" t="s">
        <v>9</v>
      </c>
      <c r="D60" s="2">
        <v>46042</v>
      </c>
      <c r="E60" t="s">
        <v>10</v>
      </c>
      <c r="F60" t="s">
        <v>11</v>
      </c>
      <c r="G60" t="s">
        <v>643</v>
      </c>
      <c r="H60">
        <v>-2</v>
      </c>
      <c r="I60" t="s">
        <v>644</v>
      </c>
      <c r="J60" s="3">
        <v>77.84</v>
      </c>
      <c r="K60" s="3">
        <f>VLOOKUP(VALUE(A60),Tabla13[#All],9,0)</f>
        <v>48.647864406779668</v>
      </c>
      <c r="L60" s="4">
        <f>Tabla1[[#This Row],[Valor vendido en dolares]]-Tabla1[[#This Row],[Precio de Lista]]</f>
        <v>29.192135593220335</v>
      </c>
    </row>
    <row r="61" spans="1:12" x14ac:dyDescent="0.15">
      <c r="A61" t="s">
        <v>22</v>
      </c>
      <c r="B61" t="s">
        <v>23</v>
      </c>
      <c r="C61" t="s">
        <v>9</v>
      </c>
      <c r="D61" s="2">
        <v>46042</v>
      </c>
      <c r="E61" t="s">
        <v>10</v>
      </c>
      <c r="F61" t="s">
        <v>11</v>
      </c>
      <c r="G61" t="s">
        <v>645</v>
      </c>
      <c r="H61">
        <v>-1</v>
      </c>
      <c r="I61" t="s">
        <v>633</v>
      </c>
      <c r="J61" s="3">
        <v>215.43</v>
      </c>
      <c r="K61" s="3">
        <f>VLOOKUP(VALUE(A61),Tabla13[#All],9,0)</f>
        <v>134.6420338983051</v>
      </c>
      <c r="L61" s="4">
        <f>Tabla1[[#This Row],[Valor vendido en dolares]]-Tabla1[[#This Row],[Precio de Lista]]</f>
        <v>80.787966101694906</v>
      </c>
    </row>
    <row r="62" spans="1:12" x14ac:dyDescent="0.15">
      <c r="A62" s="41" t="s">
        <v>24</v>
      </c>
      <c r="B62" t="s">
        <v>25</v>
      </c>
      <c r="C62" t="s">
        <v>9</v>
      </c>
      <c r="D62" s="2">
        <v>46042</v>
      </c>
      <c r="E62" t="s">
        <v>10</v>
      </c>
      <c r="F62" t="s">
        <v>11</v>
      </c>
      <c r="G62" t="s">
        <v>645</v>
      </c>
      <c r="H62">
        <v>-1</v>
      </c>
      <c r="I62" t="s">
        <v>633</v>
      </c>
      <c r="J62" s="3">
        <v>446.11</v>
      </c>
      <c r="K62" s="3">
        <f>VLOOKUP(VALUE(A62),Tabla13[#All],9,0)</f>
        <v>278.81830508474582</v>
      </c>
      <c r="L62" s="4">
        <f>Tabla1[[#This Row],[Valor vendido en dolares]]-Tabla1[[#This Row],[Precio de Lista]]</f>
        <v>167.2916949152542</v>
      </c>
    </row>
    <row r="63" spans="1:12" x14ac:dyDescent="0.15">
      <c r="A63" t="s">
        <v>639</v>
      </c>
      <c r="B63" t="s">
        <v>28</v>
      </c>
      <c r="C63" t="s">
        <v>9</v>
      </c>
      <c r="D63" s="2">
        <v>46044</v>
      </c>
      <c r="E63" t="s">
        <v>10</v>
      </c>
      <c r="F63" t="s">
        <v>11</v>
      </c>
      <c r="G63" t="s">
        <v>640</v>
      </c>
      <c r="H63">
        <v>-1</v>
      </c>
      <c r="I63" t="s">
        <v>576</v>
      </c>
      <c r="J63" s="3">
        <v>61.6</v>
      </c>
      <c r="K63" s="3">
        <f>VLOOKUP(VALUE(A63),Tabla13[#All],9,0)</f>
        <v>38.497389830508475</v>
      </c>
      <c r="L63" s="4">
        <f>Tabla1[[#This Row],[Valor vendido en dolares]]-Tabla1[[#This Row],[Precio de Lista]]</f>
        <v>23.102610169491527</v>
      </c>
    </row>
    <row r="64" spans="1:12" x14ac:dyDescent="0.15">
      <c r="A64" t="s">
        <v>641</v>
      </c>
      <c r="B64" t="s">
        <v>425</v>
      </c>
      <c r="C64" t="s">
        <v>9</v>
      </c>
      <c r="D64" s="2">
        <v>46044</v>
      </c>
      <c r="E64" t="s">
        <v>10</v>
      </c>
      <c r="F64" t="s">
        <v>11</v>
      </c>
      <c r="G64" t="s">
        <v>640</v>
      </c>
      <c r="H64">
        <v>-1</v>
      </c>
      <c r="I64" t="s">
        <v>576</v>
      </c>
      <c r="J64" s="3">
        <v>55.05</v>
      </c>
      <c r="K64" s="3">
        <f>VLOOKUP(VALUE(A64),Tabla13[#All],9,0)</f>
        <v>34.40464406779661</v>
      </c>
      <c r="L64" s="4">
        <f>Tabla1[[#This Row],[Valor vendido en dolares]]-Tabla1[[#This Row],[Precio de Lista]]</f>
        <v>20.645355932203387</v>
      </c>
    </row>
    <row r="65" spans="1:13" x14ac:dyDescent="0.15">
      <c r="A65" t="s">
        <v>588</v>
      </c>
      <c r="B65" t="s">
        <v>589</v>
      </c>
      <c r="C65" t="s">
        <v>9</v>
      </c>
      <c r="D65" s="2">
        <v>46047</v>
      </c>
      <c r="E65" t="s">
        <v>10</v>
      </c>
      <c r="F65" t="s">
        <v>11</v>
      </c>
      <c r="G65" t="s">
        <v>637</v>
      </c>
      <c r="H65">
        <v>-1</v>
      </c>
      <c r="I65" t="s">
        <v>638</v>
      </c>
      <c r="J65" s="3">
        <v>686.89</v>
      </c>
      <c r="K65" s="3">
        <f>VLOOKUP(VALUE(A65),Tabla13[#All],9,0)</f>
        <v>429.30810169491531</v>
      </c>
      <c r="L65" s="4">
        <f>Tabla1[[#This Row],[Valor vendido en dolares]]-Tabla1[[#This Row],[Precio de Lista]]</f>
        <v>257.58189830508468</v>
      </c>
    </row>
    <row r="66" spans="1:13" x14ac:dyDescent="0.15">
      <c r="A66" t="s">
        <v>634</v>
      </c>
      <c r="B66" t="s">
        <v>635</v>
      </c>
      <c r="C66" t="s">
        <v>9</v>
      </c>
      <c r="D66" s="2">
        <v>46048</v>
      </c>
      <c r="E66" t="s">
        <v>10</v>
      </c>
      <c r="F66" t="s">
        <v>11</v>
      </c>
      <c r="G66" t="s">
        <v>636</v>
      </c>
      <c r="H66">
        <v>-1</v>
      </c>
      <c r="I66" t="s">
        <v>612</v>
      </c>
      <c r="J66" s="3">
        <v>197.76</v>
      </c>
      <c r="K66" s="3">
        <f>VLOOKUP(VALUE(A66),Tabla13[#All],9,0)</f>
        <v>123.6</v>
      </c>
      <c r="L66" s="4">
        <f>Tabla1[[#This Row],[Valor vendido en dolares]]-Tabla1[[#This Row],[Precio de Lista]]</f>
        <v>74.16</v>
      </c>
    </row>
    <row r="67" spans="1:13" x14ac:dyDescent="0.15">
      <c r="A67" t="s">
        <v>19</v>
      </c>
      <c r="B67" t="s">
        <v>20</v>
      </c>
      <c r="C67" t="s">
        <v>9</v>
      </c>
      <c r="D67" s="2">
        <v>46052</v>
      </c>
      <c r="E67" t="s">
        <v>10</v>
      </c>
      <c r="F67" t="s">
        <v>11</v>
      </c>
      <c r="G67" t="s">
        <v>627</v>
      </c>
      <c r="H67">
        <v>-1</v>
      </c>
      <c r="I67" t="s">
        <v>628</v>
      </c>
      <c r="J67" s="3">
        <v>871.22</v>
      </c>
      <c r="K67" s="3">
        <f>VLOOKUP(VALUE(A67),Tabla13[#All],9,0)</f>
        <v>544.50959322033907</v>
      </c>
      <c r="L67" s="4">
        <f>Tabla1[[#This Row],[Valor vendido en dolares]]-Tabla1[[#This Row],[Precio de Lista]]</f>
        <v>326.71040677966096</v>
      </c>
    </row>
    <row r="68" spans="1:13" x14ac:dyDescent="0.15">
      <c r="A68" t="s">
        <v>22</v>
      </c>
      <c r="B68" t="s">
        <v>23</v>
      </c>
      <c r="C68" t="s">
        <v>9</v>
      </c>
      <c r="D68" s="2">
        <v>46052</v>
      </c>
      <c r="E68" t="s">
        <v>10</v>
      </c>
      <c r="F68" t="s">
        <v>11</v>
      </c>
      <c r="G68" t="s">
        <v>629</v>
      </c>
      <c r="H68">
        <v>-1</v>
      </c>
      <c r="I68" t="s">
        <v>630</v>
      </c>
      <c r="J68" s="3">
        <v>214.43</v>
      </c>
      <c r="K68" s="3">
        <f>VLOOKUP(VALUE(A68),Tabla13[#All],9,0)</f>
        <v>134.6420338983051</v>
      </c>
      <c r="L68" s="4">
        <f>Tabla1[[#This Row],[Valor vendido en dolares]]-Tabla1[[#This Row],[Precio de Lista]]</f>
        <v>79.787966101694906</v>
      </c>
    </row>
    <row r="69" spans="1:13" x14ac:dyDescent="0.15">
      <c r="A69" t="s">
        <v>24</v>
      </c>
      <c r="B69" t="s">
        <v>25</v>
      </c>
      <c r="C69" t="s">
        <v>9</v>
      </c>
      <c r="D69" s="2">
        <v>46052</v>
      </c>
      <c r="E69" t="s">
        <v>10</v>
      </c>
      <c r="F69" t="s">
        <v>11</v>
      </c>
      <c r="G69" t="s">
        <v>629</v>
      </c>
      <c r="H69">
        <v>-1</v>
      </c>
      <c r="I69" t="s">
        <v>630</v>
      </c>
      <c r="J69" s="3">
        <v>446.11</v>
      </c>
      <c r="K69" s="3">
        <f>VLOOKUP(VALUE(A69),Tabla13[#All],9,0)</f>
        <v>278.81830508474582</v>
      </c>
      <c r="L69" s="4">
        <f>Tabla1[[#This Row],[Valor vendido en dolares]]-Tabla1[[#This Row],[Precio de Lista]]</f>
        <v>167.2916949152542</v>
      </c>
    </row>
    <row r="70" spans="1:13" x14ac:dyDescent="0.15">
      <c r="A70" t="s">
        <v>578</v>
      </c>
      <c r="B70" t="s">
        <v>495</v>
      </c>
      <c r="C70" t="s">
        <v>9</v>
      </c>
      <c r="D70" s="2">
        <v>46052</v>
      </c>
      <c r="E70" t="s">
        <v>10</v>
      </c>
      <c r="F70" t="s">
        <v>11</v>
      </c>
      <c r="G70" t="s">
        <v>629</v>
      </c>
      <c r="H70">
        <v>-1</v>
      </c>
      <c r="I70" t="s">
        <v>630</v>
      </c>
      <c r="J70" s="3">
        <v>124.43</v>
      </c>
      <c r="K70" s="3">
        <f>VLOOKUP(VALUE(A70),Tabla13[#All],9,0)</f>
        <v>74.622847457627131</v>
      </c>
      <c r="L70" s="4">
        <f>Tabla1[[#This Row],[Valor vendido en dolares]]-Tabla1[[#This Row],[Precio de Lista]]</f>
        <v>49.807152542372876</v>
      </c>
    </row>
    <row r="71" spans="1:13" x14ac:dyDescent="0.15">
      <c r="A71" t="s">
        <v>631</v>
      </c>
      <c r="B71" t="s">
        <v>510</v>
      </c>
      <c r="C71" t="s">
        <v>9</v>
      </c>
      <c r="D71" s="2">
        <v>46052</v>
      </c>
      <c r="E71" t="s">
        <v>10</v>
      </c>
      <c r="F71" t="s">
        <v>11</v>
      </c>
      <c r="G71" t="s">
        <v>632</v>
      </c>
      <c r="H71">
        <v>-2</v>
      </c>
      <c r="I71" t="s">
        <v>633</v>
      </c>
      <c r="J71" s="3">
        <v>36.799999999999997</v>
      </c>
      <c r="K71" s="3">
        <f>VLOOKUP(VALUE(A71),Tabla13[#All],9,0)</f>
        <v>23</v>
      </c>
      <c r="L71" s="4">
        <f>Tabla1[[#This Row],[Valor vendido en dolares]]-Tabla1[[#This Row],[Precio de Lista]]</f>
        <v>13.799999999999997</v>
      </c>
    </row>
    <row r="72" spans="1:13" x14ac:dyDescent="0.15">
      <c r="D72" s="2"/>
      <c r="J72" s="3"/>
      <c r="K72" s="3"/>
      <c r="L72" s="4">
        <f>SUM(Tabla1[Margen Gancia])</f>
        <v>4796.9011525423712</v>
      </c>
      <c r="M72" t="s">
        <v>651</v>
      </c>
    </row>
  </sheetData>
  <pageMargins left="0.75" right="0.75" top="1" bottom="1" header="0.5" footer="0.5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47036-2836-4499-BB6A-2978C93440E8}">
  <dimension ref="A1:Q557"/>
  <sheetViews>
    <sheetView zoomScale="85" zoomScaleNormal="85" workbookViewId="0">
      <selection activeCell="E488" sqref="E488"/>
    </sheetView>
  </sheetViews>
  <sheetFormatPr baseColWidth="10" defaultRowHeight="15" x14ac:dyDescent="0.2"/>
  <cols>
    <col min="1" max="1" width="9.83203125" style="10" customWidth="1"/>
    <col min="2" max="2" width="15.33203125" style="32" customWidth="1"/>
    <col min="3" max="3" width="48.83203125" style="10" customWidth="1"/>
    <col min="4" max="4" width="13.33203125" style="32" customWidth="1"/>
    <col min="5" max="5" width="19.83203125" style="10" bestFit="1" customWidth="1"/>
    <col min="6" max="6" width="18.83203125" style="10" bestFit="1" customWidth="1"/>
    <col min="7" max="7" width="18" style="10" bestFit="1" customWidth="1"/>
    <col min="8" max="8" width="15.33203125" style="10" bestFit="1" customWidth="1"/>
    <col min="9" max="9" width="18.83203125" style="10" bestFit="1" customWidth="1"/>
    <col min="10" max="10" width="22.5" style="10" customWidth="1"/>
    <col min="11" max="11" width="27.33203125" style="10" customWidth="1"/>
    <col min="12" max="13" width="19.33203125" style="10" customWidth="1"/>
    <col min="14" max="254" width="11.5" style="10"/>
    <col min="255" max="255" width="9.83203125" style="10" customWidth="1"/>
    <col min="256" max="256" width="15.33203125" style="10" customWidth="1"/>
    <col min="257" max="257" width="48.83203125" style="10" customWidth="1"/>
    <col min="258" max="258" width="13.33203125" style="10" customWidth="1"/>
    <col min="259" max="259" width="9" style="10" customWidth="1"/>
    <col min="260" max="260" width="12.6640625" style="10" customWidth="1"/>
    <col min="261" max="261" width="16.83203125" style="10" customWidth="1"/>
    <col min="262" max="510" width="11.5" style="10"/>
    <col min="511" max="511" width="9.83203125" style="10" customWidth="1"/>
    <col min="512" max="512" width="15.33203125" style="10" customWidth="1"/>
    <col min="513" max="513" width="48.83203125" style="10" customWidth="1"/>
    <col min="514" max="514" width="13.33203125" style="10" customWidth="1"/>
    <col min="515" max="515" width="9" style="10" customWidth="1"/>
    <col min="516" max="516" width="12.6640625" style="10" customWidth="1"/>
    <col min="517" max="517" width="16.83203125" style="10" customWidth="1"/>
    <col min="518" max="766" width="11.5" style="10"/>
    <col min="767" max="767" width="9.83203125" style="10" customWidth="1"/>
    <col min="768" max="768" width="15.33203125" style="10" customWidth="1"/>
    <col min="769" max="769" width="48.83203125" style="10" customWidth="1"/>
    <col min="770" max="770" width="13.33203125" style="10" customWidth="1"/>
    <col min="771" max="771" width="9" style="10" customWidth="1"/>
    <col min="772" max="772" width="12.6640625" style="10" customWidth="1"/>
    <col min="773" max="773" width="16.83203125" style="10" customWidth="1"/>
    <col min="774" max="1022" width="11.5" style="10"/>
    <col min="1023" max="1023" width="9.83203125" style="10" customWidth="1"/>
    <col min="1024" max="1024" width="15.33203125" style="10" customWidth="1"/>
    <col min="1025" max="1025" width="48.83203125" style="10" customWidth="1"/>
    <col min="1026" max="1026" width="13.33203125" style="10" customWidth="1"/>
    <col min="1027" max="1027" width="9" style="10" customWidth="1"/>
    <col min="1028" max="1028" width="12.6640625" style="10" customWidth="1"/>
    <col min="1029" max="1029" width="16.83203125" style="10" customWidth="1"/>
    <col min="1030" max="1278" width="11.5" style="10"/>
    <col min="1279" max="1279" width="9.83203125" style="10" customWidth="1"/>
    <col min="1280" max="1280" width="15.33203125" style="10" customWidth="1"/>
    <col min="1281" max="1281" width="48.83203125" style="10" customWidth="1"/>
    <col min="1282" max="1282" width="13.33203125" style="10" customWidth="1"/>
    <col min="1283" max="1283" width="9" style="10" customWidth="1"/>
    <col min="1284" max="1284" width="12.6640625" style="10" customWidth="1"/>
    <col min="1285" max="1285" width="16.83203125" style="10" customWidth="1"/>
    <col min="1286" max="1534" width="11.5" style="10"/>
    <col min="1535" max="1535" width="9.83203125" style="10" customWidth="1"/>
    <col min="1536" max="1536" width="15.33203125" style="10" customWidth="1"/>
    <col min="1537" max="1537" width="48.83203125" style="10" customWidth="1"/>
    <col min="1538" max="1538" width="13.33203125" style="10" customWidth="1"/>
    <col min="1539" max="1539" width="9" style="10" customWidth="1"/>
    <col min="1540" max="1540" width="12.6640625" style="10" customWidth="1"/>
    <col min="1541" max="1541" width="16.83203125" style="10" customWidth="1"/>
    <col min="1542" max="1790" width="11.5" style="10"/>
    <col min="1791" max="1791" width="9.83203125" style="10" customWidth="1"/>
    <col min="1792" max="1792" width="15.33203125" style="10" customWidth="1"/>
    <col min="1793" max="1793" width="48.83203125" style="10" customWidth="1"/>
    <col min="1794" max="1794" width="13.33203125" style="10" customWidth="1"/>
    <col min="1795" max="1795" width="9" style="10" customWidth="1"/>
    <col min="1796" max="1796" width="12.6640625" style="10" customWidth="1"/>
    <col min="1797" max="1797" width="16.83203125" style="10" customWidth="1"/>
    <col min="1798" max="2046" width="11.5" style="10"/>
    <col min="2047" max="2047" width="9.83203125" style="10" customWidth="1"/>
    <col min="2048" max="2048" width="15.33203125" style="10" customWidth="1"/>
    <col min="2049" max="2049" width="48.83203125" style="10" customWidth="1"/>
    <col min="2050" max="2050" width="13.33203125" style="10" customWidth="1"/>
    <col min="2051" max="2051" width="9" style="10" customWidth="1"/>
    <col min="2052" max="2052" width="12.6640625" style="10" customWidth="1"/>
    <col min="2053" max="2053" width="16.83203125" style="10" customWidth="1"/>
    <col min="2054" max="2302" width="11.5" style="10"/>
    <col min="2303" max="2303" width="9.83203125" style="10" customWidth="1"/>
    <col min="2304" max="2304" width="15.33203125" style="10" customWidth="1"/>
    <col min="2305" max="2305" width="48.83203125" style="10" customWidth="1"/>
    <col min="2306" max="2306" width="13.33203125" style="10" customWidth="1"/>
    <col min="2307" max="2307" width="9" style="10" customWidth="1"/>
    <col min="2308" max="2308" width="12.6640625" style="10" customWidth="1"/>
    <col min="2309" max="2309" width="16.83203125" style="10" customWidth="1"/>
    <col min="2310" max="2558" width="11.5" style="10"/>
    <col min="2559" max="2559" width="9.83203125" style="10" customWidth="1"/>
    <col min="2560" max="2560" width="15.33203125" style="10" customWidth="1"/>
    <col min="2561" max="2561" width="48.83203125" style="10" customWidth="1"/>
    <col min="2562" max="2562" width="13.33203125" style="10" customWidth="1"/>
    <col min="2563" max="2563" width="9" style="10" customWidth="1"/>
    <col min="2564" max="2564" width="12.6640625" style="10" customWidth="1"/>
    <col min="2565" max="2565" width="16.83203125" style="10" customWidth="1"/>
    <col min="2566" max="2814" width="11.5" style="10"/>
    <col min="2815" max="2815" width="9.83203125" style="10" customWidth="1"/>
    <col min="2816" max="2816" width="15.33203125" style="10" customWidth="1"/>
    <col min="2817" max="2817" width="48.83203125" style="10" customWidth="1"/>
    <col min="2818" max="2818" width="13.33203125" style="10" customWidth="1"/>
    <col min="2819" max="2819" width="9" style="10" customWidth="1"/>
    <col min="2820" max="2820" width="12.6640625" style="10" customWidth="1"/>
    <col min="2821" max="2821" width="16.83203125" style="10" customWidth="1"/>
    <col min="2822" max="3070" width="11.5" style="10"/>
    <col min="3071" max="3071" width="9.83203125" style="10" customWidth="1"/>
    <col min="3072" max="3072" width="15.33203125" style="10" customWidth="1"/>
    <col min="3073" max="3073" width="48.83203125" style="10" customWidth="1"/>
    <col min="3074" max="3074" width="13.33203125" style="10" customWidth="1"/>
    <col min="3075" max="3075" width="9" style="10" customWidth="1"/>
    <col min="3076" max="3076" width="12.6640625" style="10" customWidth="1"/>
    <col min="3077" max="3077" width="16.83203125" style="10" customWidth="1"/>
    <col min="3078" max="3326" width="11.5" style="10"/>
    <col min="3327" max="3327" width="9.83203125" style="10" customWidth="1"/>
    <col min="3328" max="3328" width="15.33203125" style="10" customWidth="1"/>
    <col min="3329" max="3329" width="48.83203125" style="10" customWidth="1"/>
    <col min="3330" max="3330" width="13.33203125" style="10" customWidth="1"/>
    <col min="3331" max="3331" width="9" style="10" customWidth="1"/>
    <col min="3332" max="3332" width="12.6640625" style="10" customWidth="1"/>
    <col min="3333" max="3333" width="16.83203125" style="10" customWidth="1"/>
    <col min="3334" max="3582" width="11.5" style="10"/>
    <col min="3583" max="3583" width="9.83203125" style="10" customWidth="1"/>
    <col min="3584" max="3584" width="15.33203125" style="10" customWidth="1"/>
    <col min="3585" max="3585" width="48.83203125" style="10" customWidth="1"/>
    <col min="3586" max="3586" width="13.33203125" style="10" customWidth="1"/>
    <col min="3587" max="3587" width="9" style="10" customWidth="1"/>
    <col min="3588" max="3588" width="12.6640625" style="10" customWidth="1"/>
    <col min="3589" max="3589" width="16.83203125" style="10" customWidth="1"/>
    <col min="3590" max="3838" width="11.5" style="10"/>
    <col min="3839" max="3839" width="9.83203125" style="10" customWidth="1"/>
    <col min="3840" max="3840" width="15.33203125" style="10" customWidth="1"/>
    <col min="3841" max="3841" width="48.83203125" style="10" customWidth="1"/>
    <col min="3842" max="3842" width="13.33203125" style="10" customWidth="1"/>
    <col min="3843" max="3843" width="9" style="10" customWidth="1"/>
    <col min="3844" max="3844" width="12.6640625" style="10" customWidth="1"/>
    <col min="3845" max="3845" width="16.83203125" style="10" customWidth="1"/>
    <col min="3846" max="4094" width="11.5" style="10"/>
    <col min="4095" max="4095" width="9.83203125" style="10" customWidth="1"/>
    <col min="4096" max="4096" width="15.33203125" style="10" customWidth="1"/>
    <col min="4097" max="4097" width="48.83203125" style="10" customWidth="1"/>
    <col min="4098" max="4098" width="13.33203125" style="10" customWidth="1"/>
    <col min="4099" max="4099" width="9" style="10" customWidth="1"/>
    <col min="4100" max="4100" width="12.6640625" style="10" customWidth="1"/>
    <col min="4101" max="4101" width="16.83203125" style="10" customWidth="1"/>
    <col min="4102" max="4350" width="11.5" style="10"/>
    <col min="4351" max="4351" width="9.83203125" style="10" customWidth="1"/>
    <col min="4352" max="4352" width="15.33203125" style="10" customWidth="1"/>
    <col min="4353" max="4353" width="48.83203125" style="10" customWidth="1"/>
    <col min="4354" max="4354" width="13.33203125" style="10" customWidth="1"/>
    <col min="4355" max="4355" width="9" style="10" customWidth="1"/>
    <col min="4356" max="4356" width="12.6640625" style="10" customWidth="1"/>
    <col min="4357" max="4357" width="16.83203125" style="10" customWidth="1"/>
    <col min="4358" max="4606" width="11.5" style="10"/>
    <col min="4607" max="4607" width="9.83203125" style="10" customWidth="1"/>
    <col min="4608" max="4608" width="15.33203125" style="10" customWidth="1"/>
    <col min="4609" max="4609" width="48.83203125" style="10" customWidth="1"/>
    <col min="4610" max="4610" width="13.33203125" style="10" customWidth="1"/>
    <col min="4611" max="4611" width="9" style="10" customWidth="1"/>
    <col min="4612" max="4612" width="12.6640625" style="10" customWidth="1"/>
    <col min="4613" max="4613" width="16.83203125" style="10" customWidth="1"/>
    <col min="4614" max="4862" width="11.5" style="10"/>
    <col min="4863" max="4863" width="9.83203125" style="10" customWidth="1"/>
    <col min="4864" max="4864" width="15.33203125" style="10" customWidth="1"/>
    <col min="4865" max="4865" width="48.83203125" style="10" customWidth="1"/>
    <col min="4866" max="4866" width="13.33203125" style="10" customWidth="1"/>
    <col min="4867" max="4867" width="9" style="10" customWidth="1"/>
    <col min="4868" max="4868" width="12.6640625" style="10" customWidth="1"/>
    <col min="4869" max="4869" width="16.83203125" style="10" customWidth="1"/>
    <col min="4870" max="5118" width="11.5" style="10"/>
    <col min="5119" max="5119" width="9.83203125" style="10" customWidth="1"/>
    <col min="5120" max="5120" width="15.33203125" style="10" customWidth="1"/>
    <col min="5121" max="5121" width="48.83203125" style="10" customWidth="1"/>
    <col min="5122" max="5122" width="13.33203125" style="10" customWidth="1"/>
    <col min="5123" max="5123" width="9" style="10" customWidth="1"/>
    <col min="5124" max="5124" width="12.6640625" style="10" customWidth="1"/>
    <col min="5125" max="5125" width="16.83203125" style="10" customWidth="1"/>
    <col min="5126" max="5374" width="11.5" style="10"/>
    <col min="5375" max="5375" width="9.83203125" style="10" customWidth="1"/>
    <col min="5376" max="5376" width="15.33203125" style="10" customWidth="1"/>
    <col min="5377" max="5377" width="48.83203125" style="10" customWidth="1"/>
    <col min="5378" max="5378" width="13.33203125" style="10" customWidth="1"/>
    <col min="5379" max="5379" width="9" style="10" customWidth="1"/>
    <col min="5380" max="5380" width="12.6640625" style="10" customWidth="1"/>
    <col min="5381" max="5381" width="16.83203125" style="10" customWidth="1"/>
    <col min="5382" max="5630" width="11.5" style="10"/>
    <col min="5631" max="5631" width="9.83203125" style="10" customWidth="1"/>
    <col min="5632" max="5632" width="15.33203125" style="10" customWidth="1"/>
    <col min="5633" max="5633" width="48.83203125" style="10" customWidth="1"/>
    <col min="5634" max="5634" width="13.33203125" style="10" customWidth="1"/>
    <col min="5635" max="5635" width="9" style="10" customWidth="1"/>
    <col min="5636" max="5636" width="12.6640625" style="10" customWidth="1"/>
    <col min="5637" max="5637" width="16.83203125" style="10" customWidth="1"/>
    <col min="5638" max="5886" width="11.5" style="10"/>
    <col min="5887" max="5887" width="9.83203125" style="10" customWidth="1"/>
    <col min="5888" max="5888" width="15.33203125" style="10" customWidth="1"/>
    <col min="5889" max="5889" width="48.83203125" style="10" customWidth="1"/>
    <col min="5890" max="5890" width="13.33203125" style="10" customWidth="1"/>
    <col min="5891" max="5891" width="9" style="10" customWidth="1"/>
    <col min="5892" max="5892" width="12.6640625" style="10" customWidth="1"/>
    <col min="5893" max="5893" width="16.83203125" style="10" customWidth="1"/>
    <col min="5894" max="6142" width="11.5" style="10"/>
    <col min="6143" max="6143" width="9.83203125" style="10" customWidth="1"/>
    <col min="6144" max="6144" width="15.33203125" style="10" customWidth="1"/>
    <col min="6145" max="6145" width="48.83203125" style="10" customWidth="1"/>
    <col min="6146" max="6146" width="13.33203125" style="10" customWidth="1"/>
    <col min="6147" max="6147" width="9" style="10" customWidth="1"/>
    <col min="6148" max="6148" width="12.6640625" style="10" customWidth="1"/>
    <col min="6149" max="6149" width="16.83203125" style="10" customWidth="1"/>
    <col min="6150" max="6398" width="11.5" style="10"/>
    <col min="6399" max="6399" width="9.83203125" style="10" customWidth="1"/>
    <col min="6400" max="6400" width="15.33203125" style="10" customWidth="1"/>
    <col min="6401" max="6401" width="48.83203125" style="10" customWidth="1"/>
    <col min="6402" max="6402" width="13.33203125" style="10" customWidth="1"/>
    <col min="6403" max="6403" width="9" style="10" customWidth="1"/>
    <col min="6404" max="6404" width="12.6640625" style="10" customWidth="1"/>
    <col min="6405" max="6405" width="16.83203125" style="10" customWidth="1"/>
    <col min="6406" max="6654" width="11.5" style="10"/>
    <col min="6655" max="6655" width="9.83203125" style="10" customWidth="1"/>
    <col min="6656" max="6656" width="15.33203125" style="10" customWidth="1"/>
    <col min="6657" max="6657" width="48.83203125" style="10" customWidth="1"/>
    <col min="6658" max="6658" width="13.33203125" style="10" customWidth="1"/>
    <col min="6659" max="6659" width="9" style="10" customWidth="1"/>
    <col min="6660" max="6660" width="12.6640625" style="10" customWidth="1"/>
    <col min="6661" max="6661" width="16.83203125" style="10" customWidth="1"/>
    <col min="6662" max="6910" width="11.5" style="10"/>
    <col min="6911" max="6911" width="9.83203125" style="10" customWidth="1"/>
    <col min="6912" max="6912" width="15.33203125" style="10" customWidth="1"/>
    <col min="6913" max="6913" width="48.83203125" style="10" customWidth="1"/>
    <col min="6914" max="6914" width="13.33203125" style="10" customWidth="1"/>
    <col min="6915" max="6915" width="9" style="10" customWidth="1"/>
    <col min="6916" max="6916" width="12.6640625" style="10" customWidth="1"/>
    <col min="6917" max="6917" width="16.83203125" style="10" customWidth="1"/>
    <col min="6918" max="7166" width="11.5" style="10"/>
    <col min="7167" max="7167" width="9.83203125" style="10" customWidth="1"/>
    <col min="7168" max="7168" width="15.33203125" style="10" customWidth="1"/>
    <col min="7169" max="7169" width="48.83203125" style="10" customWidth="1"/>
    <col min="7170" max="7170" width="13.33203125" style="10" customWidth="1"/>
    <col min="7171" max="7171" width="9" style="10" customWidth="1"/>
    <col min="7172" max="7172" width="12.6640625" style="10" customWidth="1"/>
    <col min="7173" max="7173" width="16.83203125" style="10" customWidth="1"/>
    <col min="7174" max="7422" width="11.5" style="10"/>
    <col min="7423" max="7423" width="9.83203125" style="10" customWidth="1"/>
    <col min="7424" max="7424" width="15.33203125" style="10" customWidth="1"/>
    <col min="7425" max="7425" width="48.83203125" style="10" customWidth="1"/>
    <col min="7426" max="7426" width="13.33203125" style="10" customWidth="1"/>
    <col min="7427" max="7427" width="9" style="10" customWidth="1"/>
    <col min="7428" max="7428" width="12.6640625" style="10" customWidth="1"/>
    <col min="7429" max="7429" width="16.83203125" style="10" customWidth="1"/>
    <col min="7430" max="7678" width="11.5" style="10"/>
    <col min="7679" max="7679" width="9.83203125" style="10" customWidth="1"/>
    <col min="7680" max="7680" width="15.33203125" style="10" customWidth="1"/>
    <col min="7681" max="7681" width="48.83203125" style="10" customWidth="1"/>
    <col min="7682" max="7682" width="13.33203125" style="10" customWidth="1"/>
    <col min="7683" max="7683" width="9" style="10" customWidth="1"/>
    <col min="7684" max="7684" width="12.6640625" style="10" customWidth="1"/>
    <col min="7685" max="7685" width="16.83203125" style="10" customWidth="1"/>
    <col min="7686" max="7934" width="11.5" style="10"/>
    <col min="7935" max="7935" width="9.83203125" style="10" customWidth="1"/>
    <col min="7936" max="7936" width="15.33203125" style="10" customWidth="1"/>
    <col min="7937" max="7937" width="48.83203125" style="10" customWidth="1"/>
    <col min="7938" max="7938" width="13.33203125" style="10" customWidth="1"/>
    <col min="7939" max="7939" width="9" style="10" customWidth="1"/>
    <col min="7940" max="7940" width="12.6640625" style="10" customWidth="1"/>
    <col min="7941" max="7941" width="16.83203125" style="10" customWidth="1"/>
    <col min="7942" max="8190" width="11.5" style="10"/>
    <col min="8191" max="8191" width="9.83203125" style="10" customWidth="1"/>
    <col min="8192" max="8192" width="15.33203125" style="10" customWidth="1"/>
    <col min="8193" max="8193" width="48.83203125" style="10" customWidth="1"/>
    <col min="8194" max="8194" width="13.33203125" style="10" customWidth="1"/>
    <col min="8195" max="8195" width="9" style="10" customWidth="1"/>
    <col min="8196" max="8196" width="12.6640625" style="10" customWidth="1"/>
    <col min="8197" max="8197" width="16.83203125" style="10" customWidth="1"/>
    <col min="8198" max="8446" width="11.5" style="10"/>
    <col min="8447" max="8447" width="9.83203125" style="10" customWidth="1"/>
    <col min="8448" max="8448" width="15.33203125" style="10" customWidth="1"/>
    <col min="8449" max="8449" width="48.83203125" style="10" customWidth="1"/>
    <col min="8450" max="8450" width="13.33203125" style="10" customWidth="1"/>
    <col min="8451" max="8451" width="9" style="10" customWidth="1"/>
    <col min="8452" max="8452" width="12.6640625" style="10" customWidth="1"/>
    <col min="8453" max="8453" width="16.83203125" style="10" customWidth="1"/>
    <col min="8454" max="8702" width="11.5" style="10"/>
    <col min="8703" max="8703" width="9.83203125" style="10" customWidth="1"/>
    <col min="8704" max="8704" width="15.33203125" style="10" customWidth="1"/>
    <col min="8705" max="8705" width="48.83203125" style="10" customWidth="1"/>
    <col min="8706" max="8706" width="13.33203125" style="10" customWidth="1"/>
    <col min="8707" max="8707" width="9" style="10" customWidth="1"/>
    <col min="8708" max="8708" width="12.6640625" style="10" customWidth="1"/>
    <col min="8709" max="8709" width="16.83203125" style="10" customWidth="1"/>
    <col min="8710" max="8958" width="11.5" style="10"/>
    <col min="8959" max="8959" width="9.83203125" style="10" customWidth="1"/>
    <col min="8960" max="8960" width="15.33203125" style="10" customWidth="1"/>
    <col min="8961" max="8961" width="48.83203125" style="10" customWidth="1"/>
    <col min="8962" max="8962" width="13.33203125" style="10" customWidth="1"/>
    <col min="8963" max="8963" width="9" style="10" customWidth="1"/>
    <col min="8964" max="8964" width="12.6640625" style="10" customWidth="1"/>
    <col min="8965" max="8965" width="16.83203125" style="10" customWidth="1"/>
    <col min="8966" max="9214" width="11.5" style="10"/>
    <col min="9215" max="9215" width="9.83203125" style="10" customWidth="1"/>
    <col min="9216" max="9216" width="15.33203125" style="10" customWidth="1"/>
    <col min="9217" max="9217" width="48.83203125" style="10" customWidth="1"/>
    <col min="9218" max="9218" width="13.33203125" style="10" customWidth="1"/>
    <col min="9219" max="9219" width="9" style="10" customWidth="1"/>
    <col min="9220" max="9220" width="12.6640625" style="10" customWidth="1"/>
    <col min="9221" max="9221" width="16.83203125" style="10" customWidth="1"/>
    <col min="9222" max="9470" width="11.5" style="10"/>
    <col min="9471" max="9471" width="9.83203125" style="10" customWidth="1"/>
    <col min="9472" max="9472" width="15.33203125" style="10" customWidth="1"/>
    <col min="9473" max="9473" width="48.83203125" style="10" customWidth="1"/>
    <col min="9474" max="9474" width="13.33203125" style="10" customWidth="1"/>
    <col min="9475" max="9475" width="9" style="10" customWidth="1"/>
    <col min="9476" max="9476" width="12.6640625" style="10" customWidth="1"/>
    <col min="9477" max="9477" width="16.83203125" style="10" customWidth="1"/>
    <col min="9478" max="9726" width="11.5" style="10"/>
    <col min="9727" max="9727" width="9.83203125" style="10" customWidth="1"/>
    <col min="9728" max="9728" width="15.33203125" style="10" customWidth="1"/>
    <col min="9729" max="9729" width="48.83203125" style="10" customWidth="1"/>
    <col min="9730" max="9730" width="13.33203125" style="10" customWidth="1"/>
    <col min="9731" max="9731" width="9" style="10" customWidth="1"/>
    <col min="9732" max="9732" width="12.6640625" style="10" customWidth="1"/>
    <col min="9733" max="9733" width="16.83203125" style="10" customWidth="1"/>
    <col min="9734" max="9982" width="11.5" style="10"/>
    <col min="9983" max="9983" width="9.83203125" style="10" customWidth="1"/>
    <col min="9984" max="9984" width="15.33203125" style="10" customWidth="1"/>
    <col min="9985" max="9985" width="48.83203125" style="10" customWidth="1"/>
    <col min="9986" max="9986" width="13.33203125" style="10" customWidth="1"/>
    <col min="9987" max="9987" width="9" style="10" customWidth="1"/>
    <col min="9988" max="9988" width="12.6640625" style="10" customWidth="1"/>
    <col min="9989" max="9989" width="16.83203125" style="10" customWidth="1"/>
    <col min="9990" max="10238" width="11.5" style="10"/>
    <col min="10239" max="10239" width="9.83203125" style="10" customWidth="1"/>
    <col min="10240" max="10240" width="15.33203125" style="10" customWidth="1"/>
    <col min="10241" max="10241" width="48.83203125" style="10" customWidth="1"/>
    <col min="10242" max="10242" width="13.33203125" style="10" customWidth="1"/>
    <col min="10243" max="10243" width="9" style="10" customWidth="1"/>
    <col min="10244" max="10244" width="12.6640625" style="10" customWidth="1"/>
    <col min="10245" max="10245" width="16.83203125" style="10" customWidth="1"/>
    <col min="10246" max="10494" width="11.5" style="10"/>
    <col min="10495" max="10495" width="9.83203125" style="10" customWidth="1"/>
    <col min="10496" max="10496" width="15.33203125" style="10" customWidth="1"/>
    <col min="10497" max="10497" width="48.83203125" style="10" customWidth="1"/>
    <col min="10498" max="10498" width="13.33203125" style="10" customWidth="1"/>
    <col min="10499" max="10499" width="9" style="10" customWidth="1"/>
    <col min="10500" max="10500" width="12.6640625" style="10" customWidth="1"/>
    <col min="10501" max="10501" width="16.83203125" style="10" customWidth="1"/>
    <col min="10502" max="10750" width="11.5" style="10"/>
    <col min="10751" max="10751" width="9.83203125" style="10" customWidth="1"/>
    <col min="10752" max="10752" width="15.33203125" style="10" customWidth="1"/>
    <col min="10753" max="10753" width="48.83203125" style="10" customWidth="1"/>
    <col min="10754" max="10754" width="13.33203125" style="10" customWidth="1"/>
    <col min="10755" max="10755" width="9" style="10" customWidth="1"/>
    <col min="10756" max="10756" width="12.6640625" style="10" customWidth="1"/>
    <col min="10757" max="10757" width="16.83203125" style="10" customWidth="1"/>
    <col min="10758" max="11006" width="11.5" style="10"/>
    <col min="11007" max="11007" width="9.83203125" style="10" customWidth="1"/>
    <col min="11008" max="11008" width="15.33203125" style="10" customWidth="1"/>
    <col min="11009" max="11009" width="48.83203125" style="10" customWidth="1"/>
    <col min="11010" max="11010" width="13.33203125" style="10" customWidth="1"/>
    <col min="11011" max="11011" width="9" style="10" customWidth="1"/>
    <col min="11012" max="11012" width="12.6640625" style="10" customWidth="1"/>
    <col min="11013" max="11013" width="16.83203125" style="10" customWidth="1"/>
    <col min="11014" max="11262" width="11.5" style="10"/>
    <col min="11263" max="11263" width="9.83203125" style="10" customWidth="1"/>
    <col min="11264" max="11264" width="15.33203125" style="10" customWidth="1"/>
    <col min="11265" max="11265" width="48.83203125" style="10" customWidth="1"/>
    <col min="11266" max="11266" width="13.33203125" style="10" customWidth="1"/>
    <col min="11267" max="11267" width="9" style="10" customWidth="1"/>
    <col min="11268" max="11268" width="12.6640625" style="10" customWidth="1"/>
    <col min="11269" max="11269" width="16.83203125" style="10" customWidth="1"/>
    <col min="11270" max="11518" width="11.5" style="10"/>
    <col min="11519" max="11519" width="9.83203125" style="10" customWidth="1"/>
    <col min="11520" max="11520" width="15.33203125" style="10" customWidth="1"/>
    <col min="11521" max="11521" width="48.83203125" style="10" customWidth="1"/>
    <col min="11522" max="11522" width="13.33203125" style="10" customWidth="1"/>
    <col min="11523" max="11523" width="9" style="10" customWidth="1"/>
    <col min="11524" max="11524" width="12.6640625" style="10" customWidth="1"/>
    <col min="11525" max="11525" width="16.83203125" style="10" customWidth="1"/>
    <col min="11526" max="11774" width="11.5" style="10"/>
    <col min="11775" max="11775" width="9.83203125" style="10" customWidth="1"/>
    <col min="11776" max="11776" width="15.33203125" style="10" customWidth="1"/>
    <col min="11777" max="11777" width="48.83203125" style="10" customWidth="1"/>
    <col min="11778" max="11778" width="13.33203125" style="10" customWidth="1"/>
    <col min="11779" max="11779" width="9" style="10" customWidth="1"/>
    <col min="11780" max="11780" width="12.6640625" style="10" customWidth="1"/>
    <col min="11781" max="11781" width="16.83203125" style="10" customWidth="1"/>
    <col min="11782" max="12030" width="11.5" style="10"/>
    <col min="12031" max="12031" width="9.83203125" style="10" customWidth="1"/>
    <col min="12032" max="12032" width="15.33203125" style="10" customWidth="1"/>
    <col min="12033" max="12033" width="48.83203125" style="10" customWidth="1"/>
    <col min="12034" max="12034" width="13.33203125" style="10" customWidth="1"/>
    <col min="12035" max="12035" width="9" style="10" customWidth="1"/>
    <col min="12036" max="12036" width="12.6640625" style="10" customWidth="1"/>
    <col min="12037" max="12037" width="16.83203125" style="10" customWidth="1"/>
    <col min="12038" max="12286" width="11.5" style="10"/>
    <col min="12287" max="12287" width="9.83203125" style="10" customWidth="1"/>
    <col min="12288" max="12288" width="15.33203125" style="10" customWidth="1"/>
    <col min="12289" max="12289" width="48.83203125" style="10" customWidth="1"/>
    <col min="12290" max="12290" width="13.33203125" style="10" customWidth="1"/>
    <col min="12291" max="12291" width="9" style="10" customWidth="1"/>
    <col min="12292" max="12292" width="12.6640625" style="10" customWidth="1"/>
    <col min="12293" max="12293" width="16.83203125" style="10" customWidth="1"/>
    <col min="12294" max="12542" width="11.5" style="10"/>
    <col min="12543" max="12543" width="9.83203125" style="10" customWidth="1"/>
    <col min="12544" max="12544" width="15.33203125" style="10" customWidth="1"/>
    <col min="12545" max="12545" width="48.83203125" style="10" customWidth="1"/>
    <col min="12546" max="12546" width="13.33203125" style="10" customWidth="1"/>
    <col min="12547" max="12547" width="9" style="10" customWidth="1"/>
    <col min="12548" max="12548" width="12.6640625" style="10" customWidth="1"/>
    <col min="12549" max="12549" width="16.83203125" style="10" customWidth="1"/>
    <col min="12550" max="12798" width="11.5" style="10"/>
    <col min="12799" max="12799" width="9.83203125" style="10" customWidth="1"/>
    <col min="12800" max="12800" width="15.33203125" style="10" customWidth="1"/>
    <col min="12801" max="12801" width="48.83203125" style="10" customWidth="1"/>
    <col min="12802" max="12802" width="13.33203125" style="10" customWidth="1"/>
    <col min="12803" max="12803" width="9" style="10" customWidth="1"/>
    <col min="12804" max="12804" width="12.6640625" style="10" customWidth="1"/>
    <col min="12805" max="12805" width="16.83203125" style="10" customWidth="1"/>
    <col min="12806" max="13054" width="11.5" style="10"/>
    <col min="13055" max="13055" width="9.83203125" style="10" customWidth="1"/>
    <col min="13056" max="13056" width="15.33203125" style="10" customWidth="1"/>
    <col min="13057" max="13057" width="48.83203125" style="10" customWidth="1"/>
    <col min="13058" max="13058" width="13.33203125" style="10" customWidth="1"/>
    <col min="13059" max="13059" width="9" style="10" customWidth="1"/>
    <col min="13060" max="13060" width="12.6640625" style="10" customWidth="1"/>
    <col min="13061" max="13061" width="16.83203125" style="10" customWidth="1"/>
    <col min="13062" max="13310" width="11.5" style="10"/>
    <col min="13311" max="13311" width="9.83203125" style="10" customWidth="1"/>
    <col min="13312" max="13312" width="15.33203125" style="10" customWidth="1"/>
    <col min="13313" max="13313" width="48.83203125" style="10" customWidth="1"/>
    <col min="13314" max="13314" width="13.33203125" style="10" customWidth="1"/>
    <col min="13315" max="13315" width="9" style="10" customWidth="1"/>
    <col min="13316" max="13316" width="12.6640625" style="10" customWidth="1"/>
    <col min="13317" max="13317" width="16.83203125" style="10" customWidth="1"/>
    <col min="13318" max="13566" width="11.5" style="10"/>
    <col min="13567" max="13567" width="9.83203125" style="10" customWidth="1"/>
    <col min="13568" max="13568" width="15.33203125" style="10" customWidth="1"/>
    <col min="13569" max="13569" width="48.83203125" style="10" customWidth="1"/>
    <col min="13570" max="13570" width="13.33203125" style="10" customWidth="1"/>
    <col min="13571" max="13571" width="9" style="10" customWidth="1"/>
    <col min="13572" max="13572" width="12.6640625" style="10" customWidth="1"/>
    <col min="13573" max="13573" width="16.83203125" style="10" customWidth="1"/>
    <col min="13574" max="13822" width="11.5" style="10"/>
    <col min="13823" max="13823" width="9.83203125" style="10" customWidth="1"/>
    <col min="13824" max="13824" width="15.33203125" style="10" customWidth="1"/>
    <col min="13825" max="13825" width="48.83203125" style="10" customWidth="1"/>
    <col min="13826" max="13826" width="13.33203125" style="10" customWidth="1"/>
    <col min="13827" max="13827" width="9" style="10" customWidth="1"/>
    <col min="13828" max="13828" width="12.6640625" style="10" customWidth="1"/>
    <col min="13829" max="13829" width="16.83203125" style="10" customWidth="1"/>
    <col min="13830" max="14078" width="11.5" style="10"/>
    <col min="14079" max="14079" width="9.83203125" style="10" customWidth="1"/>
    <col min="14080" max="14080" width="15.33203125" style="10" customWidth="1"/>
    <col min="14081" max="14081" width="48.83203125" style="10" customWidth="1"/>
    <col min="14082" max="14082" width="13.33203125" style="10" customWidth="1"/>
    <col min="14083" max="14083" width="9" style="10" customWidth="1"/>
    <col min="14084" max="14084" width="12.6640625" style="10" customWidth="1"/>
    <col min="14085" max="14085" width="16.83203125" style="10" customWidth="1"/>
    <col min="14086" max="14334" width="11.5" style="10"/>
    <col min="14335" max="14335" width="9.83203125" style="10" customWidth="1"/>
    <col min="14336" max="14336" width="15.33203125" style="10" customWidth="1"/>
    <col min="14337" max="14337" width="48.83203125" style="10" customWidth="1"/>
    <col min="14338" max="14338" width="13.33203125" style="10" customWidth="1"/>
    <col min="14339" max="14339" width="9" style="10" customWidth="1"/>
    <col min="14340" max="14340" width="12.6640625" style="10" customWidth="1"/>
    <col min="14341" max="14341" width="16.83203125" style="10" customWidth="1"/>
    <col min="14342" max="14590" width="11.5" style="10"/>
    <col min="14591" max="14591" width="9.83203125" style="10" customWidth="1"/>
    <col min="14592" max="14592" width="15.33203125" style="10" customWidth="1"/>
    <col min="14593" max="14593" width="48.83203125" style="10" customWidth="1"/>
    <col min="14594" max="14594" width="13.33203125" style="10" customWidth="1"/>
    <col min="14595" max="14595" width="9" style="10" customWidth="1"/>
    <col min="14596" max="14596" width="12.6640625" style="10" customWidth="1"/>
    <col min="14597" max="14597" width="16.83203125" style="10" customWidth="1"/>
    <col min="14598" max="14846" width="11.5" style="10"/>
    <col min="14847" max="14847" width="9.83203125" style="10" customWidth="1"/>
    <col min="14848" max="14848" width="15.33203125" style="10" customWidth="1"/>
    <col min="14849" max="14849" width="48.83203125" style="10" customWidth="1"/>
    <col min="14850" max="14850" width="13.33203125" style="10" customWidth="1"/>
    <col min="14851" max="14851" width="9" style="10" customWidth="1"/>
    <col min="14852" max="14852" width="12.6640625" style="10" customWidth="1"/>
    <col min="14853" max="14853" width="16.83203125" style="10" customWidth="1"/>
    <col min="14854" max="15102" width="11.5" style="10"/>
    <col min="15103" max="15103" width="9.83203125" style="10" customWidth="1"/>
    <col min="15104" max="15104" width="15.33203125" style="10" customWidth="1"/>
    <col min="15105" max="15105" width="48.83203125" style="10" customWidth="1"/>
    <col min="15106" max="15106" width="13.33203125" style="10" customWidth="1"/>
    <col min="15107" max="15107" width="9" style="10" customWidth="1"/>
    <col min="15108" max="15108" width="12.6640625" style="10" customWidth="1"/>
    <col min="15109" max="15109" width="16.83203125" style="10" customWidth="1"/>
    <col min="15110" max="15358" width="11.5" style="10"/>
    <col min="15359" max="15359" width="9.83203125" style="10" customWidth="1"/>
    <col min="15360" max="15360" width="15.33203125" style="10" customWidth="1"/>
    <col min="15361" max="15361" width="48.83203125" style="10" customWidth="1"/>
    <col min="15362" max="15362" width="13.33203125" style="10" customWidth="1"/>
    <col min="15363" max="15363" width="9" style="10" customWidth="1"/>
    <col min="15364" max="15364" width="12.6640625" style="10" customWidth="1"/>
    <col min="15365" max="15365" width="16.83203125" style="10" customWidth="1"/>
    <col min="15366" max="15614" width="11.5" style="10"/>
    <col min="15615" max="15615" width="9.83203125" style="10" customWidth="1"/>
    <col min="15616" max="15616" width="15.33203125" style="10" customWidth="1"/>
    <col min="15617" max="15617" width="48.83203125" style="10" customWidth="1"/>
    <col min="15618" max="15618" width="13.33203125" style="10" customWidth="1"/>
    <col min="15619" max="15619" width="9" style="10" customWidth="1"/>
    <col min="15620" max="15620" width="12.6640625" style="10" customWidth="1"/>
    <col min="15621" max="15621" width="16.83203125" style="10" customWidth="1"/>
    <col min="15622" max="15870" width="11.5" style="10"/>
    <col min="15871" max="15871" width="9.83203125" style="10" customWidth="1"/>
    <col min="15872" max="15872" width="15.33203125" style="10" customWidth="1"/>
    <col min="15873" max="15873" width="48.83203125" style="10" customWidth="1"/>
    <col min="15874" max="15874" width="13.33203125" style="10" customWidth="1"/>
    <col min="15875" max="15875" width="9" style="10" customWidth="1"/>
    <col min="15876" max="15876" width="12.6640625" style="10" customWidth="1"/>
    <col min="15877" max="15877" width="16.83203125" style="10" customWidth="1"/>
    <col min="15878" max="16126" width="11.5" style="10"/>
    <col min="16127" max="16127" width="9.83203125" style="10" customWidth="1"/>
    <col min="16128" max="16128" width="15.33203125" style="10" customWidth="1"/>
    <col min="16129" max="16129" width="48.83203125" style="10" customWidth="1"/>
    <col min="16130" max="16130" width="13.33203125" style="10" customWidth="1"/>
    <col min="16131" max="16131" width="9" style="10" customWidth="1"/>
    <col min="16132" max="16132" width="12.6640625" style="10" customWidth="1"/>
    <col min="16133" max="16133" width="16.83203125" style="10" customWidth="1"/>
    <col min="16134" max="16384" width="11.5" style="10"/>
  </cols>
  <sheetData>
    <row r="1" spans="1:17" ht="19.25" customHeight="1" x14ac:dyDescent="0.2">
      <c r="A1" s="6" t="s">
        <v>38</v>
      </c>
      <c r="B1" s="6" t="s">
        <v>39</v>
      </c>
      <c r="C1" s="6" t="s">
        <v>40</v>
      </c>
      <c r="D1" s="6" t="s">
        <v>41</v>
      </c>
      <c r="E1" s="6" t="s">
        <v>42</v>
      </c>
      <c r="F1" s="6" t="s">
        <v>43</v>
      </c>
      <c r="G1" s="6" t="s">
        <v>44</v>
      </c>
      <c r="H1" s="6" t="s">
        <v>45</v>
      </c>
      <c r="I1" s="6" t="s">
        <v>46</v>
      </c>
      <c r="J1" s="6" t="s">
        <v>47</v>
      </c>
      <c r="K1" s="6" t="s">
        <v>48</v>
      </c>
      <c r="L1" s="7" t="s">
        <v>49</v>
      </c>
      <c r="M1" s="8"/>
      <c r="N1" s="9" t="s">
        <v>50</v>
      </c>
      <c r="O1" s="9">
        <v>1475</v>
      </c>
      <c r="P1" s="9" t="s">
        <v>51</v>
      </c>
      <c r="Q1" s="9">
        <v>1715</v>
      </c>
    </row>
    <row r="2" spans="1:17" x14ac:dyDescent="0.2">
      <c r="A2" s="11">
        <v>6012</v>
      </c>
      <c r="B2" s="12" t="s">
        <v>52</v>
      </c>
      <c r="C2" s="13" t="s">
        <v>53</v>
      </c>
      <c r="D2" s="12" t="s">
        <v>54</v>
      </c>
      <c r="E2" s="10" t="s">
        <v>55</v>
      </c>
      <c r="F2" s="14">
        <v>27.09</v>
      </c>
      <c r="G2" s="15"/>
      <c r="I2" s="14">
        <f t="shared" ref="I2:I65" si="0">IF(AND(F2="",G2="",H2=""),"",IF(F2&lt;&gt;"",F2,IF(G2&lt;&gt;"",G2/$O$1,IF(H2&lt;&gt;"",H2*$O$2,"ver"))))</f>
        <v>27.09</v>
      </c>
      <c r="J2" s="14">
        <f>Tabla13[[#This Row],[Precio final en USD]]*$P$4</f>
        <v>43.344000000000001</v>
      </c>
      <c r="N2" s="9" t="s">
        <v>56</v>
      </c>
      <c r="O2" s="16">
        <f>Q1/O1</f>
        <v>1.1627118644067798</v>
      </c>
    </row>
    <row r="3" spans="1:17" x14ac:dyDescent="0.2">
      <c r="A3" s="12">
        <v>7079</v>
      </c>
      <c r="B3" s="11" t="s">
        <v>52</v>
      </c>
      <c r="C3" s="13" t="s">
        <v>57</v>
      </c>
      <c r="D3" s="12" t="s">
        <v>58</v>
      </c>
      <c r="E3" s="10" t="s">
        <v>59</v>
      </c>
      <c r="F3" s="14"/>
      <c r="G3" s="15"/>
      <c r="I3" s="14" t="str">
        <f t="shared" si="0"/>
        <v/>
      </c>
      <c r="J3" s="14" t="e">
        <f>Tabla13[[#This Row],[Precio final en USD]]*$P$4</f>
        <v>#VALUE!</v>
      </c>
      <c r="K3" s="10" t="s">
        <v>60</v>
      </c>
      <c r="P3" s="17"/>
    </row>
    <row r="4" spans="1:17" x14ac:dyDescent="0.2">
      <c r="A4" s="12">
        <v>7198</v>
      </c>
      <c r="B4" s="11" t="s">
        <v>52</v>
      </c>
      <c r="C4" s="13" t="s">
        <v>61</v>
      </c>
      <c r="D4" s="12" t="s">
        <v>58</v>
      </c>
      <c r="E4" s="10" t="s">
        <v>59</v>
      </c>
      <c r="F4" s="14"/>
      <c r="G4" s="15"/>
      <c r="I4" s="14" t="str">
        <f t="shared" si="0"/>
        <v/>
      </c>
      <c r="J4" s="14" t="e">
        <f>Tabla13[[#This Row],[Precio final en USD]]*$P$4</f>
        <v>#VALUE!</v>
      </c>
      <c r="K4" s="10" t="s">
        <v>60</v>
      </c>
      <c r="N4" s="18" t="s">
        <v>62</v>
      </c>
      <c r="O4" s="18"/>
      <c r="P4" s="18">
        <v>1.6</v>
      </c>
    </row>
    <row r="5" spans="1:17" x14ac:dyDescent="0.2">
      <c r="A5" s="12">
        <v>7199</v>
      </c>
      <c r="B5" s="11" t="s">
        <v>52</v>
      </c>
      <c r="C5" s="13" t="s">
        <v>63</v>
      </c>
      <c r="D5" s="12" t="s">
        <v>58</v>
      </c>
      <c r="E5" s="10" t="s">
        <v>64</v>
      </c>
      <c r="F5" s="14"/>
      <c r="G5" s="15"/>
      <c r="I5" s="14" t="str">
        <f t="shared" si="0"/>
        <v/>
      </c>
      <c r="J5" s="14" t="e">
        <f>Tabla13[[#This Row],[Precio final en USD]]*$P$4</f>
        <v>#VALUE!</v>
      </c>
      <c r="O5" s="19"/>
      <c r="P5" s="20"/>
    </row>
    <row r="6" spans="1:17" x14ac:dyDescent="0.2">
      <c r="A6" s="12">
        <v>7208</v>
      </c>
      <c r="B6" s="11" t="s">
        <v>52</v>
      </c>
      <c r="C6" s="13" t="s">
        <v>65</v>
      </c>
      <c r="D6" s="12" t="s">
        <v>58</v>
      </c>
      <c r="E6" s="10" t="s">
        <v>59</v>
      </c>
      <c r="F6" s="14"/>
      <c r="G6" s="15"/>
      <c r="I6" s="14" t="str">
        <f t="shared" si="0"/>
        <v/>
      </c>
      <c r="J6" s="14" t="e">
        <f>Tabla13[[#This Row],[Precio final en USD]]*$P$4</f>
        <v>#VALUE!</v>
      </c>
      <c r="K6" s="10" t="s">
        <v>60</v>
      </c>
    </row>
    <row r="7" spans="1:17" x14ac:dyDescent="0.2">
      <c r="A7" s="12">
        <v>7209</v>
      </c>
      <c r="B7" s="11" t="s">
        <v>52</v>
      </c>
      <c r="C7" s="13" t="s">
        <v>66</v>
      </c>
      <c r="D7" s="12" t="s">
        <v>58</v>
      </c>
      <c r="E7" s="10" t="s">
        <v>59</v>
      </c>
      <c r="F7" s="14"/>
      <c r="G7" s="15"/>
      <c r="I7" s="14" t="str">
        <f t="shared" si="0"/>
        <v/>
      </c>
      <c r="J7" s="14" t="e">
        <f>Tabla13[[#This Row],[Precio final en USD]]*$P$4</f>
        <v>#VALUE!</v>
      </c>
      <c r="K7" s="10" t="s">
        <v>60</v>
      </c>
    </row>
    <row r="8" spans="1:17" x14ac:dyDescent="0.2">
      <c r="A8" s="11">
        <v>7318</v>
      </c>
      <c r="B8" s="12" t="s">
        <v>52</v>
      </c>
      <c r="C8" s="13" t="s">
        <v>67</v>
      </c>
      <c r="D8" s="12" t="s">
        <v>54</v>
      </c>
      <c r="E8" s="10" t="s">
        <v>68</v>
      </c>
      <c r="F8" s="14"/>
      <c r="G8" s="15">
        <v>140000</v>
      </c>
      <c r="I8" s="14">
        <f t="shared" si="0"/>
        <v>94.915254237288138</v>
      </c>
      <c r="J8" s="14">
        <f>Tabla13[[#This Row],[Precio final en USD]]*$P$4</f>
        <v>151.86440677966104</v>
      </c>
    </row>
    <row r="9" spans="1:17" x14ac:dyDescent="0.2">
      <c r="A9" s="12">
        <v>7347</v>
      </c>
      <c r="B9" s="11" t="s">
        <v>52</v>
      </c>
      <c r="C9" s="13" t="s">
        <v>69</v>
      </c>
      <c r="D9" s="12" t="s">
        <v>58</v>
      </c>
      <c r="E9" s="10" t="s">
        <v>59</v>
      </c>
      <c r="F9" s="14"/>
      <c r="G9" s="15"/>
      <c r="I9" s="14" t="str">
        <f t="shared" si="0"/>
        <v/>
      </c>
      <c r="J9" s="14" t="e">
        <f>Tabla13[[#This Row],[Precio final en USD]]*$P$4</f>
        <v>#VALUE!</v>
      </c>
      <c r="K9" s="10" t="s">
        <v>60</v>
      </c>
      <c r="N9" s="21"/>
    </row>
    <row r="10" spans="1:17" x14ac:dyDescent="0.2">
      <c r="A10" s="12">
        <v>7374</v>
      </c>
      <c r="B10" s="11" t="s">
        <v>52</v>
      </c>
      <c r="C10" s="13" t="s">
        <v>70</v>
      </c>
      <c r="D10" s="12" t="s">
        <v>58</v>
      </c>
      <c r="E10" s="10" t="s">
        <v>59</v>
      </c>
      <c r="F10" s="14"/>
      <c r="G10" s="15"/>
      <c r="I10" s="14" t="str">
        <f t="shared" si="0"/>
        <v/>
      </c>
      <c r="J10" s="14" t="e">
        <f>Tabla13[[#This Row],[Precio final en USD]]*$P$4</f>
        <v>#VALUE!</v>
      </c>
      <c r="K10" s="10" t="s">
        <v>60</v>
      </c>
    </row>
    <row r="11" spans="1:17" x14ac:dyDescent="0.2">
      <c r="A11" s="12">
        <v>7377</v>
      </c>
      <c r="B11" s="11" t="s">
        <v>52</v>
      </c>
      <c r="C11" s="13" t="s">
        <v>71</v>
      </c>
      <c r="D11" s="12" t="s">
        <v>58</v>
      </c>
      <c r="E11" s="10" t="s">
        <v>59</v>
      </c>
      <c r="F11" s="14"/>
      <c r="G11" s="15"/>
      <c r="I11" s="14" t="str">
        <f t="shared" si="0"/>
        <v/>
      </c>
      <c r="J11" s="14" t="e">
        <f>Tabla13[[#This Row],[Precio final en USD]]*$P$4</f>
        <v>#VALUE!</v>
      </c>
      <c r="K11" s="10" t="s">
        <v>60</v>
      </c>
    </row>
    <row r="12" spans="1:17" x14ac:dyDescent="0.2">
      <c r="A12" s="11">
        <v>7381</v>
      </c>
      <c r="B12" s="12" t="s">
        <v>52</v>
      </c>
      <c r="C12" s="13" t="s">
        <v>72</v>
      </c>
      <c r="D12" s="12" t="s">
        <v>54</v>
      </c>
      <c r="F12" s="14"/>
      <c r="G12" s="15">
        <v>0</v>
      </c>
      <c r="I12" s="14">
        <f t="shared" si="0"/>
        <v>0</v>
      </c>
      <c r="J12" s="14">
        <f>Tabla13[[#This Row],[Precio final en USD]]*$P$4</f>
        <v>0</v>
      </c>
      <c r="K12" s="10" t="s">
        <v>73</v>
      </c>
    </row>
    <row r="13" spans="1:17" x14ac:dyDescent="0.2">
      <c r="A13" s="12">
        <v>7381</v>
      </c>
      <c r="B13" s="11" t="s">
        <v>52</v>
      </c>
      <c r="C13" s="13" t="s">
        <v>72</v>
      </c>
      <c r="D13" s="12" t="s">
        <v>58</v>
      </c>
      <c r="F13" s="14"/>
      <c r="G13" s="15">
        <v>0</v>
      </c>
      <c r="I13" s="14">
        <f t="shared" si="0"/>
        <v>0</v>
      </c>
      <c r="J13" s="14">
        <f>Tabla13[[#This Row],[Precio final en USD]]*$P$4</f>
        <v>0</v>
      </c>
      <c r="K13" s="10" t="s">
        <v>74</v>
      </c>
    </row>
    <row r="14" spans="1:17" x14ac:dyDescent="0.2">
      <c r="A14" s="12">
        <v>7616</v>
      </c>
      <c r="B14" s="11" t="s">
        <v>52</v>
      </c>
      <c r="C14" s="13" t="s">
        <v>75</v>
      </c>
      <c r="D14" s="12" t="s">
        <v>58</v>
      </c>
      <c r="E14" s="10" t="s">
        <v>59</v>
      </c>
      <c r="F14" s="14"/>
      <c r="G14" s="15"/>
      <c r="I14" s="14" t="str">
        <f t="shared" si="0"/>
        <v/>
      </c>
      <c r="J14" s="14" t="e">
        <f>Tabla13[[#This Row],[Precio final en USD]]*$P$4</f>
        <v>#VALUE!</v>
      </c>
      <c r="K14" s="10" t="s">
        <v>60</v>
      </c>
    </row>
    <row r="15" spans="1:17" x14ac:dyDescent="0.2">
      <c r="A15" s="11">
        <v>10005</v>
      </c>
      <c r="B15" s="12" t="s">
        <v>52</v>
      </c>
      <c r="C15" s="13" t="s">
        <v>76</v>
      </c>
      <c r="D15" s="12" t="s">
        <v>54</v>
      </c>
      <c r="E15" s="10" t="s">
        <v>68</v>
      </c>
      <c r="F15" s="14"/>
      <c r="G15" s="15">
        <v>9000</v>
      </c>
      <c r="H15" s="21"/>
      <c r="I15" s="14">
        <f t="shared" si="0"/>
        <v>6.101694915254237</v>
      </c>
      <c r="J15" s="14">
        <f>Tabla13[[#This Row],[Precio final en USD]]*$P$4</f>
        <v>9.7627118644067803</v>
      </c>
    </row>
    <row r="16" spans="1:17" x14ac:dyDescent="0.2">
      <c r="A16" s="11">
        <v>10009</v>
      </c>
      <c r="B16" s="12" t="s">
        <v>52</v>
      </c>
      <c r="C16" s="13" t="s">
        <v>77</v>
      </c>
      <c r="D16" s="12" t="s">
        <v>54</v>
      </c>
      <c r="E16" s="10" t="s">
        <v>78</v>
      </c>
      <c r="F16" s="14">
        <v>54</v>
      </c>
      <c r="G16" s="15"/>
      <c r="H16" s="21"/>
      <c r="I16" s="14">
        <f t="shared" si="0"/>
        <v>54</v>
      </c>
      <c r="J16" s="14">
        <f>Tabla13[[#This Row],[Precio final en USD]]*$P$4</f>
        <v>86.4</v>
      </c>
    </row>
    <row r="17" spans="1:10" x14ac:dyDescent="0.2">
      <c r="A17" s="11">
        <v>10012</v>
      </c>
      <c r="B17" s="12" t="s">
        <v>52</v>
      </c>
      <c r="C17" s="13" t="s">
        <v>79</v>
      </c>
      <c r="D17" s="12" t="s">
        <v>54</v>
      </c>
      <c r="E17" s="10" t="s">
        <v>68</v>
      </c>
      <c r="F17" s="14"/>
      <c r="G17" s="15">
        <v>15000</v>
      </c>
      <c r="H17" s="21"/>
      <c r="I17" s="14">
        <f t="shared" si="0"/>
        <v>10.169491525423728</v>
      </c>
      <c r="J17" s="14">
        <f>Tabla13[[#This Row],[Precio final en USD]]*$P$4</f>
        <v>16.271186440677965</v>
      </c>
    </row>
    <row r="18" spans="1:10" x14ac:dyDescent="0.2">
      <c r="A18" s="11">
        <v>10013</v>
      </c>
      <c r="B18" s="12" t="s">
        <v>52</v>
      </c>
      <c r="C18" s="13" t="s">
        <v>80</v>
      </c>
      <c r="D18" s="12" t="s">
        <v>54</v>
      </c>
      <c r="E18" s="10" t="s">
        <v>68</v>
      </c>
      <c r="F18" s="14"/>
      <c r="G18" s="15">
        <v>36000</v>
      </c>
      <c r="H18" s="21"/>
      <c r="I18" s="14">
        <f t="shared" si="0"/>
        <v>24.406779661016948</v>
      </c>
      <c r="J18" s="14">
        <f>Tabla13[[#This Row],[Precio final en USD]]*$P$4</f>
        <v>39.050847457627121</v>
      </c>
    </row>
    <row r="19" spans="1:10" x14ac:dyDescent="0.2">
      <c r="A19" s="11">
        <v>10016</v>
      </c>
      <c r="B19" s="12" t="s">
        <v>52</v>
      </c>
      <c r="C19" s="13" t="s">
        <v>81</v>
      </c>
      <c r="D19" s="12" t="s">
        <v>54</v>
      </c>
      <c r="E19" s="10" t="s">
        <v>82</v>
      </c>
      <c r="F19" s="14">
        <v>78.900000000000006</v>
      </c>
      <c r="G19" s="15"/>
      <c r="H19" s="21"/>
      <c r="I19" s="14">
        <f t="shared" si="0"/>
        <v>78.900000000000006</v>
      </c>
      <c r="J19" s="14">
        <f>Tabla13[[#This Row],[Precio final en USD]]*$P$4</f>
        <v>126.24000000000001</v>
      </c>
    </row>
    <row r="20" spans="1:10" x14ac:dyDescent="0.2">
      <c r="A20" s="11">
        <v>10017</v>
      </c>
      <c r="B20" s="12" t="s">
        <v>52</v>
      </c>
      <c r="C20" s="13" t="s">
        <v>83</v>
      </c>
      <c r="D20" s="12" t="s">
        <v>54</v>
      </c>
      <c r="E20" s="10" t="s">
        <v>84</v>
      </c>
      <c r="F20" s="14"/>
      <c r="G20" s="15"/>
      <c r="H20" s="21">
        <v>0.18</v>
      </c>
      <c r="I20" s="14">
        <f t="shared" si="0"/>
        <v>0.20928813559322035</v>
      </c>
      <c r="J20" s="14">
        <f>Tabla13[[#This Row],[Precio final en USD]]*$P$4</f>
        <v>0.3348610169491526</v>
      </c>
    </row>
    <row r="21" spans="1:10" x14ac:dyDescent="0.2">
      <c r="A21" s="11">
        <v>10018</v>
      </c>
      <c r="B21" s="12" t="s">
        <v>52</v>
      </c>
      <c r="C21" s="13" t="s">
        <v>85</v>
      </c>
      <c r="D21" s="12" t="s">
        <v>54</v>
      </c>
      <c r="E21" s="10" t="s">
        <v>84</v>
      </c>
      <c r="F21" s="14"/>
      <c r="G21" s="15"/>
      <c r="H21" s="21">
        <v>50.98</v>
      </c>
      <c r="I21" s="14">
        <f t="shared" si="0"/>
        <v>59.275050847457628</v>
      </c>
      <c r="J21" s="14">
        <f>Tabla13[[#This Row],[Precio final en USD]]*$P$4</f>
        <v>94.840081355932213</v>
      </c>
    </row>
    <row r="22" spans="1:10" x14ac:dyDescent="0.2">
      <c r="A22" s="11">
        <v>10019</v>
      </c>
      <c r="B22" s="12" t="s">
        <v>52</v>
      </c>
      <c r="C22" s="13" t="s">
        <v>86</v>
      </c>
      <c r="D22" s="12" t="s">
        <v>54</v>
      </c>
      <c r="E22" s="10" t="s">
        <v>84</v>
      </c>
      <c r="F22" s="14"/>
      <c r="G22" s="15"/>
      <c r="H22" s="21">
        <v>441.15</v>
      </c>
      <c r="I22" s="14">
        <f t="shared" si="0"/>
        <v>512.93033898305089</v>
      </c>
      <c r="J22" s="14">
        <f>Tabla13[[#This Row],[Precio final en USD]]*$P$4</f>
        <v>820.68854237288144</v>
      </c>
    </row>
    <row r="23" spans="1:10" x14ac:dyDescent="0.2">
      <c r="A23" s="11">
        <v>10020</v>
      </c>
      <c r="B23" s="12" t="s">
        <v>52</v>
      </c>
      <c r="C23" s="13" t="s">
        <v>87</v>
      </c>
      <c r="D23" s="12" t="s">
        <v>54</v>
      </c>
      <c r="E23" s="10" t="s">
        <v>84</v>
      </c>
      <c r="F23" s="14"/>
      <c r="G23" s="15"/>
      <c r="H23" s="21">
        <v>18.05</v>
      </c>
      <c r="I23" s="14">
        <f t="shared" si="0"/>
        <v>20.986949152542376</v>
      </c>
      <c r="J23" s="14">
        <f>Tabla13[[#This Row],[Precio final en USD]]*$P$4</f>
        <v>33.579118644067805</v>
      </c>
    </row>
    <row r="24" spans="1:10" x14ac:dyDescent="0.2">
      <c r="A24" s="11">
        <v>10022</v>
      </c>
      <c r="B24" s="12" t="s">
        <v>52</v>
      </c>
      <c r="C24" s="13" t="s">
        <v>88</v>
      </c>
      <c r="D24" s="12" t="s">
        <v>54</v>
      </c>
      <c r="E24" s="10" t="s">
        <v>89</v>
      </c>
      <c r="F24" s="14"/>
      <c r="G24" s="15">
        <v>110406</v>
      </c>
      <c r="H24" s="21"/>
      <c r="I24" s="14">
        <f t="shared" si="0"/>
        <v>74.851525423728816</v>
      </c>
      <c r="J24" s="14">
        <f>Tabla13[[#This Row],[Precio final en USD]]*$P$4</f>
        <v>119.76244067796611</v>
      </c>
    </row>
    <row r="25" spans="1:10" x14ac:dyDescent="0.2">
      <c r="A25" s="11">
        <v>10023</v>
      </c>
      <c r="B25" s="12" t="s">
        <v>52</v>
      </c>
      <c r="C25" s="13" t="s">
        <v>90</v>
      </c>
      <c r="D25" s="12" t="s">
        <v>54</v>
      </c>
      <c r="E25" s="10" t="s">
        <v>91</v>
      </c>
      <c r="F25" s="14"/>
      <c r="G25" s="15">
        <v>417600</v>
      </c>
      <c r="H25" s="21"/>
      <c r="I25" s="14">
        <f t="shared" si="0"/>
        <v>283.11864406779659</v>
      </c>
      <c r="J25" s="14">
        <f>Tabla13[[#This Row],[Precio final en USD]]*$P$4</f>
        <v>452.9898305084746</v>
      </c>
    </row>
    <row r="26" spans="1:10" x14ac:dyDescent="0.2">
      <c r="A26" s="11">
        <v>10024</v>
      </c>
      <c r="B26" s="12" t="s">
        <v>52</v>
      </c>
      <c r="C26" s="13" t="s">
        <v>92</v>
      </c>
      <c r="D26" s="12" t="s">
        <v>54</v>
      </c>
      <c r="E26" s="10" t="s">
        <v>93</v>
      </c>
      <c r="F26" s="14"/>
      <c r="G26" s="15">
        <v>83800</v>
      </c>
      <c r="H26" s="21"/>
      <c r="I26" s="14">
        <f t="shared" si="0"/>
        <v>56.813559322033896</v>
      </c>
      <c r="J26" s="14">
        <f>Tabla13[[#This Row],[Precio final en USD]]*$P$4</f>
        <v>90.90169491525424</v>
      </c>
    </row>
    <row r="27" spans="1:10" x14ac:dyDescent="0.2">
      <c r="A27" s="11">
        <v>10026</v>
      </c>
      <c r="B27" s="12" t="s">
        <v>52</v>
      </c>
      <c r="C27" s="13" t="s">
        <v>94</v>
      </c>
      <c r="D27" s="12" t="s">
        <v>54</v>
      </c>
      <c r="E27" s="10" t="s">
        <v>89</v>
      </c>
      <c r="F27" s="14"/>
      <c r="G27" s="15">
        <v>17552</v>
      </c>
      <c r="H27" s="21"/>
      <c r="I27" s="14">
        <f t="shared" si="0"/>
        <v>11.899661016949153</v>
      </c>
      <c r="J27" s="14">
        <f>Tabla13[[#This Row],[Precio final en USD]]*$P$4</f>
        <v>19.039457627118647</v>
      </c>
    </row>
    <row r="28" spans="1:10" x14ac:dyDescent="0.2">
      <c r="A28" s="11">
        <v>10028</v>
      </c>
      <c r="B28" s="12" t="s">
        <v>52</v>
      </c>
      <c r="C28" s="13" t="s">
        <v>95</v>
      </c>
      <c r="D28" s="12" t="s">
        <v>54</v>
      </c>
      <c r="E28" s="10" t="s">
        <v>68</v>
      </c>
      <c r="F28" s="14"/>
      <c r="G28" s="15">
        <v>48000</v>
      </c>
      <c r="H28" s="21"/>
      <c r="I28" s="14">
        <f t="shared" si="0"/>
        <v>32.542372881355931</v>
      </c>
      <c r="J28" s="14">
        <f>Tabla13[[#This Row],[Precio final en USD]]*$P$4</f>
        <v>52.067796610169495</v>
      </c>
    </row>
    <row r="29" spans="1:10" x14ac:dyDescent="0.2">
      <c r="A29" s="11">
        <v>10030</v>
      </c>
      <c r="B29" s="12" t="s">
        <v>52</v>
      </c>
      <c r="C29" s="13" t="s">
        <v>96</v>
      </c>
      <c r="D29" s="12" t="s">
        <v>54</v>
      </c>
      <c r="E29" s="10" t="s">
        <v>68</v>
      </c>
      <c r="F29" s="22"/>
      <c r="G29" s="15">
        <v>10000</v>
      </c>
      <c r="H29" s="21"/>
      <c r="I29" s="14">
        <f t="shared" si="0"/>
        <v>6.7796610169491522</v>
      </c>
      <c r="J29" s="14">
        <f>Tabla13[[#This Row],[Precio final en USD]]*$P$4</f>
        <v>10.847457627118644</v>
      </c>
    </row>
    <row r="30" spans="1:10" x14ac:dyDescent="0.2">
      <c r="A30" s="12">
        <v>10030</v>
      </c>
      <c r="B30" s="11" t="s">
        <v>52</v>
      </c>
      <c r="C30" s="13" t="s">
        <v>96</v>
      </c>
      <c r="D30" s="12" t="s">
        <v>58</v>
      </c>
      <c r="E30" s="10" t="s">
        <v>68</v>
      </c>
      <c r="F30" s="14"/>
      <c r="G30" s="15">
        <v>10000</v>
      </c>
      <c r="I30" s="14">
        <f t="shared" si="0"/>
        <v>6.7796610169491522</v>
      </c>
      <c r="J30" s="14">
        <f>Tabla13[[#This Row],[Precio final en USD]]*$P$4</f>
        <v>10.847457627118644</v>
      </c>
    </row>
    <row r="31" spans="1:10" x14ac:dyDescent="0.2">
      <c r="A31" s="11">
        <v>10031</v>
      </c>
      <c r="B31" s="12" t="s">
        <v>52</v>
      </c>
      <c r="C31" s="13" t="s">
        <v>97</v>
      </c>
      <c r="D31" s="12" t="s">
        <v>54</v>
      </c>
      <c r="E31" s="10" t="s">
        <v>55</v>
      </c>
      <c r="F31" s="14">
        <v>94.78</v>
      </c>
      <c r="G31" s="15"/>
      <c r="H31" s="21"/>
      <c r="I31" s="14">
        <f t="shared" si="0"/>
        <v>94.78</v>
      </c>
      <c r="J31" s="14">
        <f>Tabla13[[#This Row],[Precio final en USD]]*$P$4</f>
        <v>151.648</v>
      </c>
    </row>
    <row r="32" spans="1:10" x14ac:dyDescent="0.2">
      <c r="A32" s="11">
        <v>10033</v>
      </c>
      <c r="B32" s="12" t="s">
        <v>52</v>
      </c>
      <c r="C32" s="13" t="s">
        <v>98</v>
      </c>
      <c r="D32" s="12" t="s">
        <v>54</v>
      </c>
      <c r="E32" s="10" t="s">
        <v>99</v>
      </c>
      <c r="F32" s="14">
        <v>265.32</v>
      </c>
      <c r="G32" s="15"/>
      <c r="H32" s="21"/>
      <c r="I32" s="14">
        <f t="shared" si="0"/>
        <v>265.32</v>
      </c>
      <c r="J32" s="14">
        <f>Tabla13[[#This Row],[Precio final en USD]]*$P$4</f>
        <v>424.512</v>
      </c>
    </row>
    <row r="33" spans="1:12" x14ac:dyDescent="0.2">
      <c r="A33" s="11">
        <v>10034</v>
      </c>
      <c r="B33" s="12" t="s">
        <v>52</v>
      </c>
      <c r="C33" s="13" t="s">
        <v>100</v>
      </c>
      <c r="D33" s="12" t="s">
        <v>54</v>
      </c>
      <c r="E33" s="10" t="s">
        <v>68</v>
      </c>
      <c r="F33" s="14"/>
      <c r="G33" s="15">
        <v>205000</v>
      </c>
      <c r="H33" s="21"/>
      <c r="I33" s="14">
        <f t="shared" si="0"/>
        <v>138.98305084745763</v>
      </c>
      <c r="J33" s="14">
        <f>Tabla13[[#This Row],[Precio final en USD]]*$P$4</f>
        <v>222.37288135593224</v>
      </c>
    </row>
    <row r="34" spans="1:12" x14ac:dyDescent="0.2">
      <c r="A34" s="11">
        <v>10035</v>
      </c>
      <c r="B34" s="12" t="s">
        <v>52</v>
      </c>
      <c r="C34" s="13" t="s">
        <v>101</v>
      </c>
      <c r="D34" s="12" t="s">
        <v>54</v>
      </c>
      <c r="E34" s="10" t="s">
        <v>68</v>
      </c>
      <c r="F34" s="14"/>
      <c r="G34" s="15">
        <v>160000</v>
      </c>
      <c r="H34" s="21"/>
      <c r="I34" s="14">
        <f t="shared" si="0"/>
        <v>108.47457627118644</v>
      </c>
      <c r="J34" s="14">
        <f>Tabla13[[#This Row],[Precio final en USD]]*$P$4</f>
        <v>173.5593220338983</v>
      </c>
    </row>
    <row r="35" spans="1:12" x14ac:dyDescent="0.2">
      <c r="A35" s="11">
        <v>10036</v>
      </c>
      <c r="B35" s="12" t="s">
        <v>52</v>
      </c>
      <c r="C35" s="13" t="s">
        <v>102</v>
      </c>
      <c r="D35" s="12" t="s">
        <v>54</v>
      </c>
      <c r="E35" s="10" t="s">
        <v>68</v>
      </c>
      <c r="F35" s="14"/>
      <c r="G35" s="15">
        <v>132000</v>
      </c>
      <c r="H35" s="21"/>
      <c r="I35" s="14">
        <f t="shared" si="0"/>
        <v>89.491525423728817</v>
      </c>
      <c r="J35" s="14">
        <f>Tabla13[[#This Row],[Precio final en USD]]*$P$4</f>
        <v>143.18644067796612</v>
      </c>
    </row>
    <row r="36" spans="1:12" x14ac:dyDescent="0.2">
      <c r="A36" s="11">
        <v>10037</v>
      </c>
      <c r="B36" s="12" t="s">
        <v>52</v>
      </c>
      <c r="C36" s="13" t="s">
        <v>103</v>
      </c>
      <c r="D36" s="12" t="s">
        <v>54</v>
      </c>
      <c r="E36" s="10" t="s">
        <v>55</v>
      </c>
      <c r="F36" s="14">
        <v>43.12</v>
      </c>
      <c r="G36" s="15"/>
      <c r="H36" s="21"/>
      <c r="I36" s="14">
        <f t="shared" si="0"/>
        <v>43.12</v>
      </c>
      <c r="J36" s="14">
        <f>Tabla13[[#This Row],[Precio final en USD]]*$P$4</f>
        <v>68.992000000000004</v>
      </c>
    </row>
    <row r="37" spans="1:12" x14ac:dyDescent="0.2">
      <c r="A37" s="11">
        <v>10041</v>
      </c>
      <c r="B37" s="12" t="s">
        <v>52</v>
      </c>
      <c r="C37" s="13" t="s">
        <v>104</v>
      </c>
      <c r="D37" s="12" t="s">
        <v>54</v>
      </c>
      <c r="E37" s="10" t="s">
        <v>55</v>
      </c>
      <c r="F37" s="14">
        <v>1153</v>
      </c>
      <c r="G37" s="15"/>
      <c r="H37" s="21"/>
      <c r="I37" s="14">
        <f t="shared" si="0"/>
        <v>1153</v>
      </c>
      <c r="J37" s="14">
        <f>Tabla13[[#This Row],[Precio final en USD]]*$P$4</f>
        <v>1844.8000000000002</v>
      </c>
      <c r="L37" s="10" t="s">
        <v>105</v>
      </c>
    </row>
    <row r="38" spans="1:12" x14ac:dyDescent="0.2">
      <c r="A38" s="11">
        <v>10047</v>
      </c>
      <c r="B38" s="12" t="s">
        <v>52</v>
      </c>
      <c r="C38" s="13" t="s">
        <v>106</v>
      </c>
      <c r="D38" s="12" t="s">
        <v>54</v>
      </c>
      <c r="E38" s="10" t="s">
        <v>68</v>
      </c>
      <c r="F38" s="14"/>
      <c r="G38" s="15">
        <v>240000</v>
      </c>
      <c r="H38" s="21"/>
      <c r="I38" s="14">
        <f t="shared" si="0"/>
        <v>162.71186440677965</v>
      </c>
      <c r="J38" s="14">
        <f>Tabla13[[#This Row],[Precio final en USD]]*$P$4</f>
        <v>260.33898305084745</v>
      </c>
    </row>
    <row r="39" spans="1:12" x14ac:dyDescent="0.2">
      <c r="A39" s="12">
        <v>10048</v>
      </c>
      <c r="B39" s="11" t="s">
        <v>52</v>
      </c>
      <c r="C39" s="13" t="s">
        <v>107</v>
      </c>
      <c r="D39" s="12" t="s">
        <v>58</v>
      </c>
      <c r="E39" s="10" t="s">
        <v>68</v>
      </c>
      <c r="F39" s="14"/>
      <c r="G39" s="15">
        <v>0</v>
      </c>
      <c r="I39" s="14">
        <f t="shared" si="0"/>
        <v>0</v>
      </c>
      <c r="J39" s="14">
        <f>Tabla13[[#This Row],[Precio final en USD]]*$P$4</f>
        <v>0</v>
      </c>
      <c r="K39" s="10" t="s">
        <v>60</v>
      </c>
    </row>
    <row r="40" spans="1:12" x14ac:dyDescent="0.2">
      <c r="A40" s="11">
        <v>10049</v>
      </c>
      <c r="B40" s="12" t="s">
        <v>52</v>
      </c>
      <c r="C40" s="13" t="s">
        <v>108</v>
      </c>
      <c r="D40" s="12" t="s">
        <v>54</v>
      </c>
      <c r="E40" s="10" t="s">
        <v>68</v>
      </c>
      <c r="F40" s="14"/>
      <c r="G40" s="15">
        <v>132000</v>
      </c>
      <c r="H40" s="21"/>
      <c r="I40" s="14">
        <f t="shared" si="0"/>
        <v>89.491525423728817</v>
      </c>
      <c r="J40" s="14">
        <f>Tabla13[[#This Row],[Precio final en USD]]*$P$4</f>
        <v>143.18644067796612</v>
      </c>
    </row>
    <row r="41" spans="1:12" x14ac:dyDescent="0.2">
      <c r="A41" s="11">
        <v>10050</v>
      </c>
      <c r="B41" s="12" t="s">
        <v>52</v>
      </c>
      <c r="C41" s="13" t="s">
        <v>109</v>
      </c>
      <c r="D41" s="12" t="s">
        <v>54</v>
      </c>
      <c r="E41" s="10" t="s">
        <v>68</v>
      </c>
      <c r="F41" s="14"/>
      <c r="G41" s="15">
        <v>220000</v>
      </c>
      <c r="H41" s="21"/>
      <c r="I41" s="14">
        <f t="shared" si="0"/>
        <v>149.15254237288136</v>
      </c>
      <c r="J41" s="14">
        <f>Tabla13[[#This Row],[Precio final en USD]]*$P$4</f>
        <v>238.64406779661019</v>
      </c>
    </row>
    <row r="42" spans="1:12" x14ac:dyDescent="0.2">
      <c r="A42" s="11">
        <v>10056</v>
      </c>
      <c r="B42" s="12" t="s">
        <v>52</v>
      </c>
      <c r="C42" s="13" t="s">
        <v>110</v>
      </c>
      <c r="D42" s="12" t="s">
        <v>54</v>
      </c>
      <c r="E42" s="10" t="s">
        <v>55</v>
      </c>
      <c r="F42" s="14">
        <v>293</v>
      </c>
      <c r="G42" s="15"/>
      <c r="H42" s="21"/>
      <c r="I42" s="14">
        <f t="shared" si="0"/>
        <v>293</v>
      </c>
      <c r="J42" s="14">
        <f>Tabla13[[#This Row],[Precio final en USD]]*$P$4</f>
        <v>468.8</v>
      </c>
    </row>
    <row r="43" spans="1:12" x14ac:dyDescent="0.2">
      <c r="A43" s="11">
        <v>10060</v>
      </c>
      <c r="B43" s="12" t="s">
        <v>52</v>
      </c>
      <c r="C43" s="13" t="s">
        <v>111</v>
      </c>
      <c r="D43" s="12" t="s">
        <v>54</v>
      </c>
      <c r="E43" s="10" t="s">
        <v>55</v>
      </c>
      <c r="F43" s="14">
        <v>336.27</v>
      </c>
      <c r="G43" s="15"/>
      <c r="H43" s="21"/>
      <c r="I43" s="14">
        <f t="shared" si="0"/>
        <v>336.27</v>
      </c>
      <c r="J43" s="14">
        <f>Tabla13[[#This Row],[Precio final en USD]]*$P$4</f>
        <v>538.03200000000004</v>
      </c>
    </row>
    <row r="44" spans="1:12" x14ac:dyDescent="0.2">
      <c r="A44" s="11">
        <v>10061</v>
      </c>
      <c r="B44" s="12" t="s">
        <v>52</v>
      </c>
      <c r="C44" s="13" t="s">
        <v>112</v>
      </c>
      <c r="D44" s="12" t="s">
        <v>54</v>
      </c>
      <c r="E44" s="10" t="s">
        <v>68</v>
      </c>
      <c r="F44" s="14"/>
      <c r="G44" s="15">
        <v>120000</v>
      </c>
      <c r="H44" s="21"/>
      <c r="I44" s="14">
        <f t="shared" si="0"/>
        <v>81.355932203389827</v>
      </c>
      <c r="J44" s="14">
        <f>Tabla13[[#This Row],[Precio final en USD]]*$P$4</f>
        <v>130.16949152542372</v>
      </c>
    </row>
    <row r="45" spans="1:12" x14ac:dyDescent="0.2">
      <c r="A45" s="11">
        <v>10063</v>
      </c>
      <c r="B45" s="12" t="s">
        <v>52</v>
      </c>
      <c r="C45" s="13" t="s">
        <v>113</v>
      </c>
      <c r="D45" s="12" t="s">
        <v>54</v>
      </c>
      <c r="E45" s="10" t="s">
        <v>99</v>
      </c>
      <c r="F45" s="14">
        <v>33.29</v>
      </c>
      <c r="G45" s="15"/>
      <c r="H45" s="21"/>
      <c r="I45" s="14">
        <f t="shared" si="0"/>
        <v>33.29</v>
      </c>
      <c r="J45" s="14">
        <f>Tabla13[[#This Row],[Precio final en USD]]*$P$4</f>
        <v>53.264000000000003</v>
      </c>
    </row>
    <row r="46" spans="1:12" x14ac:dyDescent="0.2">
      <c r="A46" s="11">
        <v>10064</v>
      </c>
      <c r="B46" s="12" t="s">
        <v>52</v>
      </c>
      <c r="C46" s="13" t="s">
        <v>114</v>
      </c>
      <c r="D46" s="12" t="s">
        <v>54</v>
      </c>
      <c r="E46" s="10" t="s">
        <v>55</v>
      </c>
      <c r="F46" s="14">
        <v>544.88</v>
      </c>
      <c r="G46" s="15"/>
      <c r="H46" s="21"/>
      <c r="I46" s="14">
        <f t="shared" si="0"/>
        <v>544.88</v>
      </c>
      <c r="J46" s="14">
        <f>Tabla13[[#This Row],[Precio final en USD]]*$P$4</f>
        <v>871.80799999999999</v>
      </c>
    </row>
    <row r="47" spans="1:12" x14ac:dyDescent="0.2">
      <c r="A47" s="11">
        <v>10065</v>
      </c>
      <c r="B47" s="12" t="s">
        <v>52</v>
      </c>
      <c r="C47" s="13" t="s">
        <v>115</v>
      </c>
      <c r="D47" s="12" t="s">
        <v>54</v>
      </c>
      <c r="E47" s="10" t="s">
        <v>68</v>
      </c>
      <c r="F47" s="14"/>
      <c r="G47" s="15">
        <v>303000</v>
      </c>
      <c r="H47" s="21"/>
      <c r="I47" s="14">
        <f t="shared" si="0"/>
        <v>205.42372881355934</v>
      </c>
      <c r="J47" s="14">
        <f>Tabla13[[#This Row],[Precio final en USD]]*$P$4</f>
        <v>328.67796610169495</v>
      </c>
    </row>
    <row r="48" spans="1:12" x14ac:dyDescent="0.2">
      <c r="A48" s="11">
        <v>10067</v>
      </c>
      <c r="B48" s="12" t="s">
        <v>52</v>
      </c>
      <c r="C48" s="13" t="s">
        <v>116</v>
      </c>
      <c r="D48" s="12" t="s">
        <v>54</v>
      </c>
      <c r="E48" s="10" t="s">
        <v>68</v>
      </c>
      <c r="F48" s="14"/>
      <c r="G48" s="15">
        <v>140000</v>
      </c>
      <c r="H48" s="21"/>
      <c r="I48" s="14">
        <f t="shared" si="0"/>
        <v>94.915254237288138</v>
      </c>
      <c r="J48" s="14">
        <f>Tabla13[[#This Row],[Precio final en USD]]*$P$4</f>
        <v>151.86440677966104</v>
      </c>
    </row>
    <row r="49" spans="1:11" x14ac:dyDescent="0.2">
      <c r="A49" s="11">
        <v>10068</v>
      </c>
      <c r="B49" s="12" t="s">
        <v>52</v>
      </c>
      <c r="C49" s="13" t="s">
        <v>117</v>
      </c>
      <c r="D49" s="12" t="s">
        <v>54</v>
      </c>
      <c r="E49" s="10" t="s">
        <v>68</v>
      </c>
      <c r="F49" s="14"/>
      <c r="G49" s="15">
        <v>269000</v>
      </c>
      <c r="H49" s="21"/>
      <c r="I49" s="14">
        <f t="shared" si="0"/>
        <v>182.37288135593221</v>
      </c>
      <c r="J49" s="14">
        <f>Tabla13[[#This Row],[Precio final en USD]]*$P$4</f>
        <v>291.79661016949154</v>
      </c>
    </row>
    <row r="50" spans="1:11" x14ac:dyDescent="0.2">
      <c r="A50" s="11">
        <v>10071</v>
      </c>
      <c r="B50" s="12" t="s">
        <v>52</v>
      </c>
      <c r="C50" s="13" t="s">
        <v>118</v>
      </c>
      <c r="D50" s="12" t="s">
        <v>54</v>
      </c>
      <c r="E50" s="10" t="s">
        <v>99</v>
      </c>
      <c r="F50" s="14">
        <v>700</v>
      </c>
      <c r="G50" s="15"/>
      <c r="H50" s="21"/>
      <c r="I50" s="14">
        <f t="shared" si="0"/>
        <v>700</v>
      </c>
      <c r="J50" s="14">
        <f>Tabla13[[#This Row],[Precio final en USD]]*$P$4</f>
        <v>1120</v>
      </c>
    </row>
    <row r="51" spans="1:11" x14ac:dyDescent="0.2">
      <c r="A51" s="11">
        <v>10072</v>
      </c>
      <c r="B51" s="12" t="s">
        <v>52</v>
      </c>
      <c r="C51" s="13" t="s">
        <v>119</v>
      </c>
      <c r="D51" s="12" t="s">
        <v>54</v>
      </c>
      <c r="E51" s="10" t="s">
        <v>68</v>
      </c>
      <c r="F51" s="14"/>
      <c r="G51" s="15">
        <v>83000</v>
      </c>
      <c r="H51" s="21"/>
      <c r="I51" s="14">
        <f t="shared" si="0"/>
        <v>56.271186440677965</v>
      </c>
      <c r="J51" s="14">
        <f>Tabla13[[#This Row],[Precio final en USD]]*$P$4</f>
        <v>90.033898305084747</v>
      </c>
    </row>
    <row r="52" spans="1:11" x14ac:dyDescent="0.2">
      <c r="A52" s="11">
        <v>10074</v>
      </c>
      <c r="B52" s="12" t="s">
        <v>52</v>
      </c>
      <c r="C52" s="13" t="s">
        <v>120</v>
      </c>
      <c r="D52" s="12" t="s">
        <v>54</v>
      </c>
      <c r="E52" s="10" t="s">
        <v>55</v>
      </c>
      <c r="F52" s="14">
        <v>65.88</v>
      </c>
      <c r="G52" s="15"/>
      <c r="H52" s="21"/>
      <c r="I52" s="14">
        <f t="shared" si="0"/>
        <v>65.88</v>
      </c>
      <c r="J52" s="14">
        <f>Tabla13[[#This Row],[Precio final en USD]]*$P$4</f>
        <v>105.408</v>
      </c>
    </row>
    <row r="53" spans="1:11" x14ac:dyDescent="0.2">
      <c r="A53" s="11">
        <v>10076</v>
      </c>
      <c r="B53" s="12" t="s">
        <v>52</v>
      </c>
      <c r="C53" s="13" t="s">
        <v>121</v>
      </c>
      <c r="D53" s="12" t="s">
        <v>54</v>
      </c>
      <c r="E53" s="10" t="s">
        <v>99</v>
      </c>
      <c r="F53" s="14">
        <v>447.85</v>
      </c>
      <c r="G53" s="15"/>
      <c r="H53" s="21"/>
      <c r="I53" s="14">
        <f t="shared" si="0"/>
        <v>447.85</v>
      </c>
      <c r="J53" s="14">
        <f>Tabla13[[#This Row],[Precio final en USD]]*$P$4</f>
        <v>716.56000000000006</v>
      </c>
    </row>
    <row r="54" spans="1:11" x14ac:dyDescent="0.2">
      <c r="A54" s="11">
        <v>10083</v>
      </c>
      <c r="B54" s="12" t="s">
        <v>52</v>
      </c>
      <c r="C54" s="13" t="s">
        <v>122</v>
      </c>
      <c r="D54" s="12" t="s">
        <v>54</v>
      </c>
      <c r="E54" s="10" t="s">
        <v>78</v>
      </c>
      <c r="F54" s="14">
        <v>98</v>
      </c>
      <c r="G54" s="15"/>
      <c r="H54" s="21"/>
      <c r="I54" s="14">
        <f t="shared" si="0"/>
        <v>98</v>
      </c>
      <c r="J54" s="14">
        <f>Tabla13[[#This Row],[Precio final en USD]]*$P$4</f>
        <v>156.80000000000001</v>
      </c>
      <c r="K54" s="10" t="s">
        <v>123</v>
      </c>
    </row>
    <row r="55" spans="1:11" x14ac:dyDescent="0.2">
      <c r="A55" s="11">
        <v>10084</v>
      </c>
      <c r="B55" s="12" t="s">
        <v>52</v>
      </c>
      <c r="C55" s="13" t="s">
        <v>124</v>
      </c>
      <c r="D55" s="12" t="s">
        <v>54</v>
      </c>
      <c r="E55" s="10" t="s">
        <v>68</v>
      </c>
      <c r="F55" s="14"/>
      <c r="G55" s="15">
        <v>193000</v>
      </c>
      <c r="H55" s="21"/>
      <c r="I55" s="14">
        <f t="shared" si="0"/>
        <v>130.84745762711864</v>
      </c>
      <c r="J55" s="14">
        <f>Tabla13[[#This Row],[Precio final en USD]]*$P$4</f>
        <v>209.35593220338984</v>
      </c>
    </row>
    <row r="56" spans="1:11" x14ac:dyDescent="0.2">
      <c r="A56" s="11">
        <v>10087</v>
      </c>
      <c r="B56" s="12" t="s">
        <v>52</v>
      </c>
      <c r="C56" s="13" t="s">
        <v>125</v>
      </c>
      <c r="D56" s="12" t="s">
        <v>54</v>
      </c>
      <c r="E56" s="10" t="s">
        <v>68</v>
      </c>
      <c r="F56" s="14"/>
      <c r="G56" s="15">
        <v>50000</v>
      </c>
      <c r="H56" s="21"/>
      <c r="I56" s="14">
        <f t="shared" si="0"/>
        <v>33.898305084745765</v>
      </c>
      <c r="J56" s="14">
        <f>Tabla13[[#This Row],[Precio final en USD]]*$P$4</f>
        <v>54.237288135593225</v>
      </c>
    </row>
    <row r="57" spans="1:11" x14ac:dyDescent="0.2">
      <c r="A57" s="11">
        <v>10088</v>
      </c>
      <c r="B57" s="12" t="s">
        <v>52</v>
      </c>
      <c r="C57" s="13" t="s">
        <v>126</v>
      </c>
      <c r="D57" s="12" t="s">
        <v>54</v>
      </c>
      <c r="E57" s="10" t="s">
        <v>91</v>
      </c>
      <c r="F57" s="14"/>
      <c r="G57" s="15">
        <v>102000</v>
      </c>
      <c r="H57" s="21"/>
      <c r="I57" s="14">
        <f t="shared" si="0"/>
        <v>69.152542372881356</v>
      </c>
      <c r="J57" s="14">
        <f>Tabla13[[#This Row],[Precio final en USD]]*$P$4</f>
        <v>110.64406779661017</v>
      </c>
    </row>
    <row r="58" spans="1:11" x14ac:dyDescent="0.2">
      <c r="A58" s="11">
        <v>10090</v>
      </c>
      <c r="B58" s="12" t="s">
        <v>52</v>
      </c>
      <c r="C58" s="13" t="s">
        <v>27</v>
      </c>
      <c r="D58" s="12" t="s">
        <v>54</v>
      </c>
      <c r="E58" s="10" t="s">
        <v>84</v>
      </c>
      <c r="F58" s="14"/>
      <c r="G58" s="15"/>
      <c r="H58" s="21">
        <v>170.64</v>
      </c>
      <c r="I58" s="14">
        <f t="shared" si="0"/>
        <v>198.40515254237289</v>
      </c>
      <c r="J58" s="14">
        <f>Tabla13[[#This Row],[Precio final en USD]]*$P$4</f>
        <v>317.44824406779662</v>
      </c>
    </row>
    <row r="59" spans="1:11" x14ac:dyDescent="0.2">
      <c r="A59" s="11">
        <v>10091</v>
      </c>
      <c r="B59" s="12" t="s">
        <v>52</v>
      </c>
      <c r="C59" s="13" t="s">
        <v>127</v>
      </c>
      <c r="D59" s="12" t="s">
        <v>54</v>
      </c>
      <c r="E59" s="10" t="s">
        <v>128</v>
      </c>
      <c r="F59" s="14">
        <v>81.22</v>
      </c>
      <c r="G59" s="15"/>
      <c r="H59" s="21"/>
      <c r="I59" s="14">
        <f t="shared" si="0"/>
        <v>81.22</v>
      </c>
      <c r="J59" s="14">
        <f>Tabla13[[#This Row],[Precio final en USD]]*$P$4</f>
        <v>129.952</v>
      </c>
    </row>
    <row r="60" spans="1:11" x14ac:dyDescent="0.2">
      <c r="A60" s="11">
        <v>10092</v>
      </c>
      <c r="B60" s="12" t="s">
        <v>52</v>
      </c>
      <c r="C60" s="13" t="s">
        <v>129</v>
      </c>
      <c r="D60" s="12" t="s">
        <v>54</v>
      </c>
      <c r="E60" s="10" t="s">
        <v>128</v>
      </c>
      <c r="F60" s="14">
        <v>14.22</v>
      </c>
      <c r="G60" s="15"/>
      <c r="H60" s="21"/>
      <c r="I60" s="14">
        <f t="shared" si="0"/>
        <v>14.22</v>
      </c>
      <c r="J60" s="14">
        <f>Tabla13[[#This Row],[Precio final en USD]]*$P$4</f>
        <v>22.752000000000002</v>
      </c>
    </row>
    <row r="61" spans="1:11" x14ac:dyDescent="0.2">
      <c r="A61" s="11">
        <v>10093</v>
      </c>
      <c r="B61" s="12" t="s">
        <v>52</v>
      </c>
      <c r="C61" s="13" t="s">
        <v>130</v>
      </c>
      <c r="D61" s="12" t="s">
        <v>54</v>
      </c>
      <c r="E61" s="10" t="s">
        <v>128</v>
      </c>
      <c r="F61" s="14">
        <v>10.49</v>
      </c>
      <c r="G61" s="15"/>
      <c r="H61" s="21"/>
      <c r="I61" s="14">
        <f t="shared" si="0"/>
        <v>10.49</v>
      </c>
      <c r="J61" s="14">
        <f>Tabla13[[#This Row],[Precio final en USD]]*$P$4</f>
        <v>16.784000000000002</v>
      </c>
    </row>
    <row r="62" spans="1:11" x14ac:dyDescent="0.2">
      <c r="A62" s="11">
        <v>10095</v>
      </c>
      <c r="B62" s="12" t="s">
        <v>52</v>
      </c>
      <c r="C62" s="13" t="s">
        <v>131</v>
      </c>
      <c r="D62" s="12" t="s">
        <v>54</v>
      </c>
      <c r="E62" s="10" t="s">
        <v>68</v>
      </c>
      <c r="F62" s="14"/>
      <c r="G62" s="15">
        <v>55000</v>
      </c>
      <c r="H62" s="21"/>
      <c r="I62" s="14">
        <f t="shared" si="0"/>
        <v>37.288135593220339</v>
      </c>
      <c r="J62" s="14">
        <f>Tabla13[[#This Row],[Precio final en USD]]*$P$4</f>
        <v>59.661016949152547</v>
      </c>
    </row>
    <row r="63" spans="1:11" x14ac:dyDescent="0.2">
      <c r="A63" s="11">
        <v>10100</v>
      </c>
      <c r="B63" s="12" t="s">
        <v>52</v>
      </c>
      <c r="C63" s="13" t="s">
        <v>132</v>
      </c>
      <c r="D63" s="12" t="s">
        <v>54</v>
      </c>
      <c r="E63" s="10" t="s">
        <v>128</v>
      </c>
      <c r="F63" s="14">
        <v>17.38</v>
      </c>
      <c r="G63" s="15"/>
      <c r="H63" s="21"/>
      <c r="I63" s="14">
        <f t="shared" si="0"/>
        <v>17.38</v>
      </c>
      <c r="J63" s="14">
        <f>Tabla13[[#This Row],[Precio final en USD]]*$P$4</f>
        <v>27.808</v>
      </c>
    </row>
    <row r="64" spans="1:11" x14ac:dyDescent="0.2">
      <c r="A64" s="11">
        <v>10102</v>
      </c>
      <c r="B64" s="12" t="s">
        <v>52</v>
      </c>
      <c r="C64" s="13" t="s">
        <v>133</v>
      </c>
      <c r="D64" s="12" t="s">
        <v>54</v>
      </c>
      <c r="E64" s="10" t="s">
        <v>68</v>
      </c>
      <c r="F64" s="14"/>
      <c r="G64" s="15">
        <v>10000</v>
      </c>
      <c r="H64" s="21"/>
      <c r="I64" s="14">
        <f t="shared" si="0"/>
        <v>6.7796610169491522</v>
      </c>
      <c r="J64" s="14">
        <f>Tabla13[[#This Row],[Precio final en USD]]*$P$4</f>
        <v>10.847457627118644</v>
      </c>
    </row>
    <row r="65" spans="1:11" x14ac:dyDescent="0.2">
      <c r="A65" s="11">
        <v>10103</v>
      </c>
      <c r="B65" s="12" t="s">
        <v>52</v>
      </c>
      <c r="C65" s="13" t="s">
        <v>134</v>
      </c>
      <c r="D65" s="12" t="s">
        <v>54</v>
      </c>
      <c r="E65" s="10" t="s">
        <v>68</v>
      </c>
      <c r="F65" s="14"/>
      <c r="G65" s="15">
        <v>10000</v>
      </c>
      <c r="H65" s="21"/>
      <c r="I65" s="14">
        <f t="shared" si="0"/>
        <v>6.7796610169491522</v>
      </c>
      <c r="J65" s="14">
        <f>Tabla13[[#This Row],[Precio final en USD]]*$P$4</f>
        <v>10.847457627118644</v>
      </c>
    </row>
    <row r="66" spans="1:11" x14ac:dyDescent="0.2">
      <c r="A66" s="12">
        <v>10106</v>
      </c>
      <c r="B66" s="11" t="s">
        <v>52</v>
      </c>
      <c r="C66" s="13" t="s">
        <v>135</v>
      </c>
      <c r="D66" s="12" t="s">
        <v>58</v>
      </c>
      <c r="E66" s="10" t="s">
        <v>68</v>
      </c>
      <c r="F66" s="14"/>
      <c r="G66" s="15">
        <v>0</v>
      </c>
      <c r="I66" s="14">
        <f t="shared" ref="I66:I129" si="1">IF(AND(F66="",G66="",H66=""),"",IF(F66&lt;&gt;"",F66,IF(G66&lt;&gt;"",G66/$O$1,IF(H66&lt;&gt;"",H66*$O$2,"ver"))))</f>
        <v>0</v>
      </c>
      <c r="J66" s="14">
        <f>Tabla13[[#This Row],[Precio final en USD]]*$P$4</f>
        <v>0</v>
      </c>
      <c r="K66" s="10" t="s">
        <v>60</v>
      </c>
    </row>
    <row r="67" spans="1:11" x14ac:dyDescent="0.2">
      <c r="A67" s="11">
        <v>10109</v>
      </c>
      <c r="B67" s="12" t="s">
        <v>52</v>
      </c>
      <c r="C67" s="13" t="s">
        <v>136</v>
      </c>
      <c r="D67" s="12" t="s">
        <v>54</v>
      </c>
      <c r="E67" s="10" t="s">
        <v>68</v>
      </c>
      <c r="F67" s="14"/>
      <c r="G67" s="15">
        <v>26000</v>
      </c>
      <c r="H67" s="21"/>
      <c r="I67" s="14">
        <f t="shared" si="1"/>
        <v>17.627118644067796</v>
      </c>
      <c r="J67" s="14">
        <f>Tabla13[[#This Row],[Precio final en USD]]*$P$4</f>
        <v>28.203389830508474</v>
      </c>
    </row>
    <row r="68" spans="1:11" x14ac:dyDescent="0.2">
      <c r="A68" s="11">
        <v>10110</v>
      </c>
      <c r="B68" s="12" t="s">
        <v>52</v>
      </c>
      <c r="C68" s="13" t="s">
        <v>137</v>
      </c>
      <c r="D68" s="12" t="s">
        <v>54</v>
      </c>
      <c r="E68" s="10" t="s">
        <v>68</v>
      </c>
      <c r="F68" s="14"/>
      <c r="G68" s="15">
        <v>26000</v>
      </c>
      <c r="H68" s="21"/>
      <c r="I68" s="14">
        <f t="shared" si="1"/>
        <v>17.627118644067796</v>
      </c>
      <c r="J68" s="14">
        <f>Tabla13[[#This Row],[Precio final en USD]]*$P$4</f>
        <v>28.203389830508474</v>
      </c>
    </row>
    <row r="69" spans="1:11" x14ac:dyDescent="0.2">
      <c r="A69" s="11">
        <v>10111</v>
      </c>
      <c r="B69" s="12" t="s">
        <v>52</v>
      </c>
      <c r="C69" s="13" t="s">
        <v>138</v>
      </c>
      <c r="D69" s="12" t="s">
        <v>54</v>
      </c>
      <c r="E69" s="10" t="s">
        <v>68</v>
      </c>
      <c r="F69" s="14"/>
      <c r="G69" s="15">
        <v>31000</v>
      </c>
      <c r="H69" s="21"/>
      <c r="I69" s="14">
        <f t="shared" si="1"/>
        <v>21.016949152542374</v>
      </c>
      <c r="J69" s="14">
        <f>Tabla13[[#This Row],[Precio final en USD]]*$P$4</f>
        <v>33.627118644067799</v>
      </c>
    </row>
    <row r="70" spans="1:11" x14ac:dyDescent="0.2">
      <c r="A70" s="11">
        <v>10112</v>
      </c>
      <c r="B70" s="12" t="s">
        <v>52</v>
      </c>
      <c r="C70" s="13" t="s">
        <v>139</v>
      </c>
      <c r="D70" s="12" t="s">
        <v>54</v>
      </c>
      <c r="E70" s="10" t="s">
        <v>68</v>
      </c>
      <c r="F70" s="14"/>
      <c r="G70" s="15">
        <v>25000</v>
      </c>
      <c r="H70" s="21"/>
      <c r="I70" s="14">
        <f t="shared" si="1"/>
        <v>16.949152542372882</v>
      </c>
      <c r="J70" s="14">
        <f>Tabla13[[#This Row],[Precio final en USD]]*$P$4</f>
        <v>27.118644067796613</v>
      </c>
    </row>
    <row r="71" spans="1:11" x14ac:dyDescent="0.2">
      <c r="A71" s="11">
        <v>10115</v>
      </c>
      <c r="B71" s="12" t="s">
        <v>52</v>
      </c>
      <c r="C71" s="13" t="s">
        <v>140</v>
      </c>
      <c r="D71" s="12" t="s">
        <v>54</v>
      </c>
      <c r="E71" s="10" t="s">
        <v>89</v>
      </c>
      <c r="F71" s="14"/>
      <c r="G71" s="15">
        <v>25326</v>
      </c>
      <c r="H71" s="21"/>
      <c r="I71" s="14">
        <f t="shared" si="1"/>
        <v>17.170169491525424</v>
      </c>
      <c r="J71" s="14">
        <f>Tabla13[[#This Row],[Precio final en USD]]*$P$4</f>
        <v>27.472271186440679</v>
      </c>
    </row>
    <row r="72" spans="1:11" x14ac:dyDescent="0.2">
      <c r="A72" s="11">
        <v>10116</v>
      </c>
      <c r="B72" s="12" t="s">
        <v>52</v>
      </c>
      <c r="C72" s="13" t="s">
        <v>141</v>
      </c>
      <c r="D72" s="12" t="s">
        <v>54</v>
      </c>
      <c r="E72" s="10" t="s">
        <v>84</v>
      </c>
      <c r="F72" s="14"/>
      <c r="G72" s="15"/>
      <c r="H72" s="21">
        <v>161.80000000000001</v>
      </c>
      <c r="I72" s="14">
        <f t="shared" si="1"/>
        <v>188.12677966101697</v>
      </c>
      <c r="J72" s="14">
        <f>Tabla13[[#This Row],[Precio final en USD]]*$P$4</f>
        <v>301.00284745762718</v>
      </c>
    </row>
    <row r="73" spans="1:11" x14ac:dyDescent="0.2">
      <c r="A73" s="11">
        <v>10117</v>
      </c>
      <c r="B73" s="12" t="s">
        <v>52</v>
      </c>
      <c r="C73" s="13" t="s">
        <v>142</v>
      </c>
      <c r="D73" s="12" t="s">
        <v>54</v>
      </c>
      <c r="E73" s="10" t="s">
        <v>84</v>
      </c>
      <c r="F73" s="14"/>
      <c r="G73" s="15"/>
      <c r="H73" s="21">
        <v>91.8</v>
      </c>
      <c r="I73" s="14">
        <f t="shared" si="1"/>
        <v>106.73694915254238</v>
      </c>
      <c r="J73" s="14">
        <f>Tabla13[[#This Row],[Precio final en USD]]*$P$4</f>
        <v>170.77911864406781</v>
      </c>
    </row>
    <row r="74" spans="1:11" x14ac:dyDescent="0.2">
      <c r="A74" s="11">
        <v>10118</v>
      </c>
      <c r="B74" s="12" t="s">
        <v>52</v>
      </c>
      <c r="C74" s="13" t="s">
        <v>143</v>
      </c>
      <c r="D74" s="12" t="s">
        <v>54</v>
      </c>
      <c r="E74" s="10" t="s">
        <v>84</v>
      </c>
      <c r="F74" s="14"/>
      <c r="G74" s="15"/>
      <c r="H74" s="21">
        <v>115.8</v>
      </c>
      <c r="I74" s="14">
        <f t="shared" si="1"/>
        <v>134.6420338983051</v>
      </c>
      <c r="J74" s="14">
        <f>Tabla13[[#This Row],[Precio final en USD]]*$P$4</f>
        <v>215.42725423728817</v>
      </c>
    </row>
    <row r="75" spans="1:11" x14ac:dyDescent="0.2">
      <c r="A75" s="11">
        <v>10119</v>
      </c>
      <c r="B75" s="12" t="s">
        <v>52</v>
      </c>
      <c r="C75" s="13" t="s">
        <v>144</v>
      </c>
      <c r="D75" s="12" t="s">
        <v>54</v>
      </c>
      <c r="E75" s="10" t="s">
        <v>84</v>
      </c>
      <c r="F75" s="14"/>
      <c r="G75" s="15"/>
      <c r="H75" s="21">
        <v>25.75</v>
      </c>
      <c r="I75" s="14">
        <f t="shared" si="1"/>
        <v>29.939830508474579</v>
      </c>
      <c r="J75" s="14">
        <f>Tabla13[[#This Row],[Precio final en USD]]*$P$4</f>
        <v>47.903728813559326</v>
      </c>
    </row>
    <row r="76" spans="1:11" x14ac:dyDescent="0.2">
      <c r="A76" s="11">
        <v>10120</v>
      </c>
      <c r="B76" s="12" t="s">
        <v>52</v>
      </c>
      <c r="C76" s="13" t="s">
        <v>145</v>
      </c>
      <c r="D76" s="12" t="s">
        <v>54</v>
      </c>
      <c r="E76" s="10" t="s">
        <v>84</v>
      </c>
      <c r="F76" s="14"/>
      <c r="G76" s="15"/>
      <c r="H76" s="21">
        <v>86.98</v>
      </c>
      <c r="I76" s="14">
        <f t="shared" si="1"/>
        <v>101.13267796610171</v>
      </c>
      <c r="J76" s="14">
        <f>Tabla13[[#This Row],[Precio final en USD]]*$P$4</f>
        <v>161.81228474576275</v>
      </c>
    </row>
    <row r="77" spans="1:11" x14ac:dyDescent="0.2">
      <c r="A77" s="11">
        <v>10121</v>
      </c>
      <c r="B77" s="12" t="s">
        <v>52</v>
      </c>
      <c r="C77" s="13" t="s">
        <v>146</v>
      </c>
      <c r="D77" s="12" t="s">
        <v>54</v>
      </c>
      <c r="E77" s="10" t="s">
        <v>128</v>
      </c>
      <c r="F77" s="14">
        <v>125.78</v>
      </c>
      <c r="G77" s="15"/>
      <c r="H77" s="21"/>
      <c r="I77" s="14">
        <f t="shared" si="1"/>
        <v>125.78</v>
      </c>
      <c r="J77" s="14">
        <f>Tabla13[[#This Row],[Precio final en USD]]*$P$4</f>
        <v>201.24800000000002</v>
      </c>
    </row>
    <row r="78" spans="1:11" x14ac:dyDescent="0.2">
      <c r="A78" s="11">
        <v>10122</v>
      </c>
      <c r="B78" s="12" t="s">
        <v>52</v>
      </c>
      <c r="C78" s="13" t="s">
        <v>147</v>
      </c>
      <c r="D78" s="12" t="s">
        <v>54</v>
      </c>
      <c r="E78" s="10" t="s">
        <v>128</v>
      </c>
      <c r="F78" s="14">
        <v>14.28</v>
      </c>
      <c r="G78" s="15"/>
      <c r="H78" s="21"/>
      <c r="I78" s="14">
        <f t="shared" si="1"/>
        <v>14.28</v>
      </c>
      <c r="J78" s="14">
        <f>Tabla13[[#This Row],[Precio final en USD]]*$P$4</f>
        <v>22.847999999999999</v>
      </c>
    </row>
    <row r="79" spans="1:11" x14ac:dyDescent="0.2">
      <c r="A79" s="12">
        <v>10131</v>
      </c>
      <c r="B79" s="11" t="s">
        <v>52</v>
      </c>
      <c r="C79" s="13" t="s">
        <v>148</v>
      </c>
      <c r="D79" s="12" t="s">
        <v>58</v>
      </c>
      <c r="E79" s="10" t="s">
        <v>149</v>
      </c>
      <c r="F79" s="14">
        <v>138.69</v>
      </c>
      <c r="G79" s="15"/>
      <c r="I79" s="14">
        <f t="shared" si="1"/>
        <v>138.69</v>
      </c>
      <c r="J79" s="14">
        <f>Tabla13[[#This Row],[Precio final en USD]]*$P$4</f>
        <v>221.904</v>
      </c>
    </row>
    <row r="80" spans="1:11" x14ac:dyDescent="0.2">
      <c r="A80" s="11">
        <v>10132</v>
      </c>
      <c r="B80" s="12" t="s">
        <v>52</v>
      </c>
      <c r="C80" s="13" t="s">
        <v>150</v>
      </c>
      <c r="D80" s="12" t="s">
        <v>54</v>
      </c>
      <c r="E80" s="10" t="s">
        <v>84</v>
      </c>
      <c r="F80" s="14"/>
      <c r="G80" s="15"/>
      <c r="H80" s="21">
        <v>0.18</v>
      </c>
      <c r="I80" s="14">
        <f t="shared" si="1"/>
        <v>0.20928813559322035</v>
      </c>
      <c r="J80" s="14">
        <f>Tabla13[[#This Row],[Precio final en USD]]*$P$4</f>
        <v>0.3348610169491526</v>
      </c>
    </row>
    <row r="81" spans="1:10" x14ac:dyDescent="0.2">
      <c r="A81" s="11">
        <v>10133</v>
      </c>
      <c r="B81" s="12" t="s">
        <v>52</v>
      </c>
      <c r="C81" s="13" t="s">
        <v>151</v>
      </c>
      <c r="D81" s="12" t="s">
        <v>54</v>
      </c>
      <c r="E81" s="10" t="s">
        <v>84</v>
      </c>
      <c r="F81" s="14"/>
      <c r="G81" s="15"/>
      <c r="H81" s="21">
        <v>7.67</v>
      </c>
      <c r="I81" s="14">
        <f t="shared" si="1"/>
        <v>8.918000000000001</v>
      </c>
      <c r="J81" s="14">
        <f>Tabla13[[#This Row],[Precio final en USD]]*$P$4</f>
        <v>14.268800000000002</v>
      </c>
    </row>
    <row r="82" spans="1:10" x14ac:dyDescent="0.2">
      <c r="A82" s="11">
        <v>10134</v>
      </c>
      <c r="B82" s="12" t="s">
        <v>52</v>
      </c>
      <c r="C82" s="13" t="s">
        <v>152</v>
      </c>
      <c r="D82" s="12" t="s">
        <v>54</v>
      </c>
      <c r="E82" s="10" t="s">
        <v>84</v>
      </c>
      <c r="F82" s="14"/>
      <c r="G82" s="15"/>
      <c r="H82" s="21">
        <v>0.32</v>
      </c>
      <c r="I82" s="14">
        <f t="shared" si="1"/>
        <v>0.37206779661016953</v>
      </c>
      <c r="J82" s="14">
        <f>Tabla13[[#This Row],[Precio final en USD]]*$P$4</f>
        <v>0.59530847457627123</v>
      </c>
    </row>
    <row r="83" spans="1:10" x14ac:dyDescent="0.2">
      <c r="A83" s="11">
        <v>10135</v>
      </c>
      <c r="B83" s="12" t="s">
        <v>52</v>
      </c>
      <c r="C83" s="13" t="s">
        <v>153</v>
      </c>
      <c r="D83" s="12" t="s">
        <v>54</v>
      </c>
      <c r="E83" s="10" t="s">
        <v>84</v>
      </c>
      <c r="F83" s="14"/>
      <c r="G83" s="15"/>
      <c r="H83" s="21">
        <v>11.84</v>
      </c>
      <c r="I83" s="14">
        <f t="shared" si="1"/>
        <v>13.766508474576272</v>
      </c>
      <c r="J83" s="14">
        <f>Tabla13[[#This Row],[Precio final en USD]]*$P$4</f>
        <v>22.026413559322037</v>
      </c>
    </row>
    <row r="84" spans="1:10" x14ac:dyDescent="0.2">
      <c r="A84" s="11">
        <v>10137</v>
      </c>
      <c r="B84" s="12" t="s">
        <v>52</v>
      </c>
      <c r="C84" s="13" t="s">
        <v>154</v>
      </c>
      <c r="D84" s="12" t="s">
        <v>54</v>
      </c>
      <c r="E84" s="10" t="s">
        <v>84</v>
      </c>
      <c r="F84" s="14"/>
      <c r="G84" s="15"/>
      <c r="H84" s="21">
        <v>126</v>
      </c>
      <c r="I84" s="14">
        <f t="shared" si="1"/>
        <v>146.50169491525426</v>
      </c>
      <c r="J84" s="14">
        <f>Tabla13[[#This Row],[Precio final en USD]]*$P$4</f>
        <v>234.40271186440683</v>
      </c>
    </row>
    <row r="85" spans="1:10" x14ac:dyDescent="0.2">
      <c r="A85" s="11">
        <v>10138</v>
      </c>
      <c r="B85" s="12" t="s">
        <v>52</v>
      </c>
      <c r="C85" s="13" t="s">
        <v>155</v>
      </c>
      <c r="D85" s="12" t="s">
        <v>54</v>
      </c>
      <c r="E85" s="10" t="s">
        <v>84</v>
      </c>
      <c r="F85" s="14"/>
      <c r="G85" s="15"/>
      <c r="H85" s="21">
        <v>11.86</v>
      </c>
      <c r="I85" s="14">
        <f t="shared" si="1"/>
        <v>13.789762711864407</v>
      </c>
      <c r="J85" s="14">
        <f>Tabla13[[#This Row],[Precio final en USD]]*$P$4</f>
        <v>22.063620338983053</v>
      </c>
    </row>
    <row r="86" spans="1:10" x14ac:dyDescent="0.2">
      <c r="A86" s="11">
        <v>10139</v>
      </c>
      <c r="B86" s="12" t="s">
        <v>52</v>
      </c>
      <c r="C86" s="13" t="s">
        <v>156</v>
      </c>
      <c r="D86" s="12" t="s">
        <v>54</v>
      </c>
      <c r="E86" s="10" t="s">
        <v>84</v>
      </c>
      <c r="F86" s="14"/>
      <c r="G86" s="15"/>
      <c r="H86" s="21">
        <v>4.1500000000000004</v>
      </c>
      <c r="I86" s="14">
        <f t="shared" si="1"/>
        <v>4.8252542372881368</v>
      </c>
      <c r="J86" s="14">
        <f>Tabla13[[#This Row],[Precio final en USD]]*$P$4</f>
        <v>7.720406779661019</v>
      </c>
    </row>
    <row r="87" spans="1:10" x14ac:dyDescent="0.2">
      <c r="A87" s="11">
        <v>10141</v>
      </c>
      <c r="B87" s="12" t="s">
        <v>52</v>
      </c>
      <c r="C87" s="13" t="s">
        <v>157</v>
      </c>
      <c r="D87" s="12" t="s">
        <v>54</v>
      </c>
      <c r="E87" s="10" t="s">
        <v>89</v>
      </c>
      <c r="F87" s="14"/>
      <c r="G87" s="15">
        <v>2000</v>
      </c>
      <c r="H87" s="21"/>
      <c r="I87" s="14">
        <f t="shared" si="1"/>
        <v>1.3559322033898304</v>
      </c>
      <c r="J87" s="14">
        <f>Tabla13[[#This Row],[Precio final en USD]]*$P$4</f>
        <v>2.1694915254237288</v>
      </c>
    </row>
    <row r="88" spans="1:10" x14ac:dyDescent="0.2">
      <c r="A88" s="11">
        <v>10143</v>
      </c>
      <c r="B88" s="12" t="s">
        <v>52</v>
      </c>
      <c r="C88" s="13" t="s">
        <v>158</v>
      </c>
      <c r="D88" s="12" t="s">
        <v>54</v>
      </c>
      <c r="E88" s="10" t="s">
        <v>68</v>
      </c>
      <c r="F88" s="14"/>
      <c r="G88" s="15">
        <v>124000</v>
      </c>
      <c r="H88" s="21"/>
      <c r="I88" s="14">
        <f t="shared" si="1"/>
        <v>84.067796610169495</v>
      </c>
      <c r="J88" s="14">
        <f>Tabla13[[#This Row],[Precio final en USD]]*$P$4</f>
        <v>134.5084745762712</v>
      </c>
    </row>
    <row r="89" spans="1:10" x14ac:dyDescent="0.2">
      <c r="A89" s="11">
        <v>10144</v>
      </c>
      <c r="B89" s="12" t="s">
        <v>52</v>
      </c>
      <c r="C89" s="13" t="s">
        <v>159</v>
      </c>
      <c r="D89" s="12" t="s">
        <v>54</v>
      </c>
      <c r="E89" s="10" t="s">
        <v>68</v>
      </c>
      <c r="F89" s="14"/>
      <c r="G89" s="15">
        <v>62000</v>
      </c>
      <c r="H89" s="21"/>
      <c r="I89" s="14">
        <f t="shared" si="1"/>
        <v>42.033898305084747</v>
      </c>
      <c r="J89" s="14">
        <f>Tabla13[[#This Row],[Precio final en USD]]*$P$4</f>
        <v>67.254237288135599</v>
      </c>
    </row>
    <row r="90" spans="1:10" x14ac:dyDescent="0.2">
      <c r="A90" s="11">
        <v>10145</v>
      </c>
      <c r="B90" s="12" t="s">
        <v>52</v>
      </c>
      <c r="C90" s="13" t="s">
        <v>160</v>
      </c>
      <c r="D90" s="12" t="s">
        <v>54</v>
      </c>
      <c r="E90" s="10" t="s">
        <v>68</v>
      </c>
      <c r="F90" s="14"/>
      <c r="G90" s="15">
        <v>78000</v>
      </c>
      <c r="H90" s="21"/>
      <c r="I90" s="14">
        <f t="shared" si="1"/>
        <v>52.881355932203391</v>
      </c>
      <c r="J90" s="14">
        <f>Tabla13[[#This Row],[Precio final en USD]]*$P$4</f>
        <v>84.610169491525426</v>
      </c>
    </row>
    <row r="91" spans="1:10" x14ac:dyDescent="0.2">
      <c r="A91" s="11">
        <v>10148</v>
      </c>
      <c r="B91" s="12" t="s">
        <v>52</v>
      </c>
      <c r="C91" s="13" t="s">
        <v>161</v>
      </c>
      <c r="D91" s="12" t="s">
        <v>54</v>
      </c>
      <c r="E91" s="10" t="s">
        <v>68</v>
      </c>
      <c r="F91" s="14"/>
      <c r="G91" s="15">
        <v>50000</v>
      </c>
      <c r="H91" s="21"/>
      <c r="I91" s="14">
        <f t="shared" si="1"/>
        <v>33.898305084745765</v>
      </c>
      <c r="J91" s="14">
        <f>Tabla13[[#This Row],[Precio final en USD]]*$P$4</f>
        <v>54.237288135593225</v>
      </c>
    </row>
    <row r="92" spans="1:10" x14ac:dyDescent="0.2">
      <c r="A92" s="11">
        <v>10150</v>
      </c>
      <c r="B92" s="12" t="s">
        <v>52</v>
      </c>
      <c r="C92" s="13" t="s">
        <v>162</v>
      </c>
      <c r="D92" s="12" t="s">
        <v>54</v>
      </c>
      <c r="E92" s="10" t="s">
        <v>89</v>
      </c>
      <c r="F92" s="14"/>
      <c r="G92" s="15">
        <v>71122</v>
      </c>
      <c r="H92" s="21"/>
      <c r="I92" s="14">
        <f t="shared" si="1"/>
        <v>48.218305084745765</v>
      </c>
      <c r="J92" s="14">
        <f>Tabla13[[#This Row],[Precio final en USD]]*$P$4</f>
        <v>77.149288135593224</v>
      </c>
    </row>
    <row r="93" spans="1:10" x14ac:dyDescent="0.2">
      <c r="A93" s="11">
        <v>10151</v>
      </c>
      <c r="B93" s="12" t="s">
        <v>52</v>
      </c>
      <c r="C93" s="13" t="s">
        <v>163</v>
      </c>
      <c r="D93" s="12" t="s">
        <v>54</v>
      </c>
      <c r="E93" s="10" t="s">
        <v>89</v>
      </c>
      <c r="F93" s="14"/>
      <c r="G93" s="15">
        <v>4779</v>
      </c>
      <c r="H93" s="21"/>
      <c r="I93" s="14">
        <f t="shared" si="1"/>
        <v>3.24</v>
      </c>
      <c r="J93" s="14">
        <f>Tabla13[[#This Row],[Precio final en USD]]*$P$4</f>
        <v>5.1840000000000011</v>
      </c>
    </row>
    <row r="94" spans="1:10" x14ac:dyDescent="0.2">
      <c r="A94" s="11">
        <v>10155</v>
      </c>
      <c r="B94" s="12" t="s">
        <v>52</v>
      </c>
      <c r="C94" s="13" t="s">
        <v>164</v>
      </c>
      <c r="D94" s="12" t="s">
        <v>54</v>
      </c>
      <c r="E94" s="10" t="s">
        <v>78</v>
      </c>
      <c r="F94" s="14">
        <v>158</v>
      </c>
      <c r="G94" s="15"/>
      <c r="H94" s="21"/>
      <c r="I94" s="14">
        <f t="shared" si="1"/>
        <v>158</v>
      </c>
      <c r="J94" s="14">
        <f>Tabla13[[#This Row],[Precio final en USD]]*$P$4</f>
        <v>252.8</v>
      </c>
    </row>
    <row r="95" spans="1:10" x14ac:dyDescent="0.2">
      <c r="A95" s="11">
        <v>10156</v>
      </c>
      <c r="B95" s="12" t="s">
        <v>52</v>
      </c>
      <c r="C95" s="13" t="s">
        <v>165</v>
      </c>
      <c r="D95" s="12" t="s">
        <v>54</v>
      </c>
      <c r="E95" s="10" t="s">
        <v>89</v>
      </c>
      <c r="F95" s="14"/>
      <c r="G95" s="15">
        <v>144000</v>
      </c>
      <c r="H95" s="21"/>
      <c r="I95" s="14">
        <f t="shared" si="1"/>
        <v>97.627118644067792</v>
      </c>
      <c r="J95" s="14">
        <f>Tabla13[[#This Row],[Precio final en USD]]*$P$4</f>
        <v>156.20338983050848</v>
      </c>
    </row>
    <row r="96" spans="1:10" x14ac:dyDescent="0.2">
      <c r="A96" s="11">
        <v>10158</v>
      </c>
      <c r="B96" s="12" t="s">
        <v>52</v>
      </c>
      <c r="C96" s="13" t="s">
        <v>166</v>
      </c>
      <c r="D96" s="12" t="s">
        <v>54</v>
      </c>
      <c r="E96" s="10" t="s">
        <v>89</v>
      </c>
      <c r="F96" s="14"/>
      <c r="G96" s="15">
        <v>55000</v>
      </c>
      <c r="H96" s="21"/>
      <c r="I96" s="14">
        <f t="shared" si="1"/>
        <v>37.288135593220339</v>
      </c>
      <c r="J96" s="14">
        <f>Tabla13[[#This Row],[Precio final en USD]]*$P$4</f>
        <v>59.661016949152547</v>
      </c>
    </row>
    <row r="97" spans="1:10" x14ac:dyDescent="0.2">
      <c r="A97" s="11">
        <v>10159</v>
      </c>
      <c r="B97" s="12" t="s">
        <v>52</v>
      </c>
      <c r="C97" s="13" t="s">
        <v>167</v>
      </c>
      <c r="D97" s="12" t="s">
        <v>54</v>
      </c>
      <c r="E97" s="10" t="s">
        <v>89</v>
      </c>
      <c r="F97" s="14"/>
      <c r="G97" s="15">
        <v>11339</v>
      </c>
      <c r="H97" s="21"/>
      <c r="I97" s="14">
        <f t="shared" si="1"/>
        <v>7.6874576271186443</v>
      </c>
      <c r="J97" s="14">
        <f>Tabla13[[#This Row],[Precio final en USD]]*$P$4</f>
        <v>12.299932203389831</v>
      </c>
    </row>
    <row r="98" spans="1:10" x14ac:dyDescent="0.2">
      <c r="A98" s="11">
        <v>10161</v>
      </c>
      <c r="B98" s="12" t="s">
        <v>52</v>
      </c>
      <c r="C98" s="13" t="s">
        <v>168</v>
      </c>
      <c r="D98" s="12" t="s">
        <v>54</v>
      </c>
      <c r="E98" s="10" t="s">
        <v>68</v>
      </c>
      <c r="F98" s="14"/>
      <c r="G98" s="15">
        <v>50000</v>
      </c>
      <c r="H98" s="21"/>
      <c r="I98" s="14">
        <f t="shared" si="1"/>
        <v>33.898305084745765</v>
      </c>
      <c r="J98" s="14">
        <f>Tabla13[[#This Row],[Precio final en USD]]*$P$4</f>
        <v>54.237288135593225</v>
      </c>
    </row>
    <row r="99" spans="1:10" x14ac:dyDescent="0.2">
      <c r="A99" s="11">
        <v>10164</v>
      </c>
      <c r="B99" s="12" t="s">
        <v>52</v>
      </c>
      <c r="C99" s="13" t="s">
        <v>169</v>
      </c>
      <c r="D99" s="12" t="s">
        <v>54</v>
      </c>
      <c r="E99" s="10" t="s">
        <v>68</v>
      </c>
      <c r="F99" s="14"/>
      <c r="G99" s="15">
        <v>199000</v>
      </c>
      <c r="H99" s="21"/>
      <c r="I99" s="14">
        <f t="shared" si="1"/>
        <v>134.91525423728814</v>
      </c>
      <c r="J99" s="14">
        <f>Tabla13[[#This Row],[Precio final en USD]]*$P$4</f>
        <v>215.86440677966104</v>
      </c>
    </row>
    <row r="100" spans="1:10" x14ac:dyDescent="0.2">
      <c r="A100" s="12">
        <v>10164</v>
      </c>
      <c r="B100" s="11" t="s">
        <v>52</v>
      </c>
      <c r="C100" s="13" t="s">
        <v>169</v>
      </c>
      <c r="D100" s="12" t="s">
        <v>58</v>
      </c>
      <c r="E100" s="10" t="s">
        <v>68</v>
      </c>
      <c r="F100" s="14"/>
      <c r="G100" s="15">
        <v>199000</v>
      </c>
      <c r="I100" s="14">
        <f t="shared" si="1"/>
        <v>134.91525423728814</v>
      </c>
      <c r="J100" s="14">
        <f>Tabla13[[#This Row],[Precio final en USD]]*$P$4</f>
        <v>215.86440677966104</v>
      </c>
    </row>
    <row r="101" spans="1:10" x14ac:dyDescent="0.2">
      <c r="A101" s="11">
        <v>10165</v>
      </c>
      <c r="B101" s="12" t="s">
        <v>52</v>
      </c>
      <c r="C101" s="13" t="s">
        <v>170</v>
      </c>
      <c r="D101" s="12" t="s">
        <v>54</v>
      </c>
      <c r="E101" s="10" t="s">
        <v>89</v>
      </c>
      <c r="F101" s="14"/>
      <c r="G101" s="15">
        <v>30000</v>
      </c>
      <c r="H101" s="21"/>
      <c r="I101" s="14">
        <f t="shared" si="1"/>
        <v>20.338983050847457</v>
      </c>
      <c r="J101" s="14">
        <f>Tabla13[[#This Row],[Precio final en USD]]*$P$4</f>
        <v>32.542372881355931</v>
      </c>
    </row>
    <row r="102" spans="1:10" x14ac:dyDescent="0.2">
      <c r="A102" s="11">
        <v>10168</v>
      </c>
      <c r="B102" s="12" t="s">
        <v>52</v>
      </c>
      <c r="C102" s="13" t="s">
        <v>171</v>
      </c>
      <c r="D102" s="12" t="s">
        <v>54</v>
      </c>
      <c r="E102" s="10" t="s">
        <v>172</v>
      </c>
      <c r="F102" s="14">
        <v>100.71</v>
      </c>
      <c r="G102" s="15"/>
      <c r="H102" s="21"/>
      <c r="I102" s="14">
        <f t="shared" si="1"/>
        <v>100.71</v>
      </c>
      <c r="J102" s="14">
        <f>Tabla13[[#This Row],[Precio final en USD]]*$P$4</f>
        <v>161.136</v>
      </c>
    </row>
    <row r="103" spans="1:10" x14ac:dyDescent="0.2">
      <c r="A103" s="11">
        <v>10169</v>
      </c>
      <c r="B103" s="12" t="s">
        <v>52</v>
      </c>
      <c r="C103" s="13" t="s">
        <v>173</v>
      </c>
      <c r="D103" s="12" t="s">
        <v>54</v>
      </c>
      <c r="E103" s="10" t="s">
        <v>172</v>
      </c>
      <c r="F103" s="14"/>
      <c r="G103" s="15">
        <v>40000</v>
      </c>
      <c r="H103" s="21"/>
      <c r="I103" s="14">
        <f t="shared" si="1"/>
        <v>27.118644067796609</v>
      </c>
      <c r="J103" s="14">
        <f>Tabla13[[#This Row],[Precio final en USD]]*$P$4</f>
        <v>43.389830508474574</v>
      </c>
    </row>
    <row r="104" spans="1:10" x14ac:dyDescent="0.2">
      <c r="A104" s="11">
        <v>10172</v>
      </c>
      <c r="B104" s="12" t="s">
        <v>52</v>
      </c>
      <c r="C104" s="13" t="s">
        <v>174</v>
      </c>
      <c r="D104" s="12" t="s">
        <v>54</v>
      </c>
      <c r="E104" s="10" t="s">
        <v>89</v>
      </c>
      <c r="F104" s="14"/>
      <c r="G104" s="15">
        <v>25563</v>
      </c>
      <c r="H104" s="21"/>
      <c r="I104" s="14">
        <f t="shared" si="1"/>
        <v>17.330847457627119</v>
      </c>
      <c r="J104" s="14">
        <f>Tabla13[[#This Row],[Precio final en USD]]*$P$4</f>
        <v>27.72935593220339</v>
      </c>
    </row>
    <row r="105" spans="1:10" x14ac:dyDescent="0.2">
      <c r="A105" s="11">
        <v>10173</v>
      </c>
      <c r="B105" s="12" t="s">
        <v>52</v>
      </c>
      <c r="C105" s="13" t="s">
        <v>175</v>
      </c>
      <c r="D105" s="12" t="s">
        <v>54</v>
      </c>
      <c r="E105" s="10" t="s">
        <v>89</v>
      </c>
      <c r="F105" s="14"/>
      <c r="G105" s="15">
        <v>22745</v>
      </c>
      <c r="H105" s="21"/>
      <c r="I105" s="14">
        <f t="shared" si="1"/>
        <v>15.420338983050847</v>
      </c>
      <c r="J105" s="14">
        <f>Tabla13[[#This Row],[Precio final en USD]]*$P$4</f>
        <v>24.672542372881356</v>
      </c>
    </row>
    <row r="106" spans="1:10" x14ac:dyDescent="0.2">
      <c r="A106" s="11">
        <v>10174</v>
      </c>
      <c r="B106" s="12" t="s">
        <v>52</v>
      </c>
      <c r="C106" s="13" t="s">
        <v>176</v>
      </c>
      <c r="D106" s="12" t="s">
        <v>54</v>
      </c>
      <c r="E106" s="10" t="s">
        <v>89</v>
      </c>
      <c r="F106" s="14"/>
      <c r="G106" s="15">
        <v>22745</v>
      </c>
      <c r="H106" s="21"/>
      <c r="I106" s="14">
        <f t="shared" si="1"/>
        <v>15.420338983050847</v>
      </c>
      <c r="J106" s="14">
        <f>Tabla13[[#This Row],[Precio final en USD]]*$P$4</f>
        <v>24.672542372881356</v>
      </c>
    </row>
    <row r="107" spans="1:10" x14ac:dyDescent="0.2">
      <c r="A107" s="11">
        <v>10175</v>
      </c>
      <c r="B107" s="12" t="s">
        <v>52</v>
      </c>
      <c r="C107" s="13" t="s">
        <v>177</v>
      </c>
      <c r="D107" s="12" t="s">
        <v>54</v>
      </c>
      <c r="E107" s="10" t="s">
        <v>89</v>
      </c>
      <c r="F107" s="14"/>
      <c r="G107" s="15">
        <v>13944</v>
      </c>
      <c r="H107" s="21"/>
      <c r="I107" s="14">
        <f t="shared" si="1"/>
        <v>9.4535593220338985</v>
      </c>
      <c r="J107" s="14">
        <f>Tabla13[[#This Row],[Precio final en USD]]*$P$4</f>
        <v>15.125694915254238</v>
      </c>
    </row>
    <row r="108" spans="1:10" x14ac:dyDescent="0.2">
      <c r="A108" s="11">
        <v>10181</v>
      </c>
      <c r="B108" s="12" t="s">
        <v>52</v>
      </c>
      <c r="C108" s="13" t="s">
        <v>178</v>
      </c>
      <c r="D108" s="12" t="s">
        <v>54</v>
      </c>
      <c r="E108" s="10" t="s">
        <v>89</v>
      </c>
      <c r="F108" s="14"/>
      <c r="G108" s="15">
        <v>600</v>
      </c>
      <c r="H108" s="21"/>
      <c r="I108" s="14">
        <f t="shared" si="1"/>
        <v>0.40677966101694918</v>
      </c>
      <c r="J108" s="14">
        <f>Tabla13[[#This Row],[Precio final en USD]]*$P$4</f>
        <v>0.65084745762711871</v>
      </c>
    </row>
    <row r="109" spans="1:10" x14ac:dyDescent="0.2">
      <c r="A109" s="11">
        <v>10182</v>
      </c>
      <c r="B109" s="12" t="s">
        <v>52</v>
      </c>
      <c r="C109" s="13" t="s">
        <v>179</v>
      </c>
      <c r="D109" s="12" t="s">
        <v>54</v>
      </c>
      <c r="E109" s="10" t="s">
        <v>89</v>
      </c>
      <c r="F109" s="14"/>
      <c r="G109" s="15">
        <v>27025</v>
      </c>
      <c r="H109" s="21"/>
      <c r="I109" s="14">
        <f t="shared" si="1"/>
        <v>18.322033898305083</v>
      </c>
      <c r="J109" s="14">
        <f>Tabla13[[#This Row],[Precio final en USD]]*$P$4</f>
        <v>29.315254237288134</v>
      </c>
    </row>
    <row r="110" spans="1:10" x14ac:dyDescent="0.2">
      <c r="A110" s="11">
        <v>10183</v>
      </c>
      <c r="B110" s="12" t="s">
        <v>52</v>
      </c>
      <c r="C110" s="13" t="s">
        <v>180</v>
      </c>
      <c r="D110" s="12" t="s">
        <v>54</v>
      </c>
      <c r="E110" s="10" t="s">
        <v>89</v>
      </c>
      <c r="F110" s="14"/>
      <c r="G110" s="15">
        <v>29999</v>
      </c>
      <c r="H110" s="21"/>
      <c r="I110" s="14">
        <f t="shared" si="1"/>
        <v>20.338305084745762</v>
      </c>
      <c r="J110" s="14">
        <f>Tabla13[[#This Row],[Precio final en USD]]*$P$4</f>
        <v>32.54128813559322</v>
      </c>
    </row>
    <row r="111" spans="1:10" x14ac:dyDescent="0.2">
      <c r="A111" s="11">
        <v>10187</v>
      </c>
      <c r="B111" s="12" t="s">
        <v>52</v>
      </c>
      <c r="C111" s="13" t="s">
        <v>181</v>
      </c>
      <c r="D111" s="12" t="s">
        <v>54</v>
      </c>
      <c r="E111" s="10" t="s">
        <v>89</v>
      </c>
      <c r="F111" s="14"/>
      <c r="G111" s="15">
        <v>15000</v>
      </c>
      <c r="H111" s="21"/>
      <c r="I111" s="14">
        <f t="shared" si="1"/>
        <v>10.169491525423728</v>
      </c>
      <c r="J111" s="14">
        <f>Tabla13[[#This Row],[Precio final en USD]]*$P$4</f>
        <v>16.271186440677965</v>
      </c>
    </row>
    <row r="112" spans="1:10" x14ac:dyDescent="0.2">
      <c r="A112" s="11">
        <v>10188</v>
      </c>
      <c r="B112" s="12" t="s">
        <v>52</v>
      </c>
      <c r="C112" s="13" t="s">
        <v>18</v>
      </c>
      <c r="D112" s="12" t="s">
        <v>54</v>
      </c>
      <c r="E112" s="10" t="s">
        <v>68</v>
      </c>
      <c r="F112" s="14"/>
      <c r="G112" s="15">
        <v>21000</v>
      </c>
      <c r="H112" s="21"/>
      <c r="I112" s="14">
        <f t="shared" si="1"/>
        <v>14.23728813559322</v>
      </c>
      <c r="J112" s="14">
        <f>Tabla13[[#This Row],[Precio final en USD]]*$P$4</f>
        <v>22.779661016949152</v>
      </c>
    </row>
    <row r="113" spans="1:14" x14ac:dyDescent="0.2">
      <c r="A113" s="12">
        <v>10189</v>
      </c>
      <c r="B113" s="11" t="s">
        <v>52</v>
      </c>
      <c r="C113" s="13" t="s">
        <v>182</v>
      </c>
      <c r="D113" s="12" t="s">
        <v>58</v>
      </c>
      <c r="E113" s="10" t="s">
        <v>84</v>
      </c>
      <c r="F113" s="14"/>
      <c r="G113" s="15"/>
      <c r="H113" s="10">
        <v>468.31</v>
      </c>
      <c r="I113" s="14">
        <f t="shared" si="1"/>
        <v>544.50959322033907</v>
      </c>
      <c r="J113" s="14">
        <f>Tabla13[[#This Row],[Precio final en USD]]*$P$4</f>
        <v>871.21534915254256</v>
      </c>
    </row>
    <row r="114" spans="1:14" x14ac:dyDescent="0.2">
      <c r="A114" s="11">
        <v>10190</v>
      </c>
      <c r="B114" s="12" t="s">
        <v>52</v>
      </c>
      <c r="C114" s="13" t="s">
        <v>183</v>
      </c>
      <c r="D114" s="12" t="s">
        <v>54</v>
      </c>
      <c r="E114" s="10" t="s">
        <v>84</v>
      </c>
      <c r="F114" s="14"/>
      <c r="G114" s="15"/>
      <c r="H114" s="23">
        <v>60.98</v>
      </c>
      <c r="I114" s="14">
        <f t="shared" si="1"/>
        <v>70.902169491525427</v>
      </c>
      <c r="J114" s="14">
        <f>Tabla13[[#This Row],[Precio final en USD]]*$P$4</f>
        <v>113.44347118644069</v>
      </c>
    </row>
    <row r="115" spans="1:14" x14ac:dyDescent="0.2">
      <c r="A115" s="11">
        <v>10191</v>
      </c>
      <c r="B115" s="12" t="s">
        <v>52</v>
      </c>
      <c r="C115" s="13" t="s">
        <v>184</v>
      </c>
      <c r="D115" s="12" t="s">
        <v>54</v>
      </c>
      <c r="E115" s="10" t="s">
        <v>84</v>
      </c>
      <c r="F115" s="14"/>
      <c r="G115" s="15"/>
      <c r="H115" s="21">
        <v>286.67</v>
      </c>
      <c r="I115" s="14">
        <f t="shared" si="1"/>
        <v>333.31461016949157</v>
      </c>
      <c r="J115" s="14">
        <f>Tabla13[[#This Row],[Precio final en USD]]*$P$4</f>
        <v>533.30337627118649</v>
      </c>
    </row>
    <row r="116" spans="1:14" x14ac:dyDescent="0.2">
      <c r="A116" s="11">
        <v>10193</v>
      </c>
      <c r="B116" s="12" t="s">
        <v>52</v>
      </c>
      <c r="C116" s="13" t="s">
        <v>185</v>
      </c>
      <c r="D116" s="12" t="s">
        <v>54</v>
      </c>
      <c r="E116" s="10" t="s">
        <v>84</v>
      </c>
      <c r="F116" s="14"/>
      <c r="G116" s="15"/>
      <c r="H116" s="21">
        <v>375.16</v>
      </c>
      <c r="I116" s="14">
        <f t="shared" si="1"/>
        <v>436.20298305084754</v>
      </c>
      <c r="J116" s="14">
        <f>Tabla13[[#This Row],[Precio final en USD]]*$P$4</f>
        <v>697.92477288135615</v>
      </c>
    </row>
    <row r="117" spans="1:14" x14ac:dyDescent="0.2">
      <c r="A117" s="12">
        <v>10194</v>
      </c>
      <c r="B117" s="11" t="s">
        <v>52</v>
      </c>
      <c r="C117" s="13" t="s">
        <v>186</v>
      </c>
      <c r="D117" s="12" t="s">
        <v>58</v>
      </c>
      <c r="E117" s="10" t="s">
        <v>84</v>
      </c>
      <c r="F117" s="14"/>
      <c r="G117" s="15"/>
      <c r="H117" s="10">
        <v>94.62</v>
      </c>
      <c r="I117" s="14">
        <f t="shared" si="1"/>
        <v>110.0157966101695</v>
      </c>
      <c r="J117" s="14">
        <f>Tabla13[[#This Row],[Precio final en USD]]*$P$4</f>
        <v>176.02527457627122</v>
      </c>
    </row>
    <row r="118" spans="1:14" x14ac:dyDescent="0.2">
      <c r="A118" s="11">
        <v>10199</v>
      </c>
      <c r="B118" s="12" t="s">
        <v>52</v>
      </c>
      <c r="C118" s="13" t="s">
        <v>187</v>
      </c>
      <c r="D118" s="12" t="s">
        <v>54</v>
      </c>
      <c r="E118" s="10" t="s">
        <v>84</v>
      </c>
      <c r="F118" s="14"/>
      <c r="G118" s="15"/>
      <c r="H118" s="21">
        <v>503.66</v>
      </c>
      <c r="I118" s="14">
        <f t="shared" si="1"/>
        <v>585.61145762711874</v>
      </c>
      <c r="J118" s="14">
        <f>Tabla13[[#This Row],[Precio final en USD]]*$P$4</f>
        <v>936.97833220338998</v>
      </c>
    </row>
    <row r="119" spans="1:14" x14ac:dyDescent="0.2">
      <c r="A119" s="12">
        <v>10200</v>
      </c>
      <c r="B119" s="11" t="s">
        <v>52</v>
      </c>
      <c r="C119" s="13" t="s">
        <v>188</v>
      </c>
      <c r="D119" s="12" t="s">
        <v>58</v>
      </c>
      <c r="E119" s="10" t="s">
        <v>59</v>
      </c>
      <c r="F119" s="14"/>
      <c r="G119" s="15"/>
      <c r="I119" s="14" t="str">
        <f t="shared" si="1"/>
        <v/>
      </c>
      <c r="J119" s="14" t="e">
        <f>Tabla13[[#This Row],[Precio final en USD]]*$P$4</f>
        <v>#VALUE!</v>
      </c>
      <c r="K119" s="10" t="s">
        <v>60</v>
      </c>
    </row>
    <row r="120" spans="1:14" x14ac:dyDescent="0.2">
      <c r="A120" s="11">
        <v>10202</v>
      </c>
      <c r="B120" s="12" t="s">
        <v>52</v>
      </c>
      <c r="C120" s="13" t="s">
        <v>189</v>
      </c>
      <c r="D120" s="12" t="s">
        <v>54</v>
      </c>
      <c r="E120" s="10" t="s">
        <v>68</v>
      </c>
      <c r="F120" s="14"/>
      <c r="G120" s="15">
        <v>20000</v>
      </c>
      <c r="H120" s="21"/>
      <c r="I120" s="14">
        <f t="shared" si="1"/>
        <v>13.559322033898304</v>
      </c>
      <c r="J120" s="14">
        <f>Tabla13[[#This Row],[Precio final en USD]]*$P$4</f>
        <v>21.694915254237287</v>
      </c>
    </row>
    <row r="121" spans="1:14" x14ac:dyDescent="0.2">
      <c r="A121" s="11">
        <v>10205</v>
      </c>
      <c r="B121" s="12" t="s">
        <v>52</v>
      </c>
      <c r="C121" s="13" t="s">
        <v>190</v>
      </c>
      <c r="D121" s="12" t="s">
        <v>54</v>
      </c>
      <c r="E121" s="10" t="s">
        <v>68</v>
      </c>
      <c r="F121" s="14"/>
      <c r="G121" s="15">
        <v>190000</v>
      </c>
      <c r="H121" s="21"/>
      <c r="I121" s="14">
        <f t="shared" si="1"/>
        <v>128.81355932203391</v>
      </c>
      <c r="J121" s="14">
        <f>Tabla13[[#This Row],[Precio final en USD]]*$P$4</f>
        <v>206.10169491525426</v>
      </c>
      <c r="N121" s="21"/>
    </row>
    <row r="122" spans="1:14" x14ac:dyDescent="0.2">
      <c r="A122" s="11">
        <v>10206</v>
      </c>
      <c r="B122" s="12" t="s">
        <v>52</v>
      </c>
      <c r="C122" s="13" t="s">
        <v>191</v>
      </c>
      <c r="D122" s="12" t="s">
        <v>54</v>
      </c>
      <c r="E122" s="10" t="s">
        <v>68</v>
      </c>
      <c r="F122" s="14"/>
      <c r="G122" s="15">
        <v>132000</v>
      </c>
      <c r="H122" s="21"/>
      <c r="I122" s="14">
        <f t="shared" si="1"/>
        <v>89.491525423728817</v>
      </c>
      <c r="J122" s="14">
        <f>Tabla13[[#This Row],[Precio final en USD]]*$P$4</f>
        <v>143.18644067796612</v>
      </c>
    </row>
    <row r="123" spans="1:14" x14ac:dyDescent="0.2">
      <c r="A123" s="11">
        <v>10207</v>
      </c>
      <c r="B123" s="12" t="s">
        <v>52</v>
      </c>
      <c r="C123" s="13" t="s">
        <v>192</v>
      </c>
      <c r="D123" s="12" t="s">
        <v>54</v>
      </c>
      <c r="E123" s="10" t="s">
        <v>172</v>
      </c>
      <c r="F123" s="14"/>
      <c r="G123" s="15">
        <v>40000</v>
      </c>
      <c r="H123" s="21"/>
      <c r="I123" s="14">
        <f t="shared" si="1"/>
        <v>27.118644067796609</v>
      </c>
      <c r="J123" s="14">
        <f>Tabla13[[#This Row],[Precio final en USD]]*$P$4</f>
        <v>43.389830508474574</v>
      </c>
    </row>
    <row r="124" spans="1:14" x14ac:dyDescent="0.2">
      <c r="A124" s="12">
        <v>10208</v>
      </c>
      <c r="B124" s="11" t="s">
        <v>52</v>
      </c>
      <c r="C124" s="24" t="s">
        <v>193</v>
      </c>
      <c r="D124" s="12" t="s">
        <v>58</v>
      </c>
      <c r="E124" s="10" t="s">
        <v>84</v>
      </c>
      <c r="F124" s="14"/>
      <c r="G124" s="15"/>
      <c r="H124" s="10">
        <v>38.81</v>
      </c>
      <c r="I124" s="14">
        <f t="shared" si="1"/>
        <v>45.124847457627126</v>
      </c>
      <c r="J124" s="14">
        <f>Tabla13[[#This Row],[Precio final en USD]]*$P$4</f>
        <v>72.199755932203402</v>
      </c>
    </row>
    <row r="125" spans="1:14" x14ac:dyDescent="0.2">
      <c r="A125" s="11">
        <v>10216</v>
      </c>
      <c r="B125" s="12" t="s">
        <v>52</v>
      </c>
      <c r="C125" s="13" t="s">
        <v>194</v>
      </c>
      <c r="D125" s="12" t="s">
        <v>54</v>
      </c>
      <c r="E125" s="10" t="s">
        <v>89</v>
      </c>
      <c r="F125" s="14"/>
      <c r="G125" s="15">
        <v>3009</v>
      </c>
      <c r="H125" s="21"/>
      <c r="I125" s="14">
        <f t="shared" si="1"/>
        <v>2.04</v>
      </c>
      <c r="J125" s="14">
        <f>Tabla13[[#This Row],[Precio final en USD]]*$P$4</f>
        <v>3.2640000000000002</v>
      </c>
      <c r="K125" s="10" t="s">
        <v>195</v>
      </c>
    </row>
    <row r="126" spans="1:14" x14ac:dyDescent="0.2">
      <c r="A126" s="11">
        <v>10217</v>
      </c>
      <c r="B126" s="12" t="s">
        <v>52</v>
      </c>
      <c r="C126" s="13" t="s">
        <v>196</v>
      </c>
      <c r="D126" s="12" t="s">
        <v>54</v>
      </c>
      <c r="E126" s="10" t="s">
        <v>68</v>
      </c>
      <c r="F126" s="14"/>
      <c r="G126" s="15">
        <v>31000</v>
      </c>
      <c r="H126" s="21"/>
      <c r="I126" s="14">
        <f t="shared" si="1"/>
        <v>21.016949152542374</v>
      </c>
      <c r="J126" s="14">
        <f>Tabla13[[#This Row],[Precio final en USD]]*$P$4</f>
        <v>33.627118644067799</v>
      </c>
    </row>
    <row r="127" spans="1:14" x14ac:dyDescent="0.2">
      <c r="A127" s="11">
        <v>10218</v>
      </c>
      <c r="B127" s="12" t="s">
        <v>52</v>
      </c>
      <c r="C127" s="13" t="s">
        <v>197</v>
      </c>
      <c r="D127" s="12" t="s">
        <v>54</v>
      </c>
      <c r="E127" s="10" t="s">
        <v>68</v>
      </c>
      <c r="F127" s="14"/>
      <c r="G127" s="15">
        <v>31000</v>
      </c>
      <c r="H127" s="21"/>
      <c r="I127" s="14">
        <f t="shared" si="1"/>
        <v>21.016949152542374</v>
      </c>
      <c r="J127" s="14">
        <f>Tabla13[[#This Row],[Precio final en USD]]*$P$4</f>
        <v>33.627118644067799</v>
      </c>
    </row>
    <row r="128" spans="1:14" x14ac:dyDescent="0.2">
      <c r="A128" s="11">
        <v>10219</v>
      </c>
      <c r="B128" s="12" t="s">
        <v>52</v>
      </c>
      <c r="C128" s="13" t="s">
        <v>198</v>
      </c>
      <c r="D128" s="12" t="s">
        <v>54</v>
      </c>
      <c r="E128" s="10" t="s">
        <v>68</v>
      </c>
      <c r="F128" s="14"/>
      <c r="G128" s="15">
        <v>40000</v>
      </c>
      <c r="H128" s="21"/>
      <c r="I128" s="14">
        <f t="shared" si="1"/>
        <v>27.118644067796609</v>
      </c>
      <c r="J128" s="14">
        <f>Tabla13[[#This Row],[Precio final en USD]]*$P$4</f>
        <v>43.389830508474574</v>
      </c>
    </row>
    <row r="129" spans="1:11" x14ac:dyDescent="0.2">
      <c r="A129" s="11">
        <v>10220</v>
      </c>
      <c r="B129" s="12" t="s">
        <v>52</v>
      </c>
      <c r="C129" s="13" t="s">
        <v>199</v>
      </c>
      <c r="D129" s="12" t="s">
        <v>54</v>
      </c>
      <c r="E129" s="10" t="s">
        <v>68</v>
      </c>
      <c r="F129" s="14"/>
      <c r="G129" s="15">
        <v>40000</v>
      </c>
      <c r="H129" s="21"/>
      <c r="I129" s="14">
        <f t="shared" si="1"/>
        <v>27.118644067796609</v>
      </c>
      <c r="J129" s="14">
        <f>Tabla13[[#This Row],[Precio final en USD]]*$P$4</f>
        <v>43.389830508474574</v>
      </c>
    </row>
    <row r="130" spans="1:11" x14ac:dyDescent="0.2">
      <c r="A130" s="11">
        <v>10221</v>
      </c>
      <c r="B130" s="12" t="s">
        <v>52</v>
      </c>
      <c r="C130" s="13" t="s">
        <v>200</v>
      </c>
      <c r="D130" s="12" t="s">
        <v>54</v>
      </c>
      <c r="E130" s="10" t="s">
        <v>68</v>
      </c>
      <c r="F130" s="14"/>
      <c r="G130" s="15">
        <v>46000</v>
      </c>
      <c r="H130" s="21"/>
      <c r="I130" s="14">
        <f t="shared" ref="I130:I193" si="2">IF(AND(F130="",G130="",H130=""),"",IF(F130&lt;&gt;"",F130,IF(G130&lt;&gt;"",G130/$O$1,IF(H130&lt;&gt;"",H130*$O$2,"ver"))))</f>
        <v>31.1864406779661</v>
      </c>
      <c r="J130" s="14">
        <f>Tabla13[[#This Row],[Precio final en USD]]*$P$4</f>
        <v>49.898305084745765</v>
      </c>
    </row>
    <row r="131" spans="1:11" x14ac:dyDescent="0.2">
      <c r="A131" s="11">
        <v>10222</v>
      </c>
      <c r="B131" s="12" t="s">
        <v>52</v>
      </c>
      <c r="C131" s="13" t="s">
        <v>201</v>
      </c>
      <c r="D131" s="12" t="s">
        <v>54</v>
      </c>
      <c r="E131" s="10" t="s">
        <v>68</v>
      </c>
      <c r="F131" s="14"/>
      <c r="G131" s="15">
        <v>14000</v>
      </c>
      <c r="H131" s="21"/>
      <c r="I131" s="14">
        <f t="shared" si="2"/>
        <v>9.4915254237288131</v>
      </c>
      <c r="J131" s="14">
        <f>Tabla13[[#This Row],[Precio final en USD]]*$P$4</f>
        <v>15.186440677966102</v>
      </c>
    </row>
    <row r="132" spans="1:11" x14ac:dyDescent="0.2">
      <c r="A132" s="11">
        <v>10223</v>
      </c>
      <c r="B132" s="12" t="s">
        <v>52</v>
      </c>
      <c r="C132" s="13" t="s">
        <v>202</v>
      </c>
      <c r="D132" s="12" t="s">
        <v>54</v>
      </c>
      <c r="E132" s="10" t="s">
        <v>59</v>
      </c>
      <c r="F132" s="14">
        <v>0</v>
      </c>
      <c r="G132" s="15"/>
      <c r="H132" s="21"/>
      <c r="I132" s="14">
        <f t="shared" si="2"/>
        <v>0</v>
      </c>
      <c r="J132" s="14">
        <f>Tabla13[[#This Row],[Precio final en USD]]*$P$4</f>
        <v>0</v>
      </c>
    </row>
    <row r="133" spans="1:11" x14ac:dyDescent="0.2">
      <c r="A133" s="12">
        <v>10223</v>
      </c>
      <c r="B133" s="11" t="s">
        <v>52</v>
      </c>
      <c r="C133" s="13" t="s">
        <v>202</v>
      </c>
      <c r="D133" s="12" t="s">
        <v>58</v>
      </c>
      <c r="E133" s="10" t="s">
        <v>59</v>
      </c>
      <c r="F133" s="14"/>
      <c r="G133" s="15"/>
      <c r="I133" s="14" t="str">
        <f t="shared" si="2"/>
        <v/>
      </c>
      <c r="J133" s="14" t="e">
        <f>Tabla13[[#This Row],[Precio final en USD]]*$P$4</f>
        <v>#VALUE!</v>
      </c>
      <c r="K133" s="10" t="s">
        <v>60</v>
      </c>
    </row>
    <row r="134" spans="1:11" x14ac:dyDescent="0.2">
      <c r="A134" s="11">
        <v>10225</v>
      </c>
      <c r="B134" s="12" t="s">
        <v>52</v>
      </c>
      <c r="C134" s="13" t="s">
        <v>203</v>
      </c>
      <c r="D134" s="12" t="s">
        <v>54</v>
      </c>
      <c r="E134" s="10" t="s">
        <v>89</v>
      </c>
      <c r="F134" s="14"/>
      <c r="G134" s="15">
        <v>24585</v>
      </c>
      <c r="H134" s="21"/>
      <c r="I134" s="14">
        <f t="shared" si="2"/>
        <v>16.667796610169493</v>
      </c>
      <c r="J134" s="14">
        <f>Tabla13[[#This Row],[Precio final en USD]]*$P$4</f>
        <v>26.668474576271191</v>
      </c>
    </row>
    <row r="135" spans="1:11" x14ac:dyDescent="0.2">
      <c r="A135" s="11">
        <v>10226</v>
      </c>
      <c r="B135" s="12" t="s">
        <v>52</v>
      </c>
      <c r="C135" s="13" t="s">
        <v>204</v>
      </c>
      <c r="D135" s="12" t="s">
        <v>54</v>
      </c>
      <c r="E135" s="10" t="s">
        <v>89</v>
      </c>
      <c r="F135" s="14"/>
      <c r="G135" s="15">
        <v>14350</v>
      </c>
      <c r="H135" s="21"/>
      <c r="I135" s="14">
        <f t="shared" si="2"/>
        <v>9.7288135593220346</v>
      </c>
      <c r="J135" s="14">
        <f>Tabla13[[#This Row],[Precio final en USD]]*$P$4</f>
        <v>15.566101694915256</v>
      </c>
    </row>
    <row r="136" spans="1:11" x14ac:dyDescent="0.2">
      <c r="A136" s="11">
        <v>10228</v>
      </c>
      <c r="B136" s="12" t="s">
        <v>52</v>
      </c>
      <c r="C136" s="13" t="s">
        <v>205</v>
      </c>
      <c r="D136" s="12" t="s">
        <v>54</v>
      </c>
      <c r="E136" s="10" t="s">
        <v>89</v>
      </c>
      <c r="F136" s="14"/>
      <c r="G136" s="15">
        <v>6500</v>
      </c>
      <c r="H136" s="21"/>
      <c r="I136" s="14">
        <f t="shared" si="2"/>
        <v>4.406779661016949</v>
      </c>
      <c r="J136" s="14">
        <f>Tabla13[[#This Row],[Precio final en USD]]*$P$4</f>
        <v>7.0508474576271185</v>
      </c>
    </row>
    <row r="137" spans="1:11" x14ac:dyDescent="0.2">
      <c r="A137" s="11">
        <v>10229</v>
      </c>
      <c r="B137" s="12" t="s">
        <v>52</v>
      </c>
      <c r="C137" s="13" t="s">
        <v>206</v>
      </c>
      <c r="D137" s="12" t="s">
        <v>54</v>
      </c>
      <c r="E137" s="10" t="s">
        <v>89</v>
      </c>
      <c r="F137" s="14"/>
      <c r="G137" s="15">
        <v>11107</v>
      </c>
      <c r="H137" s="21"/>
      <c r="I137" s="14">
        <f t="shared" si="2"/>
        <v>7.5301694915254238</v>
      </c>
      <c r="J137" s="14">
        <f>Tabla13[[#This Row],[Precio final en USD]]*$P$4</f>
        <v>12.04827118644068</v>
      </c>
    </row>
    <row r="138" spans="1:11" x14ac:dyDescent="0.2">
      <c r="A138" s="11">
        <v>10231</v>
      </c>
      <c r="B138" s="12" t="s">
        <v>52</v>
      </c>
      <c r="C138" s="13" t="s">
        <v>207</v>
      </c>
      <c r="D138" s="12" t="s">
        <v>54</v>
      </c>
      <c r="E138" s="10" t="s">
        <v>89</v>
      </c>
      <c r="F138" s="14"/>
      <c r="G138" s="15">
        <v>50000</v>
      </c>
      <c r="H138" s="21"/>
      <c r="I138" s="14">
        <f t="shared" si="2"/>
        <v>33.898305084745765</v>
      </c>
      <c r="J138" s="14">
        <f>Tabla13[[#This Row],[Precio final en USD]]*$P$4</f>
        <v>54.237288135593225</v>
      </c>
    </row>
    <row r="139" spans="1:11" x14ac:dyDescent="0.2">
      <c r="A139" s="11">
        <v>10236</v>
      </c>
      <c r="B139" s="12" t="s">
        <v>52</v>
      </c>
      <c r="C139" s="13" t="s">
        <v>208</v>
      </c>
      <c r="D139" s="12" t="s">
        <v>54</v>
      </c>
      <c r="E139" s="10" t="s">
        <v>89</v>
      </c>
      <c r="F139" s="14"/>
      <c r="G139" s="15">
        <v>24585</v>
      </c>
      <c r="H139" s="21"/>
      <c r="I139" s="14">
        <f t="shared" si="2"/>
        <v>16.667796610169493</v>
      </c>
      <c r="J139" s="14">
        <f>Tabla13[[#This Row],[Precio final en USD]]*$P$4</f>
        <v>26.668474576271191</v>
      </c>
    </row>
    <row r="140" spans="1:11" x14ac:dyDescent="0.2">
      <c r="A140" s="11">
        <v>10238</v>
      </c>
      <c r="B140" s="12" t="s">
        <v>52</v>
      </c>
      <c r="C140" s="13" t="s">
        <v>209</v>
      </c>
      <c r="D140" s="12" t="s">
        <v>54</v>
      </c>
      <c r="E140" s="10" t="s">
        <v>78</v>
      </c>
      <c r="F140" s="14">
        <v>158</v>
      </c>
      <c r="G140" s="15"/>
      <c r="H140" s="21"/>
      <c r="I140" s="14">
        <f t="shared" si="2"/>
        <v>158</v>
      </c>
      <c r="J140" s="14">
        <f>Tabla13[[#This Row],[Precio final en USD]]*$P$4</f>
        <v>252.8</v>
      </c>
    </row>
    <row r="141" spans="1:11" x14ac:dyDescent="0.2">
      <c r="A141" s="11">
        <v>10240</v>
      </c>
      <c r="B141" s="12" t="s">
        <v>52</v>
      </c>
      <c r="C141" s="13" t="s">
        <v>210</v>
      </c>
      <c r="D141" s="12" t="s">
        <v>54</v>
      </c>
      <c r="E141" s="10" t="s">
        <v>84</v>
      </c>
      <c r="F141" s="14"/>
      <c r="G141" s="15"/>
      <c r="H141" s="21">
        <v>34</v>
      </c>
      <c r="I141" s="14">
        <f t="shared" si="2"/>
        <v>39.532203389830514</v>
      </c>
      <c r="J141" s="14">
        <f>Tabla13[[#This Row],[Precio final en USD]]*$P$4</f>
        <v>63.251525423728822</v>
      </c>
    </row>
    <row r="142" spans="1:11" x14ac:dyDescent="0.2">
      <c r="A142" s="11">
        <v>10241</v>
      </c>
      <c r="B142" s="12" t="s">
        <v>52</v>
      </c>
      <c r="C142" s="13" t="s">
        <v>211</v>
      </c>
      <c r="D142" s="12" t="s">
        <v>54</v>
      </c>
      <c r="E142" s="10" t="s">
        <v>68</v>
      </c>
      <c r="F142" s="14"/>
      <c r="G142" s="15">
        <v>50000</v>
      </c>
      <c r="H142" s="21"/>
      <c r="I142" s="14">
        <f t="shared" si="2"/>
        <v>33.898305084745765</v>
      </c>
      <c r="J142" s="14">
        <f>Tabla13[[#This Row],[Precio final en USD]]*$P$4</f>
        <v>54.237288135593225</v>
      </c>
    </row>
    <row r="143" spans="1:11" x14ac:dyDescent="0.2">
      <c r="A143" s="11">
        <v>10242</v>
      </c>
      <c r="B143" s="12" t="s">
        <v>52</v>
      </c>
      <c r="C143" s="13" t="s">
        <v>212</v>
      </c>
      <c r="D143" s="12" t="s">
        <v>54</v>
      </c>
      <c r="E143" s="10" t="s">
        <v>68</v>
      </c>
      <c r="F143" s="14"/>
      <c r="G143" s="15">
        <v>180000</v>
      </c>
      <c r="H143" s="21"/>
      <c r="I143" s="14">
        <f t="shared" si="2"/>
        <v>122.03389830508475</v>
      </c>
      <c r="J143" s="14">
        <f>Tabla13[[#This Row],[Precio final en USD]]*$P$4</f>
        <v>195.25423728813561</v>
      </c>
    </row>
    <row r="144" spans="1:11" x14ac:dyDescent="0.2">
      <c r="A144" s="11">
        <v>10253</v>
      </c>
      <c r="B144" s="12" t="s">
        <v>52</v>
      </c>
      <c r="C144" s="13" t="s">
        <v>213</v>
      </c>
      <c r="D144" s="12" t="s">
        <v>54</v>
      </c>
      <c r="E144" s="10" t="s">
        <v>68</v>
      </c>
      <c r="F144" s="14"/>
      <c r="G144" s="15">
        <v>28000</v>
      </c>
      <c r="H144" s="21"/>
      <c r="I144" s="14">
        <f t="shared" si="2"/>
        <v>18.983050847457626</v>
      </c>
      <c r="J144" s="14">
        <f>Tabla13[[#This Row],[Precio final en USD]]*$P$4</f>
        <v>30.372881355932204</v>
      </c>
    </row>
    <row r="145" spans="1:11" x14ac:dyDescent="0.2">
      <c r="A145" s="11">
        <v>10254</v>
      </c>
      <c r="B145" s="12" t="s">
        <v>52</v>
      </c>
      <c r="C145" s="13" t="s">
        <v>214</v>
      </c>
      <c r="D145" s="12" t="s">
        <v>54</v>
      </c>
      <c r="F145" s="14"/>
      <c r="G145" s="15">
        <v>0</v>
      </c>
      <c r="I145" s="14">
        <f t="shared" si="2"/>
        <v>0</v>
      </c>
      <c r="J145" s="14">
        <f>Tabla13[[#This Row],[Precio final en USD]]*$P$4</f>
        <v>0</v>
      </c>
      <c r="K145" s="10" t="s">
        <v>215</v>
      </c>
    </row>
    <row r="146" spans="1:11" x14ac:dyDescent="0.2">
      <c r="A146" s="11">
        <v>10256</v>
      </c>
      <c r="B146" s="12" t="s">
        <v>52</v>
      </c>
      <c r="C146" s="13" t="s">
        <v>216</v>
      </c>
      <c r="D146" s="12" t="s">
        <v>54</v>
      </c>
      <c r="E146" s="10" t="s">
        <v>84</v>
      </c>
      <c r="F146" s="14"/>
      <c r="G146" s="15"/>
      <c r="H146" s="21">
        <v>25.76</v>
      </c>
      <c r="I146" s="14">
        <f t="shared" si="2"/>
        <v>29.95145762711865</v>
      </c>
      <c r="J146" s="14">
        <f>Tabla13[[#This Row],[Precio final en USD]]*$P$4</f>
        <v>47.922332203389843</v>
      </c>
    </row>
    <row r="147" spans="1:11" x14ac:dyDescent="0.2">
      <c r="A147" s="11">
        <v>10258</v>
      </c>
      <c r="B147" s="12" t="s">
        <v>52</v>
      </c>
      <c r="C147" s="13" t="s">
        <v>217</v>
      </c>
      <c r="D147" s="12" t="s">
        <v>54</v>
      </c>
      <c r="E147" s="10" t="s">
        <v>218</v>
      </c>
      <c r="F147" s="14"/>
      <c r="G147" s="15"/>
      <c r="H147" s="21">
        <v>149.75</v>
      </c>
      <c r="I147" s="14">
        <f t="shared" si="2"/>
        <v>174.11610169491527</v>
      </c>
      <c r="J147" s="14">
        <f>Tabla13[[#This Row],[Precio final en USD]]*$P$4</f>
        <v>278.58576271186445</v>
      </c>
    </row>
    <row r="148" spans="1:11" x14ac:dyDescent="0.2">
      <c r="A148" s="11">
        <v>10259</v>
      </c>
      <c r="B148" s="12" t="s">
        <v>52</v>
      </c>
      <c r="C148" s="13" t="s">
        <v>219</v>
      </c>
      <c r="D148" s="12" t="s">
        <v>54</v>
      </c>
      <c r="E148" s="10" t="s">
        <v>218</v>
      </c>
      <c r="F148" s="14"/>
      <c r="G148" s="15"/>
      <c r="H148" s="21">
        <v>131.11000000000001</v>
      </c>
      <c r="I148" s="14">
        <f t="shared" si="2"/>
        <v>152.4431525423729</v>
      </c>
      <c r="J148" s="14">
        <f>Tabla13[[#This Row],[Precio final en USD]]*$P$4</f>
        <v>243.90904406779666</v>
      </c>
    </row>
    <row r="149" spans="1:11" x14ac:dyDescent="0.2">
      <c r="A149" s="11">
        <v>10262</v>
      </c>
      <c r="B149" s="12" t="s">
        <v>52</v>
      </c>
      <c r="C149" s="13" t="s">
        <v>220</v>
      </c>
      <c r="D149" s="12" t="s">
        <v>54</v>
      </c>
      <c r="E149" s="10" t="s">
        <v>68</v>
      </c>
      <c r="F149" s="14"/>
      <c r="G149" s="15">
        <v>43000</v>
      </c>
      <c r="H149" s="21"/>
      <c r="I149" s="14">
        <f t="shared" si="2"/>
        <v>29.152542372881356</v>
      </c>
      <c r="J149" s="14">
        <f>Tabla13[[#This Row],[Precio final en USD]]*$P$4</f>
        <v>46.644067796610173</v>
      </c>
    </row>
    <row r="150" spans="1:11" x14ac:dyDescent="0.2">
      <c r="A150" s="11">
        <v>10263</v>
      </c>
      <c r="B150" s="12" t="s">
        <v>52</v>
      </c>
      <c r="C150" s="13" t="s">
        <v>221</v>
      </c>
      <c r="D150" s="12" t="s">
        <v>54</v>
      </c>
      <c r="E150" s="10" t="s">
        <v>68</v>
      </c>
      <c r="F150" s="14"/>
      <c r="G150" s="15">
        <v>57000</v>
      </c>
      <c r="H150" s="21"/>
      <c r="I150" s="14">
        <f t="shared" si="2"/>
        <v>38.644067796610166</v>
      </c>
      <c r="J150" s="14">
        <f>Tabla13[[#This Row],[Precio final en USD]]*$P$4</f>
        <v>61.83050847457627</v>
      </c>
    </row>
    <row r="151" spans="1:11" x14ac:dyDescent="0.2">
      <c r="A151" s="11">
        <v>10264</v>
      </c>
      <c r="B151" s="12" t="s">
        <v>52</v>
      </c>
      <c r="C151" s="13" t="s">
        <v>222</v>
      </c>
      <c r="D151" s="12" t="s">
        <v>54</v>
      </c>
      <c r="E151" s="10" t="s">
        <v>68</v>
      </c>
      <c r="F151" s="14"/>
      <c r="G151" s="15">
        <v>62000</v>
      </c>
      <c r="H151" s="21"/>
      <c r="I151" s="14">
        <f t="shared" si="2"/>
        <v>42.033898305084747</v>
      </c>
      <c r="J151" s="14">
        <f>Tabla13[[#This Row],[Precio final en USD]]*$P$4</f>
        <v>67.254237288135599</v>
      </c>
    </row>
    <row r="152" spans="1:11" x14ac:dyDescent="0.2">
      <c r="A152" s="11">
        <v>10265</v>
      </c>
      <c r="B152" s="12" t="s">
        <v>52</v>
      </c>
      <c r="C152" s="13" t="s">
        <v>223</v>
      </c>
      <c r="D152" s="12" t="s">
        <v>54</v>
      </c>
      <c r="E152" s="10" t="s">
        <v>68</v>
      </c>
      <c r="F152" s="14"/>
      <c r="G152" s="15">
        <v>43000</v>
      </c>
      <c r="H152" s="21"/>
      <c r="I152" s="14">
        <f t="shared" si="2"/>
        <v>29.152542372881356</v>
      </c>
      <c r="J152" s="14">
        <f>Tabla13[[#This Row],[Precio final en USD]]*$P$4</f>
        <v>46.644067796610173</v>
      </c>
    </row>
    <row r="153" spans="1:11" x14ac:dyDescent="0.2">
      <c r="A153" s="11">
        <v>10266</v>
      </c>
      <c r="B153" s="12" t="s">
        <v>52</v>
      </c>
      <c r="C153" s="13" t="s">
        <v>224</v>
      </c>
      <c r="D153" s="12" t="s">
        <v>54</v>
      </c>
      <c r="E153" s="10" t="s">
        <v>68</v>
      </c>
      <c r="F153" s="14"/>
      <c r="G153" s="15">
        <v>75000</v>
      </c>
      <c r="H153" s="21"/>
      <c r="I153" s="14">
        <f t="shared" si="2"/>
        <v>50.847457627118644</v>
      </c>
      <c r="J153" s="14">
        <f>Tabla13[[#This Row],[Precio final en USD]]*$P$4</f>
        <v>81.355932203389841</v>
      </c>
    </row>
    <row r="154" spans="1:11" x14ac:dyDescent="0.2">
      <c r="A154" s="11">
        <v>10267</v>
      </c>
      <c r="B154" s="12" t="s">
        <v>52</v>
      </c>
      <c r="C154" s="13" t="s">
        <v>21</v>
      </c>
      <c r="D154" s="12" t="s">
        <v>54</v>
      </c>
      <c r="E154" s="10" t="s">
        <v>68</v>
      </c>
      <c r="F154" s="14"/>
      <c r="G154" s="15">
        <v>18000</v>
      </c>
      <c r="H154" s="21"/>
      <c r="I154" s="14">
        <f t="shared" si="2"/>
        <v>12.203389830508474</v>
      </c>
      <c r="J154" s="14">
        <f>Tabla13[[#This Row],[Precio final en USD]]*$P$4</f>
        <v>19.525423728813561</v>
      </c>
    </row>
    <row r="155" spans="1:11" x14ac:dyDescent="0.2">
      <c r="A155" s="11">
        <v>10269</v>
      </c>
      <c r="B155" s="12" t="s">
        <v>52</v>
      </c>
      <c r="C155" s="13" t="s">
        <v>225</v>
      </c>
      <c r="D155" s="12" t="s">
        <v>54</v>
      </c>
      <c r="E155" s="10" t="s">
        <v>59</v>
      </c>
      <c r="F155" s="14">
        <v>0</v>
      </c>
      <c r="G155" s="15"/>
      <c r="H155" s="21"/>
      <c r="I155" s="14">
        <f t="shared" si="2"/>
        <v>0</v>
      </c>
      <c r="J155" s="14">
        <f>Tabla13[[#This Row],[Precio final en USD]]*$P$4</f>
        <v>0</v>
      </c>
      <c r="K155" s="10" t="s">
        <v>60</v>
      </c>
    </row>
    <row r="156" spans="1:11" x14ac:dyDescent="0.2">
      <c r="A156" s="11">
        <v>10270</v>
      </c>
      <c r="B156" s="12" t="s">
        <v>52</v>
      </c>
      <c r="C156" s="13" t="s">
        <v>226</v>
      </c>
      <c r="D156" s="12" t="s">
        <v>54</v>
      </c>
      <c r="E156" s="25" t="s">
        <v>227</v>
      </c>
      <c r="F156" s="14"/>
      <c r="G156" s="15">
        <v>9135</v>
      </c>
      <c r="H156" s="21"/>
      <c r="I156" s="14">
        <f t="shared" si="2"/>
        <v>6.1932203389830507</v>
      </c>
      <c r="J156" s="14">
        <f>Tabla13[[#This Row],[Precio final en USD]]*$P$4</f>
        <v>9.9091525423728815</v>
      </c>
    </row>
    <row r="157" spans="1:11" x14ac:dyDescent="0.2">
      <c r="A157" s="11">
        <v>10281</v>
      </c>
      <c r="B157" s="12" t="s">
        <v>52</v>
      </c>
      <c r="C157" s="13" t="s">
        <v>228</v>
      </c>
      <c r="D157" s="12" t="s">
        <v>54</v>
      </c>
      <c r="E157" s="10" t="s">
        <v>229</v>
      </c>
      <c r="F157" s="14"/>
      <c r="G157" s="15">
        <v>221000</v>
      </c>
      <c r="H157" s="21"/>
      <c r="I157" s="14">
        <f t="shared" si="2"/>
        <v>149.83050847457628</v>
      </c>
      <c r="J157" s="14">
        <f>Tabla13[[#This Row],[Precio final en USD]]*$P$4</f>
        <v>239.72881355932205</v>
      </c>
    </row>
    <row r="158" spans="1:11" x14ac:dyDescent="0.2">
      <c r="A158" s="11">
        <v>10283</v>
      </c>
      <c r="B158" s="12" t="s">
        <v>52</v>
      </c>
      <c r="C158" s="13" t="s">
        <v>230</v>
      </c>
      <c r="D158" s="12" t="s">
        <v>54</v>
      </c>
      <c r="E158" s="10" t="s">
        <v>231</v>
      </c>
      <c r="F158" s="14"/>
      <c r="G158" s="15">
        <v>20000</v>
      </c>
      <c r="H158" s="21"/>
      <c r="I158" s="14">
        <f t="shared" si="2"/>
        <v>13.559322033898304</v>
      </c>
      <c r="J158" s="14">
        <f>Tabla13[[#This Row],[Precio final en USD]]*$P$4</f>
        <v>21.694915254237287</v>
      </c>
    </row>
    <row r="159" spans="1:11" x14ac:dyDescent="0.2">
      <c r="A159" s="11">
        <v>10284</v>
      </c>
      <c r="B159" s="12" t="s">
        <v>52</v>
      </c>
      <c r="C159" s="13" t="s">
        <v>232</v>
      </c>
      <c r="D159" s="12" t="s">
        <v>54</v>
      </c>
      <c r="E159" s="10" t="s">
        <v>149</v>
      </c>
      <c r="F159" s="14">
        <v>55</v>
      </c>
      <c r="G159" s="15"/>
      <c r="H159" s="21"/>
      <c r="I159" s="14">
        <f t="shared" si="2"/>
        <v>55</v>
      </c>
      <c r="J159" s="14">
        <f>Tabla13[[#This Row],[Precio final en USD]]*$P$4</f>
        <v>88</v>
      </c>
    </row>
    <row r="160" spans="1:11" x14ac:dyDescent="0.2">
      <c r="A160" s="11">
        <v>10286</v>
      </c>
      <c r="B160" s="12" t="s">
        <v>52</v>
      </c>
      <c r="C160" s="13" t="s">
        <v>233</v>
      </c>
      <c r="D160" s="12" t="s">
        <v>54</v>
      </c>
      <c r="E160" s="10" t="s">
        <v>234</v>
      </c>
      <c r="F160" s="14"/>
      <c r="G160" s="15">
        <v>40000</v>
      </c>
      <c r="H160" s="21"/>
      <c r="I160" s="14">
        <f t="shared" si="2"/>
        <v>27.118644067796609</v>
      </c>
      <c r="J160" s="14">
        <f>Tabla13[[#This Row],[Precio final en USD]]*$P$4</f>
        <v>43.389830508474574</v>
      </c>
    </row>
    <row r="161" spans="1:11" x14ac:dyDescent="0.2">
      <c r="A161" s="11">
        <v>10296</v>
      </c>
      <c r="B161" s="12" t="s">
        <v>52</v>
      </c>
      <c r="C161" s="13" t="s">
        <v>235</v>
      </c>
      <c r="D161" s="12" t="s">
        <v>54</v>
      </c>
      <c r="E161" s="10" t="s">
        <v>68</v>
      </c>
      <c r="F161" s="14"/>
      <c r="G161" s="15">
        <v>9000</v>
      </c>
      <c r="H161" s="21"/>
      <c r="I161" s="14">
        <f t="shared" si="2"/>
        <v>6.101694915254237</v>
      </c>
      <c r="J161" s="14">
        <f>Tabla13[[#This Row],[Precio final en USD]]*$P$4</f>
        <v>9.7627118644067803</v>
      </c>
    </row>
    <row r="162" spans="1:11" x14ac:dyDescent="0.2">
      <c r="A162" s="11">
        <v>10298</v>
      </c>
      <c r="B162" s="12" t="s">
        <v>52</v>
      </c>
      <c r="C162" s="13" t="s">
        <v>236</v>
      </c>
      <c r="D162" s="12" t="s">
        <v>54</v>
      </c>
      <c r="E162" s="10" t="s">
        <v>229</v>
      </c>
      <c r="F162" s="14"/>
      <c r="G162" s="15">
        <v>44000</v>
      </c>
      <c r="H162" s="21"/>
      <c r="I162" s="14">
        <f t="shared" si="2"/>
        <v>29.83050847457627</v>
      </c>
      <c r="J162" s="14">
        <f>Tabla13[[#This Row],[Precio final en USD]]*$P$4</f>
        <v>47.728813559322035</v>
      </c>
    </row>
    <row r="163" spans="1:11" x14ac:dyDescent="0.2">
      <c r="A163" s="11">
        <v>10299</v>
      </c>
      <c r="B163" s="12" t="s">
        <v>52</v>
      </c>
      <c r="C163" s="13" t="s">
        <v>237</v>
      </c>
      <c r="D163" s="12" t="s">
        <v>54</v>
      </c>
      <c r="E163" s="10" t="s">
        <v>89</v>
      </c>
      <c r="F163" s="14"/>
      <c r="G163" s="15">
        <v>434996</v>
      </c>
      <c r="H163" s="21"/>
      <c r="I163" s="14">
        <f t="shared" si="2"/>
        <v>294.91254237288138</v>
      </c>
      <c r="J163" s="14">
        <f>Tabla13[[#This Row],[Precio final en USD]]*$P$4</f>
        <v>471.86006779661022</v>
      </c>
    </row>
    <row r="164" spans="1:11" x14ac:dyDescent="0.2">
      <c r="A164" s="11">
        <v>10300</v>
      </c>
      <c r="B164" s="12" t="s">
        <v>52</v>
      </c>
      <c r="C164" s="13" t="s">
        <v>238</v>
      </c>
      <c r="D164" s="12" t="s">
        <v>54</v>
      </c>
      <c r="E164" s="10" t="s">
        <v>68</v>
      </c>
      <c r="F164" s="14"/>
      <c r="G164" s="15">
        <v>62000</v>
      </c>
      <c r="H164" s="21"/>
      <c r="I164" s="14">
        <f t="shared" si="2"/>
        <v>42.033898305084747</v>
      </c>
      <c r="J164" s="14">
        <f>Tabla13[[#This Row],[Precio final en USD]]*$P$4</f>
        <v>67.254237288135599</v>
      </c>
    </row>
    <row r="165" spans="1:11" x14ac:dyDescent="0.2">
      <c r="A165" s="11">
        <v>10301</v>
      </c>
      <c r="B165" s="12" t="s">
        <v>52</v>
      </c>
      <c r="C165" s="13" t="s">
        <v>239</v>
      </c>
      <c r="D165" s="12" t="s">
        <v>54</v>
      </c>
      <c r="E165" s="10" t="s">
        <v>68</v>
      </c>
      <c r="F165" s="14"/>
      <c r="G165" s="15">
        <v>52000</v>
      </c>
      <c r="H165" s="21"/>
      <c r="I165" s="14">
        <f t="shared" si="2"/>
        <v>35.254237288135592</v>
      </c>
      <c r="J165" s="14">
        <f>Tabla13[[#This Row],[Precio final en USD]]*$P$4</f>
        <v>56.406779661016948</v>
      </c>
    </row>
    <row r="166" spans="1:11" x14ac:dyDescent="0.2">
      <c r="A166" s="11">
        <v>10302</v>
      </c>
      <c r="B166" s="12" t="s">
        <v>52</v>
      </c>
      <c r="C166" s="13" t="s">
        <v>240</v>
      </c>
      <c r="D166" s="12" t="s">
        <v>54</v>
      </c>
      <c r="E166" s="10" t="s">
        <v>68</v>
      </c>
      <c r="F166" s="14"/>
      <c r="G166" s="15">
        <v>96000</v>
      </c>
      <c r="H166" s="21"/>
      <c r="I166" s="14">
        <f t="shared" si="2"/>
        <v>65.084745762711862</v>
      </c>
      <c r="J166" s="14">
        <f>Tabla13[[#This Row],[Precio final en USD]]*$P$4</f>
        <v>104.13559322033899</v>
      </c>
    </row>
    <row r="167" spans="1:11" x14ac:dyDescent="0.2">
      <c r="A167" s="11">
        <v>10303</v>
      </c>
      <c r="B167" s="12" t="s">
        <v>52</v>
      </c>
      <c r="C167" s="13" t="s">
        <v>241</v>
      </c>
      <c r="D167" s="12" t="s">
        <v>54</v>
      </c>
      <c r="E167" s="10" t="s">
        <v>68</v>
      </c>
      <c r="F167" s="14"/>
      <c r="G167" s="15">
        <v>122000</v>
      </c>
      <c r="H167" s="21"/>
      <c r="I167" s="14">
        <f t="shared" si="2"/>
        <v>82.711864406779668</v>
      </c>
      <c r="J167" s="14">
        <f>Tabla13[[#This Row],[Precio final en USD]]*$P$4</f>
        <v>132.33898305084747</v>
      </c>
    </row>
    <row r="168" spans="1:11" x14ac:dyDescent="0.2">
      <c r="A168" s="11">
        <v>10304</v>
      </c>
      <c r="B168" s="12" t="s">
        <v>52</v>
      </c>
      <c r="C168" s="13" t="s">
        <v>242</v>
      </c>
      <c r="D168" s="12" t="s">
        <v>54</v>
      </c>
      <c r="E168" s="10" t="s">
        <v>68</v>
      </c>
      <c r="F168" s="14"/>
      <c r="G168" s="15">
        <v>96000</v>
      </c>
      <c r="H168" s="21"/>
      <c r="I168" s="14">
        <f t="shared" si="2"/>
        <v>65.084745762711862</v>
      </c>
      <c r="J168" s="14">
        <f>Tabla13[[#This Row],[Precio final en USD]]*$P$4</f>
        <v>104.13559322033899</v>
      </c>
    </row>
    <row r="169" spans="1:11" x14ac:dyDescent="0.2">
      <c r="A169" s="11">
        <v>10305</v>
      </c>
      <c r="B169" s="12" t="s">
        <v>52</v>
      </c>
      <c r="C169" s="13" t="s">
        <v>243</v>
      </c>
      <c r="D169" s="12" t="s">
        <v>54</v>
      </c>
      <c r="E169" s="10" t="s">
        <v>68</v>
      </c>
      <c r="F169" s="14"/>
      <c r="G169" s="15">
        <v>117000</v>
      </c>
      <c r="H169" s="21"/>
      <c r="I169" s="14">
        <f t="shared" si="2"/>
        <v>79.322033898305079</v>
      </c>
      <c r="J169" s="14">
        <f>Tabla13[[#This Row],[Precio final en USD]]*$P$4</f>
        <v>126.91525423728814</v>
      </c>
    </row>
    <row r="170" spans="1:11" x14ac:dyDescent="0.2">
      <c r="A170" s="11">
        <v>10307</v>
      </c>
      <c r="B170" s="12" t="s">
        <v>52</v>
      </c>
      <c r="C170" s="13" t="s">
        <v>244</v>
      </c>
      <c r="D170" s="12" t="s">
        <v>54</v>
      </c>
      <c r="E170" s="10" t="s">
        <v>245</v>
      </c>
      <c r="F170" s="14">
        <v>20.86</v>
      </c>
      <c r="G170" s="15"/>
      <c r="H170" s="21"/>
      <c r="I170" s="14">
        <f t="shared" si="2"/>
        <v>20.86</v>
      </c>
      <c r="J170" s="14">
        <f>Tabla13[[#This Row],[Precio final en USD]]*$P$4</f>
        <v>33.375999999999998</v>
      </c>
    </row>
    <row r="171" spans="1:11" x14ac:dyDescent="0.2">
      <c r="A171" s="11">
        <v>10308</v>
      </c>
      <c r="B171" s="12" t="s">
        <v>52</v>
      </c>
      <c r="C171" s="13" t="s">
        <v>246</v>
      </c>
      <c r="D171" s="12" t="s">
        <v>54</v>
      </c>
      <c r="F171" s="14"/>
      <c r="G171" s="15">
        <v>0</v>
      </c>
      <c r="I171" s="14">
        <f t="shared" si="2"/>
        <v>0</v>
      </c>
      <c r="J171" s="14">
        <f>Tabla13[[#This Row],[Precio final en USD]]*$P$4</f>
        <v>0</v>
      </c>
      <c r="K171" s="10" t="s">
        <v>247</v>
      </c>
    </row>
    <row r="172" spans="1:11" x14ac:dyDescent="0.2">
      <c r="A172" s="11">
        <v>10309</v>
      </c>
      <c r="B172" s="12" t="s">
        <v>52</v>
      </c>
      <c r="C172" s="13" t="s">
        <v>248</v>
      </c>
      <c r="D172" s="12" t="s">
        <v>54</v>
      </c>
      <c r="E172" s="10" t="s">
        <v>68</v>
      </c>
      <c r="F172" s="14"/>
      <c r="G172" s="15">
        <v>20000</v>
      </c>
      <c r="H172" s="21"/>
      <c r="I172" s="14">
        <f t="shared" si="2"/>
        <v>13.559322033898304</v>
      </c>
      <c r="J172" s="14">
        <f>Tabla13[[#This Row],[Precio final en USD]]*$P$4</f>
        <v>21.694915254237287</v>
      </c>
    </row>
    <row r="173" spans="1:11" x14ac:dyDescent="0.2">
      <c r="A173" s="11">
        <v>10313</v>
      </c>
      <c r="B173" s="12" t="s">
        <v>52</v>
      </c>
      <c r="C173" s="13" t="s">
        <v>249</v>
      </c>
      <c r="D173" s="12" t="s">
        <v>54</v>
      </c>
      <c r="E173" s="10" t="s">
        <v>89</v>
      </c>
      <c r="F173" s="14"/>
      <c r="G173" s="15"/>
      <c r="H173" s="21">
        <v>46</v>
      </c>
      <c r="I173" s="14">
        <f t="shared" si="2"/>
        <v>53.484745762711867</v>
      </c>
      <c r="J173" s="14">
        <f>Tabla13[[#This Row],[Precio final en USD]]*$P$4</f>
        <v>85.575593220338988</v>
      </c>
    </row>
    <row r="174" spans="1:11" x14ac:dyDescent="0.2">
      <c r="A174" s="11">
        <v>10314</v>
      </c>
      <c r="B174" s="12" t="s">
        <v>52</v>
      </c>
      <c r="C174" s="13" t="s">
        <v>250</v>
      </c>
      <c r="D174" s="12" t="s">
        <v>54</v>
      </c>
      <c r="E174" s="10" t="s">
        <v>68</v>
      </c>
      <c r="F174" s="14"/>
      <c r="G174" s="15">
        <v>30000</v>
      </c>
      <c r="H174" s="21"/>
      <c r="I174" s="14">
        <f t="shared" si="2"/>
        <v>20.338983050847457</v>
      </c>
      <c r="J174" s="14">
        <f>Tabla13[[#This Row],[Precio final en USD]]*$P$4</f>
        <v>32.542372881355931</v>
      </c>
    </row>
    <row r="175" spans="1:11" x14ac:dyDescent="0.2">
      <c r="A175" s="11">
        <v>10315</v>
      </c>
      <c r="B175" s="12" t="s">
        <v>52</v>
      </c>
      <c r="C175" s="13" t="s">
        <v>251</v>
      </c>
      <c r="D175" s="12" t="s">
        <v>54</v>
      </c>
      <c r="E175" s="10" t="s">
        <v>68</v>
      </c>
      <c r="F175" s="14"/>
      <c r="G175" s="15">
        <v>62000</v>
      </c>
      <c r="H175" s="21"/>
      <c r="I175" s="14">
        <f t="shared" si="2"/>
        <v>42.033898305084747</v>
      </c>
      <c r="J175" s="14">
        <f>Tabla13[[#This Row],[Precio final en USD]]*$P$4</f>
        <v>67.254237288135599</v>
      </c>
    </row>
    <row r="176" spans="1:11" x14ac:dyDescent="0.2">
      <c r="A176" s="11">
        <v>10316</v>
      </c>
      <c r="B176" s="12" t="s">
        <v>52</v>
      </c>
      <c r="C176" s="13" t="s">
        <v>252</v>
      </c>
      <c r="D176" s="12" t="s">
        <v>54</v>
      </c>
      <c r="E176" s="10" t="s">
        <v>68</v>
      </c>
      <c r="F176" s="14"/>
      <c r="G176" s="15">
        <v>87000</v>
      </c>
      <c r="H176" s="21"/>
      <c r="I176" s="14">
        <f t="shared" si="2"/>
        <v>58.983050847457626</v>
      </c>
      <c r="J176" s="14">
        <f>Tabla13[[#This Row],[Precio final en USD]]*$P$4</f>
        <v>94.372881355932208</v>
      </c>
    </row>
    <row r="177" spans="1:15" x14ac:dyDescent="0.2">
      <c r="A177" s="11">
        <v>10320</v>
      </c>
      <c r="B177" s="12" t="s">
        <v>52</v>
      </c>
      <c r="C177" s="13" t="s">
        <v>12</v>
      </c>
      <c r="D177" s="12" t="s">
        <v>54</v>
      </c>
      <c r="E177" s="10" t="s">
        <v>55</v>
      </c>
      <c r="F177" s="14">
        <v>248.89</v>
      </c>
      <c r="G177" s="15"/>
      <c r="H177" s="21"/>
      <c r="I177" s="14">
        <f t="shared" si="2"/>
        <v>248.89</v>
      </c>
      <c r="J177" s="14">
        <f>Tabla13[[#This Row],[Precio final en USD]]*$P$4</f>
        <v>398.22399999999999</v>
      </c>
    </row>
    <row r="178" spans="1:15" x14ac:dyDescent="0.2">
      <c r="A178" s="11">
        <v>10321</v>
      </c>
      <c r="B178" s="12" t="s">
        <v>52</v>
      </c>
      <c r="C178" s="13" t="s">
        <v>253</v>
      </c>
      <c r="D178" s="12" t="s">
        <v>54</v>
      </c>
      <c r="E178" s="10" t="s">
        <v>149</v>
      </c>
      <c r="F178" s="14"/>
      <c r="G178" s="15">
        <v>93000</v>
      </c>
      <c r="H178" s="21"/>
      <c r="I178" s="14">
        <f t="shared" si="2"/>
        <v>63.050847457627121</v>
      </c>
      <c r="J178" s="14">
        <f>Tabla13[[#This Row],[Precio final en USD]]*$P$4</f>
        <v>100.88135593220341</v>
      </c>
    </row>
    <row r="179" spans="1:15" x14ac:dyDescent="0.2">
      <c r="A179" s="11">
        <v>10323</v>
      </c>
      <c r="B179" s="12" t="s">
        <v>52</v>
      </c>
      <c r="C179" s="13" t="s">
        <v>254</v>
      </c>
      <c r="D179" s="12" t="s">
        <v>54</v>
      </c>
      <c r="E179" s="10" t="s">
        <v>255</v>
      </c>
      <c r="F179" s="14">
        <v>112.56</v>
      </c>
      <c r="G179" s="15"/>
      <c r="H179" s="21"/>
      <c r="I179" s="14">
        <f t="shared" si="2"/>
        <v>112.56</v>
      </c>
      <c r="J179" s="14">
        <f>Tabla13[[#This Row],[Precio final en USD]]*$P$4</f>
        <v>180.096</v>
      </c>
    </row>
    <row r="180" spans="1:15" x14ac:dyDescent="0.2">
      <c r="A180" s="11">
        <v>10324</v>
      </c>
      <c r="B180" s="12" t="s">
        <v>52</v>
      </c>
      <c r="C180" s="13" t="s">
        <v>256</v>
      </c>
      <c r="D180" s="12" t="s">
        <v>54</v>
      </c>
      <c r="E180" s="10" t="s">
        <v>84</v>
      </c>
      <c r="F180" s="14"/>
      <c r="G180" s="15"/>
      <c r="H180" s="21">
        <v>10.92</v>
      </c>
      <c r="I180" s="14">
        <f t="shared" si="2"/>
        <v>12.696813559322035</v>
      </c>
      <c r="J180" s="14">
        <f>Tabla13[[#This Row],[Precio final en USD]]*$P$4</f>
        <v>20.314901694915257</v>
      </c>
    </row>
    <row r="181" spans="1:15" x14ac:dyDescent="0.2">
      <c r="A181" s="11">
        <v>10325</v>
      </c>
      <c r="B181" s="12" t="s">
        <v>52</v>
      </c>
      <c r="C181" s="13" t="s">
        <v>257</v>
      </c>
      <c r="D181" s="12" t="s">
        <v>54</v>
      </c>
      <c r="E181" s="10" t="s">
        <v>84</v>
      </c>
      <c r="F181" s="14"/>
      <c r="G181" s="15"/>
      <c r="H181" s="21">
        <v>22.96</v>
      </c>
      <c r="I181" s="14">
        <f t="shared" si="2"/>
        <v>26.695864406779663</v>
      </c>
      <c r="J181" s="14">
        <f>Tabla13[[#This Row],[Precio final en USD]]*$P$4</f>
        <v>42.713383050847462</v>
      </c>
    </row>
    <row r="182" spans="1:15" x14ac:dyDescent="0.2">
      <c r="A182" s="11">
        <v>10327</v>
      </c>
      <c r="B182" s="12" t="s">
        <v>52</v>
      </c>
      <c r="C182" s="13" t="s">
        <v>258</v>
      </c>
      <c r="D182" s="12" t="s">
        <v>54</v>
      </c>
      <c r="E182" s="10" t="s">
        <v>84</v>
      </c>
      <c r="F182" s="14"/>
      <c r="G182" s="15"/>
      <c r="H182" s="21">
        <v>12.53</v>
      </c>
      <c r="I182" s="14">
        <f t="shared" si="2"/>
        <v>14.568779661016949</v>
      </c>
      <c r="J182" s="14">
        <f>Tabla13[[#This Row],[Precio final en USD]]*$P$4</f>
        <v>23.310047457627121</v>
      </c>
    </row>
    <row r="183" spans="1:15" x14ac:dyDescent="0.2">
      <c r="A183" s="11">
        <v>10328</v>
      </c>
      <c r="B183" s="12" t="s">
        <v>52</v>
      </c>
      <c r="C183" s="13" t="s">
        <v>259</v>
      </c>
      <c r="D183" s="12" t="s">
        <v>54</v>
      </c>
      <c r="E183" s="10" t="s">
        <v>84</v>
      </c>
      <c r="F183" s="14"/>
      <c r="G183" s="15"/>
      <c r="H183" s="21">
        <v>10.01</v>
      </c>
      <c r="I183" s="14">
        <f t="shared" si="2"/>
        <v>11.638745762711865</v>
      </c>
      <c r="J183" s="14">
        <f>Tabla13[[#This Row],[Precio final en USD]]*$P$4</f>
        <v>18.621993220338986</v>
      </c>
      <c r="O183" s="21"/>
    </row>
    <row r="184" spans="1:15" x14ac:dyDescent="0.2">
      <c r="A184" s="11">
        <v>10330</v>
      </c>
      <c r="B184" s="12" t="s">
        <v>52</v>
      </c>
      <c r="C184" s="13" t="s">
        <v>260</v>
      </c>
      <c r="D184" s="12" t="s">
        <v>54</v>
      </c>
      <c r="E184" s="10" t="s">
        <v>84</v>
      </c>
      <c r="F184" s="14"/>
      <c r="G184" s="15"/>
      <c r="H184" s="21">
        <v>2.02</v>
      </c>
      <c r="I184" s="14">
        <f t="shared" si="2"/>
        <v>2.348677966101695</v>
      </c>
      <c r="J184" s="14">
        <f>Tabla13[[#This Row],[Precio final en USD]]*$P$4</f>
        <v>3.7578847457627123</v>
      </c>
    </row>
    <row r="185" spans="1:15" x14ac:dyDescent="0.2">
      <c r="A185" s="11">
        <v>10331</v>
      </c>
      <c r="B185" s="12" t="s">
        <v>52</v>
      </c>
      <c r="C185" s="13" t="s">
        <v>261</v>
      </c>
      <c r="D185" s="12" t="s">
        <v>54</v>
      </c>
      <c r="E185" s="10" t="s">
        <v>84</v>
      </c>
      <c r="F185" s="14"/>
      <c r="G185" s="15"/>
      <c r="H185" s="23">
        <v>0.94</v>
      </c>
      <c r="I185" s="14">
        <f t="shared" si="2"/>
        <v>1.0929491525423729</v>
      </c>
      <c r="J185" s="14">
        <f>Tabla13[[#This Row],[Precio final en USD]]*$P$4</f>
        <v>1.7487186440677966</v>
      </c>
    </row>
    <row r="186" spans="1:15" x14ac:dyDescent="0.2">
      <c r="A186" s="11">
        <v>10332</v>
      </c>
      <c r="B186" s="12" t="s">
        <v>52</v>
      </c>
      <c r="C186" s="13" t="s">
        <v>262</v>
      </c>
      <c r="D186" s="12" t="s">
        <v>54</v>
      </c>
      <c r="E186" s="10" t="s">
        <v>84</v>
      </c>
      <c r="F186" s="14"/>
      <c r="G186" s="15"/>
      <c r="H186" s="23">
        <v>0.32</v>
      </c>
      <c r="I186" s="14">
        <f t="shared" si="2"/>
        <v>0.37206779661016953</v>
      </c>
      <c r="J186" s="14">
        <f>Tabla13[[#This Row],[Precio final en USD]]*$P$4</f>
        <v>0.59530847457627123</v>
      </c>
    </row>
    <row r="187" spans="1:15" x14ac:dyDescent="0.2">
      <c r="A187" s="12">
        <v>10333</v>
      </c>
      <c r="B187" s="11" t="s">
        <v>52</v>
      </c>
      <c r="C187" s="13" t="s">
        <v>13</v>
      </c>
      <c r="D187" s="12" t="s">
        <v>58</v>
      </c>
      <c r="E187" s="10" t="s">
        <v>84</v>
      </c>
      <c r="F187" s="14"/>
      <c r="G187" s="15"/>
      <c r="H187" s="10">
        <v>16.78</v>
      </c>
      <c r="I187" s="14">
        <f t="shared" si="2"/>
        <v>19.510305084745767</v>
      </c>
      <c r="J187" s="14">
        <f>Tabla13[[#This Row],[Precio final en USD]]*$P$4</f>
        <v>31.216488135593227</v>
      </c>
    </row>
    <row r="188" spans="1:15" x14ac:dyDescent="0.2">
      <c r="A188" s="12">
        <v>10334</v>
      </c>
      <c r="B188" s="11" t="s">
        <v>52</v>
      </c>
      <c r="C188" s="13" t="s">
        <v>14</v>
      </c>
      <c r="D188" s="12" t="s">
        <v>58</v>
      </c>
      <c r="E188" s="10" t="s">
        <v>84</v>
      </c>
      <c r="F188" s="14"/>
      <c r="G188" s="15"/>
      <c r="H188" s="10">
        <v>13.92</v>
      </c>
      <c r="I188" s="14">
        <f t="shared" si="2"/>
        <v>16.184949152542373</v>
      </c>
      <c r="J188" s="14">
        <f>Tabla13[[#This Row],[Precio final en USD]]*$P$4</f>
        <v>25.895918644067798</v>
      </c>
    </row>
    <row r="189" spans="1:15" x14ac:dyDescent="0.2">
      <c r="A189" s="11">
        <v>10335</v>
      </c>
      <c r="B189" s="12" t="s">
        <v>52</v>
      </c>
      <c r="C189" s="13" t="s">
        <v>263</v>
      </c>
      <c r="D189" s="12" t="s">
        <v>54</v>
      </c>
      <c r="E189" s="10" t="s">
        <v>84</v>
      </c>
      <c r="F189" s="14"/>
      <c r="G189" s="15"/>
      <c r="H189" s="23">
        <v>17.62</v>
      </c>
      <c r="I189" s="14">
        <f t="shared" si="2"/>
        <v>20.48698305084746</v>
      </c>
      <c r="J189" s="14">
        <f>Tabla13[[#This Row],[Precio final en USD]]*$P$4</f>
        <v>32.77917288135594</v>
      </c>
    </row>
    <row r="190" spans="1:15" x14ac:dyDescent="0.2">
      <c r="A190" s="11">
        <v>10336</v>
      </c>
      <c r="B190" s="12" t="s">
        <v>52</v>
      </c>
      <c r="C190" s="13" t="s">
        <v>264</v>
      </c>
      <c r="D190" s="12" t="s">
        <v>54</v>
      </c>
      <c r="E190" s="10" t="s">
        <v>84</v>
      </c>
      <c r="F190" s="14"/>
      <c r="G190" s="15"/>
      <c r="H190" s="23">
        <v>5.44</v>
      </c>
      <c r="I190" s="14">
        <f t="shared" si="2"/>
        <v>6.3251525423728827</v>
      </c>
      <c r="J190" s="14">
        <f>Tabla13[[#This Row],[Precio final en USD]]*$P$4</f>
        <v>10.120244067796612</v>
      </c>
    </row>
    <row r="191" spans="1:15" x14ac:dyDescent="0.2">
      <c r="A191" s="11">
        <v>10338</v>
      </c>
      <c r="B191" s="12" t="s">
        <v>52</v>
      </c>
      <c r="C191" s="13" t="s">
        <v>265</v>
      </c>
      <c r="D191" s="12" t="s">
        <v>54</v>
      </c>
      <c r="E191" s="10" t="s">
        <v>84</v>
      </c>
      <c r="F191" s="14"/>
      <c r="G191" s="15"/>
      <c r="H191" s="23">
        <v>18.64</v>
      </c>
      <c r="I191" s="14">
        <f t="shared" si="2"/>
        <v>21.672949152542376</v>
      </c>
      <c r="J191" s="14">
        <f>Tabla13[[#This Row],[Precio final en USD]]*$P$4</f>
        <v>34.676718644067805</v>
      </c>
    </row>
    <row r="192" spans="1:15" x14ac:dyDescent="0.2">
      <c r="A192" s="12">
        <v>10340</v>
      </c>
      <c r="B192" s="11" t="s">
        <v>52</v>
      </c>
      <c r="C192" s="13" t="s">
        <v>34</v>
      </c>
      <c r="D192" s="12" t="s">
        <v>58</v>
      </c>
      <c r="E192" s="10" t="s">
        <v>84</v>
      </c>
      <c r="F192" s="14">
        <v>5</v>
      </c>
      <c r="G192" s="15"/>
      <c r="I192" s="14">
        <f t="shared" si="2"/>
        <v>5</v>
      </c>
      <c r="J192" s="14">
        <f>Tabla13[[#This Row],[Precio final en USD]]*$P$4</f>
        <v>8</v>
      </c>
    </row>
    <row r="193" spans="1:15" x14ac:dyDescent="0.2">
      <c r="A193" s="11">
        <v>10341</v>
      </c>
      <c r="B193" s="12" t="s">
        <v>52</v>
      </c>
      <c r="C193" s="13" t="s">
        <v>266</v>
      </c>
      <c r="D193" s="12" t="s">
        <v>54</v>
      </c>
      <c r="E193" s="10" t="s">
        <v>84</v>
      </c>
      <c r="F193" s="14"/>
      <c r="G193" s="15"/>
      <c r="H193" s="23">
        <v>5.53</v>
      </c>
      <c r="I193" s="14">
        <f t="shared" si="2"/>
        <v>6.4297966101694923</v>
      </c>
      <c r="J193" s="14">
        <f>Tabla13[[#This Row],[Precio final en USD]]*$P$4</f>
        <v>10.287674576271188</v>
      </c>
    </row>
    <row r="194" spans="1:15" x14ac:dyDescent="0.2">
      <c r="A194" s="11">
        <v>10342</v>
      </c>
      <c r="B194" s="12" t="s">
        <v>52</v>
      </c>
      <c r="C194" s="13" t="s">
        <v>267</v>
      </c>
      <c r="D194" s="12" t="s">
        <v>54</v>
      </c>
      <c r="E194" s="10" t="s">
        <v>84</v>
      </c>
      <c r="F194" s="14"/>
      <c r="G194" s="15"/>
      <c r="H194" s="23">
        <v>163.18</v>
      </c>
      <c r="I194" s="14">
        <f t="shared" ref="I194:I257" si="3">IF(AND(F194="",G194="",H194=""),"",IF(F194&lt;&gt;"",F194,IF(G194&lt;&gt;"",G194/$O$1,IF(H194&lt;&gt;"",H194*$O$2,"ver"))))</f>
        <v>189.73132203389832</v>
      </c>
      <c r="J194" s="14">
        <f>Tabla13[[#This Row],[Precio final en USD]]*$P$4</f>
        <v>303.57011525423735</v>
      </c>
      <c r="N194" s="21"/>
      <c r="O194" s="21"/>
    </row>
    <row r="195" spans="1:15" x14ac:dyDescent="0.2">
      <c r="A195" s="11">
        <v>10343</v>
      </c>
      <c r="B195" s="12" t="s">
        <v>52</v>
      </c>
      <c r="C195" s="13" t="s">
        <v>268</v>
      </c>
      <c r="D195" s="12" t="s">
        <v>54</v>
      </c>
      <c r="E195" s="10" t="s">
        <v>68</v>
      </c>
      <c r="F195" s="14"/>
      <c r="G195" s="15">
        <v>55000</v>
      </c>
      <c r="I195" s="14">
        <f t="shared" si="3"/>
        <v>37.288135593220339</v>
      </c>
      <c r="J195" s="14">
        <f>Tabla13[[#This Row],[Precio final en USD]]*$P$4</f>
        <v>59.661016949152547</v>
      </c>
    </row>
    <row r="196" spans="1:15" x14ac:dyDescent="0.2">
      <c r="A196" s="11">
        <v>10344</v>
      </c>
      <c r="B196" s="12" t="s">
        <v>52</v>
      </c>
      <c r="C196" s="13" t="s">
        <v>269</v>
      </c>
      <c r="D196" s="12" t="s">
        <v>54</v>
      </c>
      <c r="E196" s="10" t="s">
        <v>68</v>
      </c>
      <c r="F196" s="14"/>
      <c r="G196" s="15">
        <v>67000</v>
      </c>
      <c r="I196" s="14">
        <f t="shared" si="3"/>
        <v>45.423728813559322</v>
      </c>
      <c r="J196" s="14">
        <f>Tabla13[[#This Row],[Precio final en USD]]*$P$4</f>
        <v>72.677966101694921</v>
      </c>
    </row>
    <row r="197" spans="1:15" x14ac:dyDescent="0.2">
      <c r="A197" s="11">
        <v>10345</v>
      </c>
      <c r="B197" s="12" t="s">
        <v>52</v>
      </c>
      <c r="C197" s="13" t="s">
        <v>270</v>
      </c>
      <c r="D197" s="12" t="s">
        <v>54</v>
      </c>
      <c r="E197" s="10" t="s">
        <v>68</v>
      </c>
      <c r="F197" s="14"/>
      <c r="G197" s="15">
        <v>42000</v>
      </c>
      <c r="I197" s="14">
        <f t="shared" si="3"/>
        <v>28.474576271186439</v>
      </c>
      <c r="J197" s="14">
        <f>Tabla13[[#This Row],[Precio final en USD]]*$P$4</f>
        <v>45.559322033898304</v>
      </c>
      <c r="N197" s="21"/>
    </row>
    <row r="198" spans="1:15" x14ac:dyDescent="0.2">
      <c r="A198" s="11">
        <v>10346</v>
      </c>
      <c r="B198" s="12" t="s">
        <v>52</v>
      </c>
      <c r="C198" s="13" t="s">
        <v>271</v>
      </c>
      <c r="D198" s="12" t="s">
        <v>54</v>
      </c>
      <c r="E198" s="10" t="s">
        <v>68</v>
      </c>
      <c r="F198" s="14"/>
      <c r="G198" s="15">
        <v>42000</v>
      </c>
      <c r="I198" s="14">
        <f t="shared" si="3"/>
        <v>28.474576271186439</v>
      </c>
      <c r="J198" s="14">
        <f>Tabla13[[#This Row],[Precio final en USD]]*$P$4</f>
        <v>45.559322033898304</v>
      </c>
    </row>
    <row r="199" spans="1:15" x14ac:dyDescent="0.2">
      <c r="A199" s="11">
        <v>10350</v>
      </c>
      <c r="B199" s="12" t="s">
        <v>52</v>
      </c>
      <c r="C199" s="13" t="s">
        <v>272</v>
      </c>
      <c r="D199" s="12" t="s">
        <v>54</v>
      </c>
      <c r="E199" s="10" t="s">
        <v>255</v>
      </c>
      <c r="F199" s="14">
        <v>180.9</v>
      </c>
      <c r="G199" s="15"/>
      <c r="I199" s="14">
        <f t="shared" si="3"/>
        <v>180.9</v>
      </c>
      <c r="J199" s="14">
        <f>Tabla13[[#This Row],[Precio final en USD]]*$P$4</f>
        <v>289.44</v>
      </c>
    </row>
    <row r="200" spans="1:15" x14ac:dyDescent="0.2">
      <c r="A200" s="12">
        <v>10351</v>
      </c>
      <c r="B200" s="11" t="s">
        <v>52</v>
      </c>
      <c r="C200" s="13" t="s">
        <v>273</v>
      </c>
      <c r="D200" s="12" t="s">
        <v>58</v>
      </c>
      <c r="E200" s="10" t="s">
        <v>59</v>
      </c>
      <c r="F200" s="14"/>
      <c r="G200" s="15"/>
      <c r="I200" s="14" t="str">
        <f t="shared" si="3"/>
        <v/>
      </c>
      <c r="J200" s="14" t="e">
        <f>Tabla13[[#This Row],[Precio final en USD]]*$P$4</f>
        <v>#VALUE!</v>
      </c>
      <c r="K200" s="10" t="s">
        <v>60</v>
      </c>
    </row>
    <row r="201" spans="1:15" x14ac:dyDescent="0.2">
      <c r="A201" s="12">
        <v>10352</v>
      </c>
      <c r="B201" s="11" t="s">
        <v>52</v>
      </c>
      <c r="C201" s="13" t="s">
        <v>274</v>
      </c>
      <c r="D201" s="12" t="s">
        <v>58</v>
      </c>
      <c r="E201" s="10" t="s">
        <v>59</v>
      </c>
      <c r="F201" s="14"/>
      <c r="G201" s="15"/>
      <c r="I201" s="14" t="str">
        <f t="shared" si="3"/>
        <v/>
      </c>
      <c r="J201" s="14" t="e">
        <f>Tabla13[[#This Row],[Precio final en USD]]*$P$4</f>
        <v>#VALUE!</v>
      </c>
      <c r="K201" s="10" t="s">
        <v>60</v>
      </c>
    </row>
    <row r="202" spans="1:15" x14ac:dyDescent="0.2">
      <c r="A202" s="11">
        <v>10357</v>
      </c>
      <c r="B202" s="12" t="s">
        <v>52</v>
      </c>
      <c r="C202" s="13" t="s">
        <v>275</v>
      </c>
      <c r="D202" s="12" t="s">
        <v>54</v>
      </c>
      <c r="E202" s="10" t="s">
        <v>89</v>
      </c>
      <c r="F202" s="14"/>
      <c r="G202" s="15">
        <v>200000</v>
      </c>
      <c r="I202" s="14">
        <f t="shared" si="3"/>
        <v>135.59322033898306</v>
      </c>
      <c r="J202" s="14">
        <f>Tabla13[[#This Row],[Precio final en USD]]*$P$4</f>
        <v>216.9491525423729</v>
      </c>
    </row>
    <row r="203" spans="1:15" x14ac:dyDescent="0.2">
      <c r="A203" s="11">
        <v>10359</v>
      </c>
      <c r="B203" s="12" t="s">
        <v>52</v>
      </c>
      <c r="C203" s="13" t="s">
        <v>276</v>
      </c>
      <c r="D203" s="12" t="s">
        <v>54</v>
      </c>
      <c r="E203" s="10" t="s">
        <v>68</v>
      </c>
      <c r="F203" s="14"/>
      <c r="G203" s="15">
        <v>11000</v>
      </c>
      <c r="I203" s="14">
        <f t="shared" si="3"/>
        <v>7.4576271186440675</v>
      </c>
      <c r="J203" s="14">
        <f>Tabla13[[#This Row],[Precio final en USD]]*$P$4</f>
        <v>11.932203389830509</v>
      </c>
    </row>
    <row r="204" spans="1:15" x14ac:dyDescent="0.2">
      <c r="A204" s="11">
        <v>10363</v>
      </c>
      <c r="B204" s="12" t="s">
        <v>52</v>
      </c>
      <c r="C204" s="13" t="s">
        <v>277</v>
      </c>
      <c r="D204" s="12" t="s">
        <v>54</v>
      </c>
      <c r="E204" s="10" t="s">
        <v>149</v>
      </c>
      <c r="F204" s="14"/>
      <c r="G204" s="15">
        <v>25000</v>
      </c>
      <c r="H204" s="23"/>
      <c r="I204" s="14">
        <f t="shared" si="3"/>
        <v>16.949152542372882</v>
      </c>
      <c r="J204" s="14">
        <f>Tabla13[[#This Row],[Precio final en USD]]*$P$4</f>
        <v>27.118644067796613</v>
      </c>
    </row>
    <row r="205" spans="1:15" x14ac:dyDescent="0.2">
      <c r="A205" s="11">
        <v>10366</v>
      </c>
      <c r="B205" s="12" t="s">
        <v>52</v>
      </c>
      <c r="C205" s="13" t="s">
        <v>278</v>
      </c>
      <c r="D205" s="12" t="s">
        <v>54</v>
      </c>
      <c r="E205" s="10" t="s">
        <v>68</v>
      </c>
      <c r="F205" s="14"/>
      <c r="G205" s="15">
        <v>62000</v>
      </c>
      <c r="I205" s="14">
        <f t="shared" si="3"/>
        <v>42.033898305084747</v>
      </c>
      <c r="J205" s="14">
        <f>Tabla13[[#This Row],[Precio final en USD]]*$P$4</f>
        <v>67.254237288135599</v>
      </c>
    </row>
    <row r="206" spans="1:15" x14ac:dyDescent="0.2">
      <c r="A206" s="11">
        <v>10367</v>
      </c>
      <c r="B206" s="12" t="s">
        <v>52</v>
      </c>
      <c r="C206" s="13" t="s">
        <v>279</v>
      </c>
      <c r="D206" s="12" t="s">
        <v>54</v>
      </c>
      <c r="E206" s="10" t="s">
        <v>68</v>
      </c>
      <c r="F206" s="14"/>
      <c r="G206" s="15">
        <v>81000</v>
      </c>
      <c r="I206" s="14">
        <f t="shared" si="3"/>
        <v>54.915254237288138</v>
      </c>
      <c r="J206" s="14">
        <f>Tabla13[[#This Row],[Precio final en USD]]*$P$4</f>
        <v>87.864406779661024</v>
      </c>
    </row>
    <row r="207" spans="1:15" x14ac:dyDescent="0.2">
      <c r="A207" s="11">
        <v>10368</v>
      </c>
      <c r="B207" s="12" t="s">
        <v>52</v>
      </c>
      <c r="C207" s="13" t="s">
        <v>280</v>
      </c>
      <c r="D207" s="12" t="s">
        <v>54</v>
      </c>
      <c r="E207" s="10" t="s">
        <v>68</v>
      </c>
      <c r="F207" s="14"/>
      <c r="G207" s="15">
        <v>62000</v>
      </c>
      <c r="I207" s="14">
        <f t="shared" si="3"/>
        <v>42.033898305084747</v>
      </c>
      <c r="J207" s="14">
        <f>Tabla13[[#This Row],[Precio final en USD]]*$P$4</f>
        <v>67.254237288135599</v>
      </c>
    </row>
    <row r="208" spans="1:15" x14ac:dyDescent="0.2">
      <c r="A208" s="11">
        <v>10369</v>
      </c>
      <c r="B208" s="12" t="s">
        <v>52</v>
      </c>
      <c r="C208" s="13" t="s">
        <v>281</v>
      </c>
      <c r="D208" s="12" t="s">
        <v>54</v>
      </c>
      <c r="E208" s="10" t="s">
        <v>68</v>
      </c>
      <c r="F208" s="14"/>
      <c r="G208" s="15">
        <v>87000</v>
      </c>
      <c r="I208" s="14">
        <f t="shared" si="3"/>
        <v>58.983050847457626</v>
      </c>
      <c r="J208" s="14">
        <f>Tabla13[[#This Row],[Precio final en USD]]*$P$4</f>
        <v>94.372881355932208</v>
      </c>
    </row>
    <row r="209" spans="1:11" x14ac:dyDescent="0.2">
      <c r="A209" s="11">
        <v>10370</v>
      </c>
      <c r="B209" s="12" t="s">
        <v>52</v>
      </c>
      <c r="C209" s="13" t="s">
        <v>282</v>
      </c>
      <c r="D209" s="12" t="s">
        <v>54</v>
      </c>
      <c r="E209" s="10" t="s">
        <v>68</v>
      </c>
      <c r="F209" s="14"/>
      <c r="G209" s="15">
        <v>36000</v>
      </c>
      <c r="I209" s="14">
        <f t="shared" si="3"/>
        <v>24.406779661016948</v>
      </c>
      <c r="J209" s="14">
        <f>Tabla13[[#This Row],[Precio final en USD]]*$P$4</f>
        <v>39.050847457627121</v>
      </c>
    </row>
    <row r="210" spans="1:11" x14ac:dyDescent="0.2">
      <c r="A210" s="12">
        <v>10373</v>
      </c>
      <c r="B210" s="11" t="s">
        <v>52</v>
      </c>
      <c r="C210" s="13" t="s">
        <v>283</v>
      </c>
      <c r="D210" s="12" t="s">
        <v>58</v>
      </c>
      <c r="E210" s="10" t="s">
        <v>84</v>
      </c>
      <c r="F210" s="14"/>
      <c r="G210" s="15"/>
      <c r="H210" s="10">
        <v>503.66</v>
      </c>
      <c r="I210" s="14">
        <f t="shared" si="3"/>
        <v>585.61145762711874</v>
      </c>
      <c r="J210" s="14">
        <f>Tabla13[[#This Row],[Precio final en USD]]*$P$4</f>
        <v>936.97833220338998</v>
      </c>
    </row>
    <row r="211" spans="1:11" x14ac:dyDescent="0.2">
      <c r="A211" s="11">
        <v>10374</v>
      </c>
      <c r="B211" s="12" t="s">
        <v>52</v>
      </c>
      <c r="C211" s="13" t="s">
        <v>284</v>
      </c>
      <c r="D211" s="12" t="s">
        <v>54</v>
      </c>
      <c r="E211" s="10" t="s">
        <v>285</v>
      </c>
      <c r="F211" s="14"/>
      <c r="G211" s="15">
        <v>800000</v>
      </c>
      <c r="I211" s="14">
        <f t="shared" si="3"/>
        <v>542.37288135593224</v>
      </c>
      <c r="J211" s="14">
        <f>Tabla13[[#This Row],[Precio final en USD]]*$P$4</f>
        <v>867.7966101694916</v>
      </c>
    </row>
    <row r="212" spans="1:11" x14ac:dyDescent="0.2">
      <c r="A212" s="11">
        <v>10376</v>
      </c>
      <c r="B212" s="12" t="s">
        <v>52</v>
      </c>
      <c r="C212" s="13" t="s">
        <v>286</v>
      </c>
      <c r="D212" s="12" t="s">
        <v>54</v>
      </c>
      <c r="E212" s="10" t="s">
        <v>287</v>
      </c>
      <c r="F212" s="14">
        <v>56.34</v>
      </c>
      <c r="G212" s="15"/>
      <c r="I212" s="14">
        <f t="shared" si="3"/>
        <v>56.34</v>
      </c>
      <c r="J212" s="14">
        <f>Tabla13[[#This Row],[Precio final en USD]]*$P$4</f>
        <v>90.144000000000005</v>
      </c>
    </row>
    <row r="213" spans="1:11" x14ac:dyDescent="0.2">
      <c r="A213" s="11">
        <v>10377</v>
      </c>
      <c r="B213" s="12" t="s">
        <v>52</v>
      </c>
      <c r="C213" s="13" t="s">
        <v>288</v>
      </c>
      <c r="D213" s="12" t="s">
        <v>54</v>
      </c>
      <c r="E213" s="10" t="s">
        <v>285</v>
      </c>
      <c r="F213" s="14"/>
      <c r="G213" s="15">
        <v>72497</v>
      </c>
      <c r="I213" s="14">
        <f t="shared" si="3"/>
        <v>49.15050847457627</v>
      </c>
      <c r="J213" s="14">
        <f>Tabla13[[#This Row],[Precio final en USD]]*$P$4</f>
        <v>78.640813559322041</v>
      </c>
    </row>
    <row r="214" spans="1:11" x14ac:dyDescent="0.2">
      <c r="A214" s="11">
        <v>10378</v>
      </c>
      <c r="B214" s="12" t="s">
        <v>52</v>
      </c>
      <c r="C214" s="13" t="s">
        <v>289</v>
      </c>
      <c r="D214" s="12" t="s">
        <v>54</v>
      </c>
      <c r="E214" s="10" t="s">
        <v>218</v>
      </c>
      <c r="F214" s="14"/>
      <c r="G214" s="15"/>
      <c r="H214" s="21">
        <v>67</v>
      </c>
      <c r="I214" s="14">
        <f t="shared" si="3"/>
        <v>77.90169491525424</v>
      </c>
      <c r="J214" s="14">
        <f>Tabla13[[#This Row],[Precio final en USD]]*$P$4</f>
        <v>124.64271186440679</v>
      </c>
    </row>
    <row r="215" spans="1:11" x14ac:dyDescent="0.2">
      <c r="A215" s="12">
        <v>10379</v>
      </c>
      <c r="B215" s="11" t="s">
        <v>52</v>
      </c>
      <c r="C215" s="13" t="s">
        <v>290</v>
      </c>
      <c r="D215" s="12" t="s">
        <v>58</v>
      </c>
      <c r="E215" s="10" t="s">
        <v>59</v>
      </c>
      <c r="F215" s="14"/>
      <c r="G215" s="15"/>
      <c r="I215" s="14" t="str">
        <f t="shared" si="3"/>
        <v/>
      </c>
      <c r="J215" s="14" t="e">
        <f>Tabla13[[#This Row],[Precio final en USD]]*$P$4</f>
        <v>#VALUE!</v>
      </c>
      <c r="K215" s="10" t="s">
        <v>60</v>
      </c>
    </row>
    <row r="216" spans="1:11" x14ac:dyDescent="0.2">
      <c r="A216" s="11">
        <v>10381</v>
      </c>
      <c r="B216" s="12" t="s">
        <v>52</v>
      </c>
      <c r="C216" s="13" t="s">
        <v>291</v>
      </c>
      <c r="D216" s="12" t="s">
        <v>54</v>
      </c>
      <c r="E216" s="10" t="s">
        <v>84</v>
      </c>
      <c r="F216" s="14"/>
      <c r="G216" s="15"/>
      <c r="H216" s="23">
        <f>286.67/2</f>
        <v>143.33500000000001</v>
      </c>
      <c r="I216" s="14">
        <f t="shared" si="3"/>
        <v>166.65730508474579</v>
      </c>
      <c r="J216" s="14">
        <f>Tabla13[[#This Row],[Precio final en USD]]*$P$4</f>
        <v>266.65168813559325</v>
      </c>
    </row>
    <row r="217" spans="1:11" ht="15" customHeight="1" x14ac:dyDescent="0.2">
      <c r="A217" s="11">
        <v>10382</v>
      </c>
      <c r="B217" s="12" t="s">
        <v>52</v>
      </c>
      <c r="C217" s="13" t="s">
        <v>292</v>
      </c>
      <c r="D217" s="12" t="s">
        <v>54</v>
      </c>
      <c r="E217" s="10" t="s">
        <v>84</v>
      </c>
      <c r="F217" s="14"/>
      <c r="G217" s="15"/>
      <c r="H217" s="23">
        <f>369.23</f>
        <v>369.23</v>
      </c>
      <c r="I217" s="14">
        <f t="shared" si="3"/>
        <v>429.30810169491531</v>
      </c>
      <c r="J217" s="14">
        <f>Tabla13[[#This Row],[Precio final en USD]]*$P$4</f>
        <v>686.89296271186458</v>
      </c>
    </row>
    <row r="218" spans="1:11" x14ac:dyDescent="0.2">
      <c r="A218" s="11">
        <v>10385</v>
      </c>
      <c r="B218" s="12" t="s">
        <v>52</v>
      </c>
      <c r="C218" s="13" t="s">
        <v>293</v>
      </c>
      <c r="D218" s="12" t="s">
        <v>54</v>
      </c>
      <c r="E218" s="10" t="s">
        <v>68</v>
      </c>
      <c r="F218" s="14"/>
      <c r="G218" s="15">
        <v>140000</v>
      </c>
      <c r="I218" s="14">
        <f t="shared" si="3"/>
        <v>94.915254237288138</v>
      </c>
      <c r="J218" s="14">
        <f>Tabla13[[#This Row],[Precio final en USD]]*$P$4</f>
        <v>151.86440677966104</v>
      </c>
    </row>
    <row r="219" spans="1:11" x14ac:dyDescent="0.2">
      <c r="A219" s="11">
        <v>10407</v>
      </c>
      <c r="B219" s="12" t="s">
        <v>52</v>
      </c>
      <c r="C219" s="13" t="s">
        <v>36</v>
      </c>
      <c r="D219" s="12" t="s">
        <v>54</v>
      </c>
      <c r="E219" s="10" t="s">
        <v>84</v>
      </c>
      <c r="F219" s="14"/>
      <c r="G219" s="15"/>
      <c r="H219" s="23">
        <v>75</v>
      </c>
      <c r="I219" s="14">
        <f t="shared" si="3"/>
        <v>87.203389830508485</v>
      </c>
      <c r="J219" s="14">
        <f>Tabla13[[#This Row],[Precio final en USD]]*$P$4</f>
        <v>139.52542372881359</v>
      </c>
    </row>
    <row r="220" spans="1:11" x14ac:dyDescent="0.2">
      <c r="A220" s="11">
        <v>10410</v>
      </c>
      <c r="B220" s="12" t="s">
        <v>52</v>
      </c>
      <c r="C220" s="13" t="s">
        <v>294</v>
      </c>
      <c r="D220" s="12" t="s">
        <v>54</v>
      </c>
      <c r="E220" s="10" t="s">
        <v>84</v>
      </c>
      <c r="F220" s="14"/>
      <c r="G220" s="15"/>
      <c r="H220" s="23">
        <v>42.4</v>
      </c>
      <c r="I220" s="14">
        <f t="shared" si="3"/>
        <v>49.298983050847461</v>
      </c>
      <c r="J220" s="14">
        <f>Tabla13[[#This Row],[Precio final en USD]]*$P$4</f>
        <v>78.878372881355943</v>
      </c>
    </row>
    <row r="221" spans="1:11" x14ac:dyDescent="0.2">
      <c r="A221" s="11">
        <v>10411</v>
      </c>
      <c r="B221" s="12" t="s">
        <v>52</v>
      </c>
      <c r="C221" s="13" t="s">
        <v>295</v>
      </c>
      <c r="D221" s="12" t="s">
        <v>54</v>
      </c>
      <c r="E221" s="10" t="s">
        <v>84</v>
      </c>
      <c r="F221" s="14"/>
      <c r="G221" s="15"/>
      <c r="H221" s="23">
        <v>2.02</v>
      </c>
      <c r="I221" s="14">
        <f t="shared" si="3"/>
        <v>2.348677966101695</v>
      </c>
      <c r="J221" s="14">
        <f>Tabla13[[#This Row],[Precio final en USD]]*$P$4</f>
        <v>3.7578847457627123</v>
      </c>
    </row>
    <row r="222" spans="1:11" x14ac:dyDescent="0.2">
      <c r="A222" s="11">
        <v>10413</v>
      </c>
      <c r="B222" s="12" t="s">
        <v>52</v>
      </c>
      <c r="C222" s="13" t="s">
        <v>296</v>
      </c>
      <c r="D222" s="12" t="s">
        <v>54</v>
      </c>
      <c r="E222" s="10" t="s">
        <v>84</v>
      </c>
      <c r="F222" s="14"/>
      <c r="G222" s="15"/>
      <c r="H222" s="23">
        <v>13.15</v>
      </c>
      <c r="I222" s="14">
        <f t="shared" si="3"/>
        <v>15.289661016949154</v>
      </c>
      <c r="J222" s="14">
        <f>Tabla13[[#This Row],[Precio final en USD]]*$P$4</f>
        <v>24.463457627118647</v>
      </c>
    </row>
    <row r="223" spans="1:11" x14ac:dyDescent="0.2">
      <c r="A223" s="11">
        <v>10414</v>
      </c>
      <c r="B223" s="12" t="s">
        <v>52</v>
      </c>
      <c r="C223" s="13" t="s">
        <v>297</v>
      </c>
      <c r="D223" s="12" t="s">
        <v>54</v>
      </c>
      <c r="E223" s="10" t="s">
        <v>84</v>
      </c>
      <c r="F223" s="14"/>
      <c r="G223" s="15"/>
      <c r="H223" s="23">
        <v>4.72</v>
      </c>
      <c r="I223" s="14">
        <f t="shared" si="3"/>
        <v>5.4880000000000004</v>
      </c>
      <c r="J223" s="14">
        <f>Tabla13[[#This Row],[Precio final en USD]]*$P$4</f>
        <v>8.780800000000001</v>
      </c>
    </row>
    <row r="224" spans="1:11" x14ac:dyDescent="0.2">
      <c r="A224" s="11">
        <v>10415</v>
      </c>
      <c r="B224" s="12" t="s">
        <v>52</v>
      </c>
      <c r="C224" s="13" t="s">
        <v>298</v>
      </c>
      <c r="D224" s="12" t="s">
        <v>54</v>
      </c>
      <c r="E224" s="10" t="s">
        <v>84</v>
      </c>
      <c r="F224" s="14"/>
      <c r="G224" s="15"/>
      <c r="H224" s="23">
        <v>1.82</v>
      </c>
      <c r="I224" s="14">
        <f t="shared" si="3"/>
        <v>2.1161355932203394</v>
      </c>
      <c r="J224" s="14">
        <f>Tabla13[[#This Row],[Precio final en USD]]*$P$4</f>
        <v>3.3858169491525434</v>
      </c>
    </row>
    <row r="225" spans="1:10" x14ac:dyDescent="0.2">
      <c r="A225" s="11">
        <v>10416</v>
      </c>
      <c r="B225" s="12" t="s">
        <v>52</v>
      </c>
      <c r="C225" s="13" t="s">
        <v>299</v>
      </c>
      <c r="D225" s="12" t="s">
        <v>54</v>
      </c>
      <c r="E225" s="10" t="s">
        <v>84</v>
      </c>
      <c r="F225" s="14"/>
      <c r="G225" s="15"/>
      <c r="H225" s="23">
        <v>3.26</v>
      </c>
      <c r="I225" s="14">
        <f t="shared" si="3"/>
        <v>3.7904406779661017</v>
      </c>
      <c r="J225" s="14">
        <f>Tabla13[[#This Row],[Precio final en USD]]*$P$4</f>
        <v>6.0647050847457633</v>
      </c>
    </row>
    <row r="226" spans="1:10" x14ac:dyDescent="0.2">
      <c r="A226" s="11">
        <v>10417</v>
      </c>
      <c r="B226" s="12" t="s">
        <v>52</v>
      </c>
      <c r="C226" s="13" t="s">
        <v>300</v>
      </c>
      <c r="D226" s="12" t="s">
        <v>54</v>
      </c>
      <c r="E226" s="10" t="s">
        <v>84</v>
      </c>
      <c r="F226" s="14"/>
      <c r="G226" s="15"/>
      <c r="H226" s="23">
        <v>7.48</v>
      </c>
      <c r="I226" s="14">
        <f t="shared" si="3"/>
        <v>8.6970847457627123</v>
      </c>
      <c r="J226" s="14">
        <f>Tabla13[[#This Row],[Precio final en USD]]*$P$4</f>
        <v>13.915335593220341</v>
      </c>
    </row>
    <row r="227" spans="1:10" x14ac:dyDescent="0.2">
      <c r="A227" s="12">
        <v>10418</v>
      </c>
      <c r="B227" s="11" t="s">
        <v>52</v>
      </c>
      <c r="C227" s="13" t="s">
        <v>301</v>
      </c>
      <c r="D227" s="12" t="s">
        <v>58</v>
      </c>
      <c r="E227" s="10" t="s">
        <v>84</v>
      </c>
      <c r="F227" s="14"/>
      <c r="G227" s="15"/>
      <c r="H227" s="10">
        <v>41.84</v>
      </c>
      <c r="I227" s="14">
        <f t="shared" si="3"/>
        <v>48.647864406779668</v>
      </c>
      <c r="J227" s="14">
        <f>Tabla13[[#This Row],[Precio final en USD]]*$P$4</f>
        <v>77.83658305084748</v>
      </c>
    </row>
    <row r="228" spans="1:10" x14ac:dyDescent="0.2">
      <c r="A228" s="11">
        <v>10419</v>
      </c>
      <c r="B228" s="12" t="s">
        <v>52</v>
      </c>
      <c r="C228" s="13" t="s">
        <v>302</v>
      </c>
      <c r="D228" s="12" t="s">
        <v>54</v>
      </c>
      <c r="E228" s="10" t="s">
        <v>84</v>
      </c>
      <c r="F228" s="14"/>
      <c r="G228" s="15"/>
      <c r="H228" s="23">
        <v>161.97999999999999</v>
      </c>
      <c r="I228" s="14">
        <f t="shared" si="3"/>
        <v>188.33606779661017</v>
      </c>
      <c r="J228" s="14">
        <f>Tabla13[[#This Row],[Precio final en USD]]*$P$4</f>
        <v>301.33770847457629</v>
      </c>
    </row>
    <row r="229" spans="1:10" x14ac:dyDescent="0.2">
      <c r="A229" s="11">
        <v>10420</v>
      </c>
      <c r="B229" s="12" t="s">
        <v>52</v>
      </c>
      <c r="C229" s="13" t="s">
        <v>303</v>
      </c>
      <c r="D229" s="12" t="s">
        <v>54</v>
      </c>
      <c r="E229" s="10" t="s">
        <v>84</v>
      </c>
      <c r="F229" s="14"/>
      <c r="G229" s="15"/>
      <c r="H229" s="23">
        <v>285.8</v>
      </c>
      <c r="I229" s="14">
        <f t="shared" si="3"/>
        <v>332.30305084745765</v>
      </c>
      <c r="J229" s="14">
        <f>Tabla13[[#This Row],[Precio final en USD]]*$P$4</f>
        <v>531.68488135593225</v>
      </c>
    </row>
    <row r="230" spans="1:10" x14ac:dyDescent="0.2">
      <c r="A230" s="12">
        <v>10420</v>
      </c>
      <c r="B230" s="11" t="s">
        <v>52</v>
      </c>
      <c r="C230" s="13" t="s">
        <v>30</v>
      </c>
      <c r="D230" s="12" t="s">
        <v>58</v>
      </c>
      <c r="E230" s="10" t="s">
        <v>84</v>
      </c>
      <c r="F230" s="14"/>
      <c r="G230" s="15"/>
      <c r="H230" s="23">
        <v>285.8</v>
      </c>
      <c r="I230" s="14">
        <f t="shared" si="3"/>
        <v>332.30305084745765</v>
      </c>
      <c r="J230" s="14">
        <f>Tabla13[[#This Row],[Precio final en USD]]*$P$4</f>
        <v>531.68488135593225</v>
      </c>
    </row>
    <row r="231" spans="1:10" x14ac:dyDescent="0.2">
      <c r="A231" s="12">
        <v>10421</v>
      </c>
      <c r="B231" s="11" t="s">
        <v>52</v>
      </c>
      <c r="C231" s="13" t="s">
        <v>304</v>
      </c>
      <c r="D231" s="12" t="s">
        <v>58</v>
      </c>
      <c r="E231" s="10" t="s">
        <v>84</v>
      </c>
      <c r="F231" s="14"/>
      <c r="G231" s="15"/>
      <c r="H231" s="23">
        <v>127</v>
      </c>
      <c r="I231" s="14">
        <f t="shared" si="3"/>
        <v>147.66440677966102</v>
      </c>
      <c r="J231" s="14">
        <f>Tabla13[[#This Row],[Precio final en USD]]*$P$4</f>
        <v>236.26305084745763</v>
      </c>
    </row>
    <row r="232" spans="1:10" x14ac:dyDescent="0.2">
      <c r="A232" s="11">
        <v>10422</v>
      </c>
      <c r="B232" s="12" t="s">
        <v>52</v>
      </c>
      <c r="C232" s="13" t="s">
        <v>305</v>
      </c>
      <c r="D232" s="12" t="s">
        <v>54</v>
      </c>
      <c r="E232" s="10" t="s">
        <v>84</v>
      </c>
      <c r="F232" s="14"/>
      <c r="G232" s="15"/>
      <c r="H232" s="23">
        <v>51.51</v>
      </c>
      <c r="I232" s="14">
        <f t="shared" si="3"/>
        <v>59.891288135593221</v>
      </c>
      <c r="J232" s="14">
        <f>Tabla13[[#This Row],[Precio final en USD]]*$P$4</f>
        <v>95.826061016949154</v>
      </c>
    </row>
    <row r="233" spans="1:10" x14ac:dyDescent="0.2">
      <c r="A233" s="11">
        <v>10423</v>
      </c>
      <c r="B233" s="12" t="s">
        <v>52</v>
      </c>
      <c r="C233" s="13" t="s">
        <v>306</v>
      </c>
      <c r="D233" s="12" t="s">
        <v>54</v>
      </c>
      <c r="E233" s="10" t="s">
        <v>84</v>
      </c>
      <c r="F233" s="14"/>
      <c r="G233" s="15"/>
      <c r="H233" s="23">
        <v>58.6</v>
      </c>
      <c r="I233" s="14">
        <f t="shared" si="3"/>
        <v>68.134915254237299</v>
      </c>
      <c r="J233" s="14">
        <f>Tabla13[[#This Row],[Precio final en USD]]*$P$4</f>
        <v>109.01586440677968</v>
      </c>
    </row>
    <row r="234" spans="1:10" x14ac:dyDescent="0.2">
      <c r="A234" s="11">
        <v>10424</v>
      </c>
      <c r="B234" s="12" t="s">
        <v>52</v>
      </c>
      <c r="C234" s="13" t="s">
        <v>307</v>
      </c>
      <c r="D234" s="12" t="s">
        <v>54</v>
      </c>
      <c r="E234" s="10" t="s">
        <v>84</v>
      </c>
      <c r="F234" s="14"/>
      <c r="G234" s="15"/>
      <c r="H234" s="23">
        <v>370</v>
      </c>
      <c r="I234" s="14">
        <f t="shared" si="3"/>
        <v>430.20338983050851</v>
      </c>
      <c r="J234" s="14">
        <f>Tabla13[[#This Row],[Precio final en USD]]*$P$4</f>
        <v>688.32542372881369</v>
      </c>
    </row>
    <row r="235" spans="1:10" x14ac:dyDescent="0.2">
      <c r="A235" s="11">
        <v>10426</v>
      </c>
      <c r="B235" s="12" t="s">
        <v>52</v>
      </c>
      <c r="C235" s="13" t="s">
        <v>308</v>
      </c>
      <c r="D235" s="12" t="s">
        <v>54</v>
      </c>
      <c r="E235" s="10" t="s">
        <v>84</v>
      </c>
      <c r="F235" s="14"/>
      <c r="G235" s="15"/>
      <c r="H235" s="23">
        <v>178.42</v>
      </c>
      <c r="I235" s="14">
        <f t="shared" si="3"/>
        <v>207.45105084745762</v>
      </c>
      <c r="J235" s="14">
        <f>Tabla13[[#This Row],[Precio final en USD]]*$P$4</f>
        <v>331.92168135593221</v>
      </c>
    </row>
    <row r="236" spans="1:10" x14ac:dyDescent="0.2">
      <c r="A236" s="11">
        <v>10427</v>
      </c>
      <c r="B236" s="12" t="s">
        <v>52</v>
      </c>
      <c r="C236" s="13" t="s">
        <v>309</v>
      </c>
      <c r="D236" s="12" t="s">
        <v>54</v>
      </c>
      <c r="E236" s="10" t="s">
        <v>84</v>
      </c>
      <c r="F236" s="14"/>
      <c r="G236" s="15"/>
      <c r="H236" s="23">
        <v>12.9</v>
      </c>
      <c r="I236" s="14">
        <f t="shared" si="3"/>
        <v>14.998983050847459</v>
      </c>
      <c r="J236" s="14">
        <f>Tabla13[[#This Row],[Precio final en USD]]*$P$4</f>
        <v>23.998372881355934</v>
      </c>
    </row>
    <row r="237" spans="1:10" x14ac:dyDescent="0.2">
      <c r="A237" s="11">
        <v>10428</v>
      </c>
      <c r="B237" s="12" t="s">
        <v>52</v>
      </c>
      <c r="C237" s="13" t="s">
        <v>310</v>
      </c>
      <c r="D237" s="12" t="s">
        <v>54</v>
      </c>
      <c r="E237" s="10" t="s">
        <v>84</v>
      </c>
      <c r="F237" s="14"/>
      <c r="G237" s="15"/>
      <c r="H237" s="23">
        <v>10.220000000000001</v>
      </c>
      <c r="I237" s="14">
        <f t="shared" si="3"/>
        <v>11.88291525423729</v>
      </c>
      <c r="J237" s="14">
        <f>Tabla13[[#This Row],[Precio final en USD]]*$P$4</f>
        <v>19.012664406779663</v>
      </c>
    </row>
    <row r="238" spans="1:10" x14ac:dyDescent="0.2">
      <c r="A238" s="11">
        <v>10429</v>
      </c>
      <c r="B238" s="12" t="s">
        <v>52</v>
      </c>
      <c r="C238" s="13" t="s">
        <v>311</v>
      </c>
      <c r="D238" s="12" t="s">
        <v>54</v>
      </c>
      <c r="E238" s="10" t="s">
        <v>84</v>
      </c>
      <c r="F238" s="14"/>
      <c r="G238" s="15"/>
      <c r="H238" s="23">
        <v>3.46</v>
      </c>
      <c r="I238" s="14">
        <f t="shared" si="3"/>
        <v>4.0229830508474578</v>
      </c>
      <c r="J238" s="14">
        <f>Tabla13[[#This Row],[Precio final en USD]]*$P$4</f>
        <v>6.4367728813559326</v>
      </c>
    </row>
    <row r="239" spans="1:10" x14ac:dyDescent="0.2">
      <c r="A239" s="11">
        <v>10430</v>
      </c>
      <c r="B239" s="12" t="s">
        <v>52</v>
      </c>
      <c r="C239" s="13" t="s">
        <v>312</v>
      </c>
      <c r="D239" s="12" t="s">
        <v>54</v>
      </c>
      <c r="E239" s="10" t="s">
        <v>84</v>
      </c>
      <c r="F239" s="14"/>
      <c r="G239" s="15"/>
      <c r="H239" s="23">
        <v>4.9800000000000004</v>
      </c>
      <c r="I239" s="14">
        <f t="shared" si="3"/>
        <v>5.7903050847457633</v>
      </c>
      <c r="J239" s="14">
        <f>Tabla13[[#This Row],[Precio final en USD]]*$P$4</f>
        <v>9.264488135593222</v>
      </c>
    </row>
    <row r="240" spans="1:10" x14ac:dyDescent="0.2">
      <c r="A240" s="11">
        <v>10431</v>
      </c>
      <c r="B240" s="12" t="s">
        <v>52</v>
      </c>
      <c r="C240" s="13" t="s">
        <v>313</v>
      </c>
      <c r="D240" s="12" t="s">
        <v>54</v>
      </c>
      <c r="E240" s="10" t="s">
        <v>84</v>
      </c>
      <c r="F240" s="14"/>
      <c r="G240" s="15"/>
      <c r="H240" s="23">
        <v>239.14</v>
      </c>
      <c r="I240" s="14">
        <f t="shared" si="3"/>
        <v>278.05091525423728</v>
      </c>
      <c r="J240" s="14">
        <f>Tabla13[[#This Row],[Precio final en USD]]*$P$4</f>
        <v>444.88146440677968</v>
      </c>
    </row>
    <row r="241" spans="1:11" x14ac:dyDescent="0.2">
      <c r="A241" s="11">
        <v>10433</v>
      </c>
      <c r="B241" s="12" t="s">
        <v>52</v>
      </c>
      <c r="C241" s="13" t="s">
        <v>23</v>
      </c>
      <c r="D241" s="12" t="s">
        <v>54</v>
      </c>
      <c r="E241" s="10" t="s">
        <v>84</v>
      </c>
      <c r="F241" s="14"/>
      <c r="G241" s="15"/>
      <c r="H241" s="23">
        <v>115.8</v>
      </c>
      <c r="I241" s="14">
        <f t="shared" si="3"/>
        <v>134.6420338983051</v>
      </c>
      <c r="J241" s="14">
        <f>Tabla13[[#This Row],[Precio final en USD]]*$P$4</f>
        <v>215.42725423728817</v>
      </c>
    </row>
    <row r="242" spans="1:11" x14ac:dyDescent="0.2">
      <c r="A242" s="11">
        <v>10434</v>
      </c>
      <c r="B242" s="12" t="s">
        <v>52</v>
      </c>
      <c r="C242" s="13" t="s">
        <v>25</v>
      </c>
      <c r="D242" s="12" t="s">
        <v>54</v>
      </c>
      <c r="E242" s="10" t="s">
        <v>84</v>
      </c>
      <c r="F242" s="14"/>
      <c r="G242" s="15"/>
      <c r="H242" s="23">
        <v>239.8</v>
      </c>
      <c r="I242" s="14">
        <f t="shared" si="3"/>
        <v>278.81830508474582</v>
      </c>
      <c r="J242" s="14">
        <f>Tabla13[[#This Row],[Precio final en USD]]*$P$4</f>
        <v>446.10928813559332</v>
      </c>
    </row>
    <row r="243" spans="1:11" x14ac:dyDescent="0.2">
      <c r="A243" s="11">
        <v>10435</v>
      </c>
      <c r="B243" s="12" t="s">
        <v>52</v>
      </c>
      <c r="C243" s="13" t="s">
        <v>26</v>
      </c>
      <c r="D243" s="12" t="s">
        <v>54</v>
      </c>
      <c r="E243" s="10" t="s">
        <v>84</v>
      </c>
      <c r="F243" s="14"/>
      <c r="G243" s="15"/>
      <c r="H243" s="23">
        <v>48.98</v>
      </c>
      <c r="I243" s="14">
        <f t="shared" si="3"/>
        <v>56.949627118644067</v>
      </c>
      <c r="J243" s="14">
        <f>Tabla13[[#This Row],[Precio final en USD]]*$P$4</f>
        <v>91.119403389830509</v>
      </c>
    </row>
    <row r="244" spans="1:11" x14ac:dyDescent="0.2">
      <c r="A244" s="11">
        <v>10436</v>
      </c>
      <c r="B244" s="12" t="s">
        <v>52</v>
      </c>
      <c r="C244" s="13" t="s">
        <v>314</v>
      </c>
      <c r="D244" s="12" t="s">
        <v>54</v>
      </c>
      <c r="E244" s="10" t="s">
        <v>84</v>
      </c>
      <c r="F244" s="14"/>
      <c r="G244" s="15"/>
      <c r="H244" s="23">
        <v>136.97999999999999</v>
      </c>
      <c r="I244" s="14">
        <f t="shared" si="3"/>
        <v>159.26827118644067</v>
      </c>
      <c r="J244" s="14">
        <f>Tabla13[[#This Row],[Precio final en USD]]*$P$4</f>
        <v>254.82923389830509</v>
      </c>
    </row>
    <row r="245" spans="1:11" x14ac:dyDescent="0.2">
      <c r="A245" s="12">
        <v>10465</v>
      </c>
      <c r="B245" s="11" t="s">
        <v>52</v>
      </c>
      <c r="C245" s="13" t="s">
        <v>315</v>
      </c>
      <c r="D245" s="12" t="s">
        <v>58</v>
      </c>
      <c r="E245" s="10" t="s">
        <v>59</v>
      </c>
      <c r="F245" s="14"/>
      <c r="G245" s="15"/>
      <c r="I245" s="14" t="str">
        <f t="shared" si="3"/>
        <v/>
      </c>
      <c r="J245" s="14" t="e">
        <f>Tabla13[[#This Row],[Precio final en USD]]*$P$4</f>
        <v>#VALUE!</v>
      </c>
      <c r="K245" s="10" t="s">
        <v>60</v>
      </c>
    </row>
    <row r="246" spans="1:11" x14ac:dyDescent="0.2">
      <c r="A246" s="11">
        <v>10466</v>
      </c>
      <c r="B246" s="12" t="s">
        <v>52</v>
      </c>
      <c r="C246" s="13" t="s">
        <v>316</v>
      </c>
      <c r="D246" s="12" t="s">
        <v>54</v>
      </c>
      <c r="E246" s="10" t="s">
        <v>84</v>
      </c>
      <c r="F246" s="14"/>
      <c r="G246" s="15"/>
      <c r="H246" s="23">
        <v>93.38</v>
      </c>
      <c r="I246" s="14">
        <f t="shared" si="3"/>
        <v>108.57403389830509</v>
      </c>
      <c r="J246" s="14">
        <f>Tabla13[[#This Row],[Precio final en USD]]*$P$4</f>
        <v>173.71845423728814</v>
      </c>
    </row>
    <row r="247" spans="1:11" x14ac:dyDescent="0.2">
      <c r="A247" s="11">
        <v>10472</v>
      </c>
      <c r="B247" s="12" t="s">
        <v>52</v>
      </c>
      <c r="C247" s="13" t="s">
        <v>317</v>
      </c>
      <c r="D247" s="12" t="s">
        <v>54</v>
      </c>
      <c r="E247" s="10" t="s">
        <v>84</v>
      </c>
      <c r="F247" s="14"/>
      <c r="G247" s="15"/>
      <c r="H247" s="23">
        <v>196.83</v>
      </c>
      <c r="I247" s="14">
        <f t="shared" si="3"/>
        <v>228.85657627118647</v>
      </c>
      <c r="J247" s="14">
        <f>Tabla13[[#This Row],[Precio final en USD]]*$P$4</f>
        <v>366.17052203389835</v>
      </c>
    </row>
    <row r="248" spans="1:11" x14ac:dyDescent="0.2">
      <c r="A248" s="11">
        <v>10473</v>
      </c>
      <c r="B248" s="12" t="s">
        <v>52</v>
      </c>
      <c r="C248" s="13" t="s">
        <v>318</v>
      </c>
      <c r="D248" s="12" t="s">
        <v>54</v>
      </c>
      <c r="E248" s="10" t="s">
        <v>84</v>
      </c>
      <c r="F248" s="14"/>
      <c r="G248" s="15"/>
      <c r="H248" s="23">
        <v>34</v>
      </c>
      <c r="I248" s="14">
        <f t="shared" si="3"/>
        <v>39.532203389830514</v>
      </c>
      <c r="J248" s="14">
        <f>Tabla13[[#This Row],[Precio final en USD]]*$P$4</f>
        <v>63.251525423728822</v>
      </c>
    </row>
    <row r="249" spans="1:11" x14ac:dyDescent="0.2">
      <c r="A249" s="11">
        <v>10474</v>
      </c>
      <c r="B249" s="12" t="s">
        <v>52</v>
      </c>
      <c r="C249" s="13" t="s">
        <v>319</v>
      </c>
      <c r="D249" s="12" t="s">
        <v>54</v>
      </c>
      <c r="E249" s="10" t="s">
        <v>84</v>
      </c>
      <c r="F249" s="14"/>
      <c r="G249" s="15"/>
      <c r="H249" s="23">
        <v>11.86</v>
      </c>
      <c r="I249" s="14">
        <f t="shared" si="3"/>
        <v>13.789762711864407</v>
      </c>
      <c r="J249" s="14">
        <f>Tabla13[[#This Row],[Precio final en USD]]*$P$4</f>
        <v>22.063620338983053</v>
      </c>
    </row>
    <row r="250" spans="1:11" x14ac:dyDescent="0.2">
      <c r="A250" s="11">
        <v>10475</v>
      </c>
      <c r="B250" s="12" t="s">
        <v>52</v>
      </c>
      <c r="C250" s="13" t="s">
        <v>320</v>
      </c>
      <c r="D250" s="12" t="s">
        <v>54</v>
      </c>
      <c r="E250" s="10" t="s">
        <v>84</v>
      </c>
      <c r="F250" s="14"/>
      <c r="G250" s="15"/>
      <c r="H250" s="23">
        <v>12.16</v>
      </c>
      <c r="I250" s="14">
        <f t="shared" si="3"/>
        <v>14.138576271186443</v>
      </c>
      <c r="J250" s="14">
        <f>Tabla13[[#This Row],[Precio final en USD]]*$P$4</f>
        <v>22.621722033898308</v>
      </c>
    </row>
    <row r="251" spans="1:11" x14ac:dyDescent="0.2">
      <c r="A251" s="11">
        <v>10476</v>
      </c>
      <c r="B251" s="12" t="s">
        <v>52</v>
      </c>
      <c r="C251" s="13" t="s">
        <v>321</v>
      </c>
      <c r="D251" s="12" t="s">
        <v>54</v>
      </c>
      <c r="E251" s="10" t="s">
        <v>84</v>
      </c>
      <c r="F251" s="14"/>
      <c r="G251" s="15"/>
      <c r="H251" s="23">
        <v>0.54</v>
      </c>
      <c r="I251" s="14">
        <f t="shared" si="3"/>
        <v>0.62786440677966115</v>
      </c>
      <c r="J251" s="14">
        <f>Tabla13[[#This Row],[Precio final en USD]]*$P$4</f>
        <v>1.0045830508474578</v>
      </c>
    </row>
    <row r="252" spans="1:11" x14ac:dyDescent="0.2">
      <c r="A252" s="11">
        <v>10478</v>
      </c>
      <c r="B252" s="12" t="s">
        <v>52</v>
      </c>
      <c r="C252" s="13" t="s">
        <v>322</v>
      </c>
      <c r="D252" s="12" t="s">
        <v>54</v>
      </c>
      <c r="E252" s="10" t="s">
        <v>84</v>
      </c>
      <c r="F252" s="14"/>
      <c r="G252" s="15"/>
      <c r="H252" s="23">
        <v>65.98</v>
      </c>
      <c r="I252" s="14">
        <f t="shared" si="3"/>
        <v>76.715728813559338</v>
      </c>
      <c r="J252" s="14">
        <f>Tabla13[[#This Row],[Precio final en USD]]*$P$4</f>
        <v>122.74516610169495</v>
      </c>
    </row>
    <row r="253" spans="1:11" x14ac:dyDescent="0.2">
      <c r="A253" s="11">
        <v>10479</v>
      </c>
      <c r="B253" s="12" t="s">
        <v>52</v>
      </c>
      <c r="C253" s="13" t="s">
        <v>323</v>
      </c>
      <c r="D253" s="12" t="s">
        <v>54</v>
      </c>
      <c r="E253" s="10" t="s">
        <v>84</v>
      </c>
      <c r="F253" s="14"/>
      <c r="G253" s="15"/>
      <c r="H253" s="23">
        <v>2.84</v>
      </c>
      <c r="I253" s="14">
        <f t="shared" si="3"/>
        <v>3.3021016949152542</v>
      </c>
      <c r="J253" s="14">
        <f>Tabla13[[#This Row],[Precio final en USD]]*$P$4</f>
        <v>5.2833627118644069</v>
      </c>
    </row>
    <row r="254" spans="1:11" ht="14.5" customHeight="1" x14ac:dyDescent="0.2">
      <c r="A254" s="11">
        <v>10481</v>
      </c>
      <c r="B254" s="12" t="s">
        <v>52</v>
      </c>
      <c r="C254" s="13" t="s">
        <v>324</v>
      </c>
      <c r="D254" s="12" t="s">
        <v>54</v>
      </c>
      <c r="E254" s="10" t="s">
        <v>84</v>
      </c>
      <c r="F254" s="14"/>
      <c r="G254" s="15"/>
      <c r="H254" s="23">
        <v>1.94</v>
      </c>
      <c r="I254" s="14">
        <f t="shared" si="3"/>
        <v>2.2556610169491527</v>
      </c>
      <c r="J254" s="14">
        <f>Tabla13[[#This Row],[Precio final en USD]]*$P$4</f>
        <v>3.6090576271186445</v>
      </c>
    </row>
    <row r="255" spans="1:11" x14ac:dyDescent="0.2">
      <c r="A255" s="11">
        <v>10482</v>
      </c>
      <c r="B255" s="12" t="s">
        <v>52</v>
      </c>
      <c r="C255" s="13" t="s">
        <v>325</v>
      </c>
      <c r="D255" s="12" t="s">
        <v>54</v>
      </c>
      <c r="E255" s="10" t="s">
        <v>84</v>
      </c>
      <c r="F255" s="14"/>
      <c r="G255" s="15"/>
      <c r="H255" s="19">
        <v>98.38</v>
      </c>
      <c r="I255" s="14">
        <f t="shared" si="3"/>
        <v>114.38759322033899</v>
      </c>
      <c r="J255" s="14">
        <f>Tabla13[[#This Row],[Precio final en USD]]*$P$4</f>
        <v>183.02014915254239</v>
      </c>
    </row>
    <row r="256" spans="1:11" x14ac:dyDescent="0.2">
      <c r="A256" s="11">
        <v>10483</v>
      </c>
      <c r="B256" s="12" t="s">
        <v>52</v>
      </c>
      <c r="C256" s="13" t="s">
        <v>326</v>
      </c>
      <c r="D256" s="12" t="s">
        <v>54</v>
      </c>
      <c r="E256" s="10" t="s">
        <v>84</v>
      </c>
      <c r="F256" s="14"/>
      <c r="G256" s="15"/>
      <c r="H256" s="23">
        <v>0.32</v>
      </c>
      <c r="I256" s="14">
        <f t="shared" si="3"/>
        <v>0.37206779661016953</v>
      </c>
      <c r="J256" s="14">
        <f>Tabla13[[#This Row],[Precio final en USD]]*$P$4</f>
        <v>0.59530847457627123</v>
      </c>
    </row>
    <row r="257" spans="1:10" x14ac:dyDescent="0.2">
      <c r="A257" s="11">
        <v>10484</v>
      </c>
      <c r="B257" s="12" t="s">
        <v>52</v>
      </c>
      <c r="C257" s="13" t="s">
        <v>327</v>
      </c>
      <c r="D257" s="12" t="s">
        <v>54</v>
      </c>
      <c r="E257" s="10" t="s">
        <v>84</v>
      </c>
      <c r="F257" s="14"/>
      <c r="G257" s="15"/>
      <c r="H257" s="23">
        <v>2.2400000000000002</v>
      </c>
      <c r="I257" s="14">
        <f t="shared" si="3"/>
        <v>2.6044745762711869</v>
      </c>
      <c r="J257" s="14">
        <f>Tabla13[[#This Row],[Precio final en USD]]*$P$4</f>
        <v>4.1671593220338989</v>
      </c>
    </row>
    <row r="258" spans="1:10" x14ac:dyDescent="0.2">
      <c r="A258" s="11">
        <v>10485</v>
      </c>
      <c r="B258" s="12" t="s">
        <v>52</v>
      </c>
      <c r="C258" s="13" t="s">
        <v>328</v>
      </c>
      <c r="D258" s="12" t="s">
        <v>54</v>
      </c>
      <c r="E258" s="10" t="s">
        <v>84</v>
      </c>
      <c r="F258" s="14"/>
      <c r="G258" s="15"/>
      <c r="H258" s="23">
        <v>3.06</v>
      </c>
      <c r="I258" s="14">
        <f t="shared" ref="I258:I321" si="4">IF(AND(F258="",G258="",H258=""),"",IF(F258&lt;&gt;"",F258,IF(G258&lt;&gt;"",G258/$O$1,IF(H258&lt;&gt;"",H258*$O$2,"ver"))))</f>
        <v>3.5578983050847461</v>
      </c>
      <c r="J258" s="14">
        <f>Tabla13[[#This Row],[Precio final en USD]]*$P$4</f>
        <v>5.692637288135594</v>
      </c>
    </row>
    <row r="259" spans="1:10" x14ac:dyDescent="0.2">
      <c r="A259" s="11">
        <v>10486</v>
      </c>
      <c r="B259" s="12" t="s">
        <v>52</v>
      </c>
      <c r="C259" s="13" t="s">
        <v>329</v>
      </c>
      <c r="D259" s="12" t="s">
        <v>54</v>
      </c>
      <c r="E259" s="10" t="s">
        <v>84</v>
      </c>
      <c r="F259" s="14"/>
      <c r="G259" s="15"/>
      <c r="H259" s="23">
        <v>0.74</v>
      </c>
      <c r="I259" s="14">
        <f t="shared" si="4"/>
        <v>0.86040677966101697</v>
      </c>
      <c r="J259" s="14">
        <f>Tabla13[[#This Row],[Precio final en USD]]*$P$4</f>
        <v>1.3766508474576273</v>
      </c>
    </row>
    <row r="260" spans="1:10" x14ac:dyDescent="0.2">
      <c r="A260" s="11">
        <v>10487</v>
      </c>
      <c r="B260" s="12" t="s">
        <v>52</v>
      </c>
      <c r="C260" s="13" t="s">
        <v>330</v>
      </c>
      <c r="D260" s="12" t="s">
        <v>54</v>
      </c>
      <c r="E260" s="10" t="s">
        <v>84</v>
      </c>
      <c r="F260" s="14"/>
      <c r="G260" s="15"/>
      <c r="H260" s="23">
        <v>2.2400000000000002</v>
      </c>
      <c r="I260" s="14">
        <f t="shared" si="4"/>
        <v>2.6044745762711869</v>
      </c>
      <c r="J260" s="14">
        <f>Tabla13[[#This Row],[Precio final en USD]]*$P$4</f>
        <v>4.1671593220338989</v>
      </c>
    </row>
    <row r="261" spans="1:10" x14ac:dyDescent="0.2">
      <c r="A261" s="11">
        <v>10488</v>
      </c>
      <c r="B261" s="12" t="s">
        <v>52</v>
      </c>
      <c r="C261" s="13" t="s">
        <v>331</v>
      </c>
      <c r="D261" s="12" t="s">
        <v>54</v>
      </c>
      <c r="E261" s="10" t="s">
        <v>84</v>
      </c>
      <c r="F261" s="14"/>
      <c r="G261" s="15"/>
      <c r="H261" s="23">
        <v>38.619999999999997</v>
      </c>
      <c r="I261" s="14">
        <f t="shared" si="4"/>
        <v>44.903932203389829</v>
      </c>
      <c r="J261" s="14">
        <f>Tabla13[[#This Row],[Precio final en USD]]*$P$4</f>
        <v>71.846291525423723</v>
      </c>
    </row>
    <row r="262" spans="1:10" x14ac:dyDescent="0.2">
      <c r="A262" s="11">
        <v>10489</v>
      </c>
      <c r="B262" s="12" t="s">
        <v>52</v>
      </c>
      <c r="C262" s="13" t="s">
        <v>332</v>
      </c>
      <c r="D262" s="12" t="s">
        <v>54</v>
      </c>
      <c r="E262" s="10" t="s">
        <v>84</v>
      </c>
      <c r="F262" s="14"/>
      <c r="G262" s="15"/>
      <c r="H262" s="23">
        <v>12.48</v>
      </c>
      <c r="I262" s="14">
        <f t="shared" si="4"/>
        <v>14.510644067796612</v>
      </c>
      <c r="J262" s="14">
        <f>Tabla13[[#This Row],[Precio final en USD]]*$P$4</f>
        <v>23.217030508474579</v>
      </c>
    </row>
    <row r="263" spans="1:10" x14ac:dyDescent="0.2">
      <c r="A263" s="11">
        <v>10490</v>
      </c>
      <c r="B263" s="12" t="s">
        <v>52</v>
      </c>
      <c r="C263" s="13" t="s">
        <v>333</v>
      </c>
      <c r="D263" s="12" t="s">
        <v>54</v>
      </c>
      <c r="E263" s="10" t="s">
        <v>84</v>
      </c>
      <c r="F263" s="14"/>
      <c r="G263" s="15"/>
      <c r="H263" s="23">
        <v>0.54</v>
      </c>
      <c r="I263" s="14">
        <f t="shared" si="4"/>
        <v>0.62786440677966115</v>
      </c>
      <c r="J263" s="14">
        <f>Tabla13[[#This Row],[Precio final en USD]]*$P$4</f>
        <v>1.0045830508474578</v>
      </c>
    </row>
    <row r="264" spans="1:10" x14ac:dyDescent="0.2">
      <c r="A264" s="11">
        <v>10491</v>
      </c>
      <c r="B264" s="12" t="s">
        <v>52</v>
      </c>
      <c r="C264" s="13" t="s">
        <v>35</v>
      </c>
      <c r="D264" s="12" t="s">
        <v>54</v>
      </c>
      <c r="E264" s="10" t="s">
        <v>84</v>
      </c>
      <c r="F264" s="14"/>
      <c r="G264" s="15"/>
      <c r="H264" s="23">
        <v>11.86</v>
      </c>
      <c r="I264" s="14">
        <f t="shared" si="4"/>
        <v>13.789762711864407</v>
      </c>
      <c r="J264" s="14">
        <f>Tabla13[[#This Row],[Precio final en USD]]*$P$4</f>
        <v>22.063620338983053</v>
      </c>
    </row>
    <row r="265" spans="1:10" x14ac:dyDescent="0.2">
      <c r="A265" s="11">
        <v>10492</v>
      </c>
      <c r="B265" s="12" t="s">
        <v>52</v>
      </c>
      <c r="C265" s="13" t="s">
        <v>334</v>
      </c>
      <c r="D265" s="12" t="s">
        <v>54</v>
      </c>
      <c r="E265" s="10" t="s">
        <v>84</v>
      </c>
      <c r="F265" s="14"/>
      <c r="G265" s="15"/>
      <c r="H265" s="23">
        <v>19.510000000000002</v>
      </c>
      <c r="I265" s="14">
        <f t="shared" si="4"/>
        <v>22.684508474576276</v>
      </c>
      <c r="J265" s="14">
        <f>Tabla13[[#This Row],[Precio final en USD]]*$P$4</f>
        <v>36.295213559322043</v>
      </c>
    </row>
    <row r="266" spans="1:10" x14ac:dyDescent="0.2">
      <c r="A266" s="11">
        <v>10494</v>
      </c>
      <c r="B266" s="12" t="s">
        <v>52</v>
      </c>
      <c r="C266" s="13" t="s">
        <v>335</v>
      </c>
      <c r="D266" s="12" t="s">
        <v>54</v>
      </c>
      <c r="E266" s="10" t="s">
        <v>84</v>
      </c>
      <c r="F266" s="14"/>
      <c r="G266" s="15"/>
      <c r="H266" s="23">
        <v>27.66</v>
      </c>
      <c r="I266" s="14">
        <f t="shared" si="4"/>
        <v>32.160610169491527</v>
      </c>
      <c r="J266" s="14">
        <f>Tabla13[[#This Row],[Precio final en USD]]*$P$4</f>
        <v>51.456976271186448</v>
      </c>
    </row>
    <row r="267" spans="1:10" x14ac:dyDescent="0.2">
      <c r="A267" s="11">
        <v>10495</v>
      </c>
      <c r="B267" s="12" t="s">
        <v>52</v>
      </c>
      <c r="C267" s="13" t="s">
        <v>336</v>
      </c>
      <c r="D267" s="12" t="s">
        <v>54</v>
      </c>
      <c r="E267" s="10" t="s">
        <v>84</v>
      </c>
      <c r="F267" s="14"/>
      <c r="G267" s="15"/>
      <c r="H267" s="23">
        <v>2.02</v>
      </c>
      <c r="I267" s="14">
        <f t="shared" si="4"/>
        <v>2.348677966101695</v>
      </c>
      <c r="J267" s="14">
        <f>Tabla13[[#This Row],[Precio final en USD]]*$P$4</f>
        <v>3.7578847457627123</v>
      </c>
    </row>
    <row r="268" spans="1:10" x14ac:dyDescent="0.2">
      <c r="A268" s="11">
        <v>10497</v>
      </c>
      <c r="B268" s="12" t="s">
        <v>52</v>
      </c>
      <c r="C268" s="13" t="s">
        <v>337</v>
      </c>
      <c r="D268" s="12" t="s">
        <v>54</v>
      </c>
      <c r="E268" s="10" t="s">
        <v>84</v>
      </c>
      <c r="F268" s="14"/>
      <c r="G268" s="15"/>
      <c r="H268" s="23">
        <v>2.2400000000000002</v>
      </c>
      <c r="I268" s="14">
        <f t="shared" si="4"/>
        <v>2.6044745762711869</v>
      </c>
      <c r="J268" s="14">
        <f>Tabla13[[#This Row],[Precio final en USD]]*$P$4</f>
        <v>4.1671593220338989</v>
      </c>
    </row>
    <row r="269" spans="1:10" x14ac:dyDescent="0.2">
      <c r="A269" s="11">
        <v>10498</v>
      </c>
      <c r="B269" s="12" t="s">
        <v>52</v>
      </c>
      <c r="C269" s="13" t="s">
        <v>338</v>
      </c>
      <c r="D269" s="12" t="s">
        <v>54</v>
      </c>
      <c r="E269" s="10" t="s">
        <v>84</v>
      </c>
      <c r="F269" s="14"/>
      <c r="G269" s="15"/>
      <c r="H269" s="23">
        <v>36.43</v>
      </c>
      <c r="I269" s="14">
        <f t="shared" si="4"/>
        <v>42.357593220338984</v>
      </c>
      <c r="J269" s="14">
        <f>Tabla13[[#This Row],[Precio final en USD]]*$P$4</f>
        <v>67.772149152542383</v>
      </c>
    </row>
    <row r="270" spans="1:10" x14ac:dyDescent="0.2">
      <c r="A270" s="11">
        <v>10499</v>
      </c>
      <c r="B270" s="12" t="s">
        <v>52</v>
      </c>
      <c r="C270" s="13" t="s">
        <v>339</v>
      </c>
      <c r="D270" s="12" t="s">
        <v>54</v>
      </c>
      <c r="E270" s="10" t="s">
        <v>84</v>
      </c>
      <c r="F270" s="14"/>
      <c r="G270" s="15"/>
      <c r="H270" s="23">
        <v>94.48</v>
      </c>
      <c r="I270" s="14">
        <f t="shared" si="4"/>
        <v>109.85301694915256</v>
      </c>
      <c r="J270" s="14">
        <f>Tabla13[[#This Row],[Precio final en USD]]*$P$4</f>
        <v>175.76482711864412</v>
      </c>
    </row>
    <row r="271" spans="1:10" x14ac:dyDescent="0.2">
      <c r="A271" s="11">
        <v>10500</v>
      </c>
      <c r="B271" s="12" t="s">
        <v>52</v>
      </c>
      <c r="C271" s="13" t="s">
        <v>31</v>
      </c>
      <c r="D271" s="12" t="s">
        <v>54</v>
      </c>
      <c r="E271" s="10" t="s">
        <v>84</v>
      </c>
      <c r="F271" s="14"/>
      <c r="G271" s="15"/>
      <c r="H271" s="23">
        <v>19.079999999999998</v>
      </c>
      <c r="I271" s="14">
        <f t="shared" si="4"/>
        <v>22.184542372881356</v>
      </c>
      <c r="J271" s="14">
        <f>Tabla13[[#This Row],[Precio final en USD]]*$P$4</f>
        <v>35.495267796610172</v>
      </c>
    </row>
    <row r="272" spans="1:10" x14ac:dyDescent="0.2">
      <c r="A272" s="11">
        <v>10501</v>
      </c>
      <c r="B272" s="12" t="s">
        <v>52</v>
      </c>
      <c r="C272" s="13" t="s">
        <v>340</v>
      </c>
      <c r="D272" s="12" t="s">
        <v>54</v>
      </c>
      <c r="E272" s="10" t="s">
        <v>84</v>
      </c>
      <c r="F272" s="14"/>
      <c r="G272" s="15"/>
      <c r="H272" s="23">
        <v>0.94</v>
      </c>
      <c r="I272" s="14">
        <f t="shared" si="4"/>
        <v>1.0929491525423729</v>
      </c>
      <c r="J272" s="14">
        <f>Tabla13[[#This Row],[Precio final en USD]]*$P$4</f>
        <v>1.7487186440677966</v>
      </c>
    </row>
    <row r="273" spans="1:11" x14ac:dyDescent="0.2">
      <c r="A273" s="11">
        <v>10502</v>
      </c>
      <c r="B273" s="12" t="s">
        <v>52</v>
      </c>
      <c r="C273" s="13" t="s">
        <v>341</v>
      </c>
      <c r="D273" s="12" t="s">
        <v>54</v>
      </c>
      <c r="E273" s="10" t="s">
        <v>84</v>
      </c>
      <c r="F273" s="14"/>
      <c r="G273" s="15"/>
      <c r="H273" s="23">
        <v>40.159999999999997</v>
      </c>
      <c r="I273" s="14">
        <f t="shared" si="4"/>
        <v>46.694508474576274</v>
      </c>
      <c r="J273" s="14">
        <f>Tabla13[[#This Row],[Precio final en USD]]*$P$4</f>
        <v>74.711213559322047</v>
      </c>
    </row>
    <row r="274" spans="1:11" x14ac:dyDescent="0.2">
      <c r="A274" s="11">
        <v>10503</v>
      </c>
      <c r="B274" s="12" t="s">
        <v>52</v>
      </c>
      <c r="C274" s="13" t="s">
        <v>342</v>
      </c>
      <c r="D274" s="12" t="s">
        <v>54</v>
      </c>
      <c r="E274" s="10" t="s">
        <v>84</v>
      </c>
      <c r="F274" s="14"/>
      <c r="G274" s="15"/>
      <c r="H274" s="23">
        <v>14.47</v>
      </c>
      <c r="I274" s="14">
        <f t="shared" si="4"/>
        <v>16.824440677966106</v>
      </c>
      <c r="J274" s="14">
        <f>Tabla13[[#This Row],[Precio final en USD]]*$P$4</f>
        <v>26.91910508474577</v>
      </c>
    </row>
    <row r="275" spans="1:11" x14ac:dyDescent="0.2">
      <c r="A275" s="12">
        <v>10504</v>
      </c>
      <c r="B275" s="11" t="s">
        <v>52</v>
      </c>
      <c r="C275" s="13" t="s">
        <v>343</v>
      </c>
      <c r="D275" s="12" t="s">
        <v>58</v>
      </c>
      <c r="E275" s="10" t="s">
        <v>59</v>
      </c>
      <c r="F275" s="14"/>
      <c r="G275" s="15"/>
      <c r="I275" s="14" t="str">
        <f t="shared" si="4"/>
        <v/>
      </c>
      <c r="J275" s="14" t="e">
        <f>Tabla13[[#This Row],[Precio final en USD]]*$P$4</f>
        <v>#VALUE!</v>
      </c>
      <c r="K275" s="10" t="s">
        <v>60</v>
      </c>
    </row>
    <row r="276" spans="1:11" x14ac:dyDescent="0.2">
      <c r="A276" s="11">
        <v>10505</v>
      </c>
      <c r="B276" s="12" t="s">
        <v>52</v>
      </c>
      <c r="C276" s="13" t="s">
        <v>344</v>
      </c>
      <c r="D276" s="12" t="s">
        <v>54</v>
      </c>
      <c r="E276" s="10" t="s">
        <v>68</v>
      </c>
      <c r="F276" s="14"/>
      <c r="G276" s="15"/>
      <c r="I276" s="14" t="str">
        <f t="shared" si="4"/>
        <v/>
      </c>
      <c r="J276" s="14" t="e">
        <f>Tabla13[[#This Row],[Precio final en USD]]*$P$4</f>
        <v>#VALUE!</v>
      </c>
      <c r="K276" s="10" t="s">
        <v>345</v>
      </c>
    </row>
    <row r="277" spans="1:11" x14ac:dyDescent="0.2">
      <c r="A277" s="11">
        <v>10506</v>
      </c>
      <c r="B277" s="12" t="s">
        <v>52</v>
      </c>
      <c r="C277" s="13" t="s">
        <v>346</v>
      </c>
      <c r="D277" s="12" t="s">
        <v>54</v>
      </c>
      <c r="E277" s="10" t="s">
        <v>68</v>
      </c>
      <c r="F277" s="14"/>
      <c r="G277" s="15"/>
      <c r="I277" s="14" t="str">
        <f t="shared" si="4"/>
        <v/>
      </c>
      <c r="J277" s="14" t="e">
        <f>Tabla13[[#This Row],[Precio final en USD]]*$P$4</f>
        <v>#VALUE!</v>
      </c>
      <c r="K277" s="10" t="s">
        <v>345</v>
      </c>
    </row>
    <row r="278" spans="1:11" x14ac:dyDescent="0.2">
      <c r="A278" s="11">
        <v>10507</v>
      </c>
      <c r="B278" s="12" t="s">
        <v>52</v>
      </c>
      <c r="C278" s="13" t="s">
        <v>347</v>
      </c>
      <c r="D278" s="12" t="s">
        <v>54</v>
      </c>
      <c r="E278" s="10" t="s">
        <v>89</v>
      </c>
      <c r="F278" s="14"/>
      <c r="G278" s="15">
        <v>2932</v>
      </c>
      <c r="I278" s="14">
        <f t="shared" si="4"/>
        <v>1.9877966101694915</v>
      </c>
      <c r="J278" s="14">
        <f>Tabla13[[#This Row],[Precio final en USD]]*$P$4</f>
        <v>3.1804745762711866</v>
      </c>
    </row>
    <row r="279" spans="1:11" x14ac:dyDescent="0.2">
      <c r="A279" s="11">
        <v>10508</v>
      </c>
      <c r="B279" s="12" t="s">
        <v>52</v>
      </c>
      <c r="C279" s="13" t="s">
        <v>348</v>
      </c>
      <c r="D279" s="12" t="s">
        <v>54</v>
      </c>
      <c r="E279" s="10" t="s">
        <v>89</v>
      </c>
      <c r="F279" s="14"/>
      <c r="G279" s="15">
        <v>5094</v>
      </c>
      <c r="I279" s="14">
        <f t="shared" si="4"/>
        <v>3.4535593220338985</v>
      </c>
      <c r="J279" s="14">
        <f>Tabla13[[#This Row],[Precio final en USD]]*$P$4</f>
        <v>5.5256949152542383</v>
      </c>
    </row>
    <row r="280" spans="1:11" x14ac:dyDescent="0.2">
      <c r="A280" s="11">
        <v>10509</v>
      </c>
      <c r="B280" s="12" t="s">
        <v>52</v>
      </c>
      <c r="C280" s="13" t="s">
        <v>349</v>
      </c>
      <c r="D280" s="12" t="s">
        <v>54</v>
      </c>
      <c r="E280" s="10" t="s">
        <v>350</v>
      </c>
      <c r="F280" s="14"/>
      <c r="G280" s="15">
        <v>16071</v>
      </c>
      <c r="I280" s="14">
        <f t="shared" si="4"/>
        <v>10.895593220338982</v>
      </c>
      <c r="J280" s="14">
        <f>Tabla13[[#This Row],[Precio final en USD]]*$P$4</f>
        <v>17.432949152542374</v>
      </c>
    </row>
    <row r="281" spans="1:11" x14ac:dyDescent="0.2">
      <c r="A281" s="11">
        <v>10510</v>
      </c>
      <c r="B281" s="12" t="s">
        <v>52</v>
      </c>
      <c r="C281" s="13" t="s">
        <v>351</v>
      </c>
      <c r="D281" s="12" t="s">
        <v>54</v>
      </c>
      <c r="E281" s="10" t="s">
        <v>350</v>
      </c>
      <c r="F281" s="14"/>
      <c r="G281" s="15">
        <v>6518</v>
      </c>
      <c r="I281" s="14">
        <f t="shared" si="4"/>
        <v>4.4189830508474577</v>
      </c>
      <c r="J281" s="14">
        <f>Tabla13[[#This Row],[Precio final en USD]]*$P$4</f>
        <v>7.070372881355933</v>
      </c>
    </row>
    <row r="282" spans="1:11" x14ac:dyDescent="0.2">
      <c r="A282" s="11">
        <v>10511</v>
      </c>
      <c r="B282" s="12" t="s">
        <v>52</v>
      </c>
      <c r="C282" s="13" t="s">
        <v>352</v>
      </c>
      <c r="D282" s="12" t="s">
        <v>54</v>
      </c>
      <c r="E282" s="10" t="s">
        <v>350</v>
      </c>
      <c r="F282" s="14"/>
      <c r="G282" s="15">
        <v>3493</v>
      </c>
      <c r="I282" s="14">
        <f t="shared" si="4"/>
        <v>2.3681355932203392</v>
      </c>
      <c r="J282" s="14">
        <f>Tabla13[[#This Row],[Precio final en USD]]*$P$4</f>
        <v>3.7890169491525429</v>
      </c>
    </row>
    <row r="283" spans="1:11" x14ac:dyDescent="0.2">
      <c r="A283" s="11">
        <v>10512</v>
      </c>
      <c r="B283" s="12" t="s">
        <v>52</v>
      </c>
      <c r="C283" s="13" t="s">
        <v>353</v>
      </c>
      <c r="D283" s="12" t="s">
        <v>54</v>
      </c>
      <c r="E283" s="10" t="s">
        <v>84</v>
      </c>
      <c r="F283" s="14"/>
      <c r="G283" s="15"/>
      <c r="H283" s="23">
        <v>19.04</v>
      </c>
      <c r="I283" s="14">
        <f t="shared" si="4"/>
        <v>22.138033898305086</v>
      </c>
      <c r="J283" s="14">
        <f>Tabla13[[#This Row],[Precio final en USD]]*$P$4</f>
        <v>35.42085423728814</v>
      </c>
    </row>
    <row r="284" spans="1:11" x14ac:dyDescent="0.2">
      <c r="A284" s="11">
        <v>10513</v>
      </c>
      <c r="B284" s="12" t="s">
        <v>52</v>
      </c>
      <c r="C284" s="13" t="s">
        <v>354</v>
      </c>
      <c r="D284" s="12" t="s">
        <v>54</v>
      </c>
      <c r="E284" s="10" t="s">
        <v>89</v>
      </c>
      <c r="F284" s="14"/>
      <c r="G284" s="15">
        <v>180000</v>
      </c>
      <c r="I284" s="14">
        <f t="shared" si="4"/>
        <v>122.03389830508475</v>
      </c>
      <c r="J284" s="14">
        <f>Tabla13[[#This Row],[Precio final en USD]]*$P$4</f>
        <v>195.25423728813561</v>
      </c>
    </row>
    <row r="285" spans="1:11" x14ac:dyDescent="0.2">
      <c r="A285" s="11">
        <v>10514</v>
      </c>
      <c r="B285" s="12" t="s">
        <v>52</v>
      </c>
      <c r="C285" s="13" t="s">
        <v>355</v>
      </c>
      <c r="D285" s="12" t="s">
        <v>54</v>
      </c>
      <c r="E285" s="10" t="s">
        <v>89</v>
      </c>
      <c r="F285" s="14"/>
      <c r="G285" s="15">
        <v>22000</v>
      </c>
      <c r="I285" s="14">
        <f t="shared" si="4"/>
        <v>14.915254237288135</v>
      </c>
      <c r="J285" s="14">
        <f>Tabla13[[#This Row],[Precio final en USD]]*$P$4</f>
        <v>23.864406779661017</v>
      </c>
    </row>
    <row r="286" spans="1:11" x14ac:dyDescent="0.2">
      <c r="A286" s="11">
        <v>10559</v>
      </c>
      <c r="B286" s="12" t="s">
        <v>52</v>
      </c>
      <c r="C286" s="13" t="s">
        <v>356</v>
      </c>
      <c r="D286" s="12" t="s">
        <v>54</v>
      </c>
      <c r="E286" s="10" t="s">
        <v>68</v>
      </c>
      <c r="F286" s="14"/>
      <c r="G286" s="15">
        <v>150000</v>
      </c>
      <c r="I286" s="14">
        <f t="shared" si="4"/>
        <v>101.69491525423729</v>
      </c>
      <c r="J286" s="14">
        <f>Tabla13[[#This Row],[Precio final en USD]]*$P$4</f>
        <v>162.71186440677968</v>
      </c>
    </row>
    <row r="287" spans="1:11" x14ac:dyDescent="0.2">
      <c r="A287" s="11">
        <v>10560</v>
      </c>
      <c r="B287" s="12" t="s">
        <v>52</v>
      </c>
      <c r="C287" s="13" t="s">
        <v>357</v>
      </c>
      <c r="D287" s="12" t="s">
        <v>54</v>
      </c>
      <c r="E287" s="10" t="s">
        <v>55</v>
      </c>
      <c r="F287" s="14">
        <v>1288</v>
      </c>
      <c r="G287" s="15"/>
      <c r="I287" s="14">
        <f t="shared" si="4"/>
        <v>1288</v>
      </c>
      <c r="J287" s="14">
        <f>Tabla13[[#This Row],[Precio final en USD]]*$P$4</f>
        <v>2060.8000000000002</v>
      </c>
    </row>
    <row r="288" spans="1:11" x14ac:dyDescent="0.2">
      <c r="A288" s="11">
        <v>10561</v>
      </c>
      <c r="B288" s="12" t="s">
        <v>52</v>
      </c>
      <c r="C288" s="13" t="s">
        <v>358</v>
      </c>
      <c r="D288" s="12" t="s">
        <v>54</v>
      </c>
      <c r="E288" s="10" t="s">
        <v>55</v>
      </c>
      <c r="F288" s="14">
        <v>974.81</v>
      </c>
      <c r="G288" s="15"/>
      <c r="I288" s="14">
        <f t="shared" si="4"/>
        <v>974.81</v>
      </c>
      <c r="J288" s="14">
        <f>Tabla13[[#This Row],[Precio final en USD]]*$P$4</f>
        <v>1559.6959999999999</v>
      </c>
    </row>
    <row r="289" spans="1:11" x14ac:dyDescent="0.2">
      <c r="A289" s="11">
        <v>10563</v>
      </c>
      <c r="B289" s="12" t="s">
        <v>52</v>
      </c>
      <c r="C289" s="13" t="s">
        <v>359</v>
      </c>
      <c r="D289" s="12" t="s">
        <v>54</v>
      </c>
      <c r="E289" s="10" t="s">
        <v>91</v>
      </c>
      <c r="F289" s="14"/>
      <c r="G289" s="15"/>
      <c r="I289" s="14" t="str">
        <f t="shared" si="4"/>
        <v/>
      </c>
      <c r="J289" s="14" t="e">
        <f>Tabla13[[#This Row],[Precio final en USD]]*$P$4</f>
        <v>#VALUE!</v>
      </c>
      <c r="K289" s="10" t="s">
        <v>360</v>
      </c>
    </row>
    <row r="290" spans="1:11" x14ac:dyDescent="0.2">
      <c r="A290" s="11">
        <v>10580</v>
      </c>
      <c r="B290" s="12" t="s">
        <v>52</v>
      </c>
      <c r="C290" s="13" t="s">
        <v>17</v>
      </c>
      <c r="D290" s="12" t="s">
        <v>54</v>
      </c>
      <c r="E290" s="10" t="s">
        <v>84</v>
      </c>
      <c r="F290" s="14"/>
      <c r="G290" s="15"/>
      <c r="H290" s="23">
        <v>30.44</v>
      </c>
      <c r="I290" s="14">
        <f t="shared" si="4"/>
        <v>35.392949152542378</v>
      </c>
      <c r="J290" s="14">
        <f>Tabla13[[#This Row],[Precio final en USD]]*$P$4</f>
        <v>56.62871864406781</v>
      </c>
    </row>
    <row r="291" spans="1:11" x14ac:dyDescent="0.2">
      <c r="A291" s="11">
        <v>10581</v>
      </c>
      <c r="B291" s="12" t="s">
        <v>52</v>
      </c>
      <c r="C291" s="13" t="s">
        <v>361</v>
      </c>
      <c r="D291" s="12" t="s">
        <v>54</v>
      </c>
      <c r="E291" s="10" t="s">
        <v>84</v>
      </c>
      <c r="F291" s="14"/>
      <c r="G291" s="15"/>
      <c r="H291" s="23">
        <v>50.03</v>
      </c>
      <c r="I291" s="14">
        <f t="shared" si="4"/>
        <v>58.170474576271189</v>
      </c>
      <c r="J291" s="14">
        <f>Tabla13[[#This Row],[Precio final en USD]]*$P$4</f>
        <v>93.072759322033903</v>
      </c>
    </row>
    <row r="292" spans="1:11" x14ac:dyDescent="0.2">
      <c r="A292" s="11">
        <v>10582</v>
      </c>
      <c r="B292" s="12" t="s">
        <v>52</v>
      </c>
      <c r="C292" s="13" t="s">
        <v>362</v>
      </c>
      <c r="D292" s="12" t="s">
        <v>54</v>
      </c>
      <c r="E292" s="10" t="s">
        <v>84</v>
      </c>
      <c r="F292" s="14"/>
      <c r="G292" s="15"/>
      <c r="H292" s="23">
        <f>94.93/2</f>
        <v>47.465000000000003</v>
      </c>
      <c r="I292" s="14">
        <f t="shared" si="4"/>
        <v>55.188118644067806</v>
      </c>
      <c r="J292" s="14">
        <f>Tabla13[[#This Row],[Precio final en USD]]*$P$4</f>
        <v>88.300989830508499</v>
      </c>
    </row>
    <row r="293" spans="1:11" x14ac:dyDescent="0.2">
      <c r="A293" s="11">
        <v>10583</v>
      </c>
      <c r="B293" s="12" t="s">
        <v>52</v>
      </c>
      <c r="C293" s="13" t="s">
        <v>363</v>
      </c>
      <c r="D293" s="12" t="s">
        <v>54</v>
      </c>
      <c r="E293" s="10" t="s">
        <v>84</v>
      </c>
      <c r="F293" s="14"/>
      <c r="G293" s="15"/>
      <c r="H293" s="23">
        <v>12.88</v>
      </c>
      <c r="I293" s="14">
        <f t="shared" si="4"/>
        <v>14.975728813559325</v>
      </c>
      <c r="J293" s="14">
        <f>Tabla13[[#This Row],[Precio final en USD]]*$P$4</f>
        <v>23.961166101694921</v>
      </c>
    </row>
    <row r="294" spans="1:11" x14ac:dyDescent="0.2">
      <c r="A294" s="11">
        <v>10584</v>
      </c>
      <c r="B294" s="12" t="s">
        <v>52</v>
      </c>
      <c r="C294" s="13" t="s">
        <v>364</v>
      </c>
      <c r="D294" s="12" t="s">
        <v>54</v>
      </c>
      <c r="E294" s="10" t="s">
        <v>84</v>
      </c>
      <c r="F294" s="14"/>
      <c r="G294" s="15"/>
      <c r="H294" s="23">
        <v>80.989999999999995</v>
      </c>
      <c r="I294" s="14">
        <f t="shared" si="4"/>
        <v>94.168033898305083</v>
      </c>
      <c r="J294" s="14">
        <f>Tabla13[[#This Row],[Precio final en USD]]*$P$4</f>
        <v>150.66885423728814</v>
      </c>
    </row>
    <row r="295" spans="1:11" x14ac:dyDescent="0.2">
      <c r="A295" s="11">
        <v>10585</v>
      </c>
      <c r="B295" s="12" t="s">
        <v>52</v>
      </c>
      <c r="C295" s="13" t="s">
        <v>365</v>
      </c>
      <c r="D295" s="12" t="s">
        <v>54</v>
      </c>
      <c r="E295" s="10" t="s">
        <v>84</v>
      </c>
      <c r="F295" s="14"/>
      <c r="G295" s="15"/>
      <c r="H295" s="23">
        <v>44.98</v>
      </c>
      <c r="I295" s="14">
        <f t="shared" si="4"/>
        <v>52.298779661016951</v>
      </c>
      <c r="J295" s="14">
        <f>Tabla13[[#This Row],[Precio final en USD]]*$P$4</f>
        <v>83.67804745762713</v>
      </c>
    </row>
    <row r="296" spans="1:11" x14ac:dyDescent="0.2">
      <c r="A296" s="11">
        <v>10588</v>
      </c>
      <c r="B296" s="12" t="s">
        <v>52</v>
      </c>
      <c r="C296" s="13" t="s">
        <v>366</v>
      </c>
      <c r="D296" s="12" t="s">
        <v>54</v>
      </c>
      <c r="E296" s="10" t="s">
        <v>55</v>
      </c>
      <c r="F296" s="14">
        <v>262</v>
      </c>
      <c r="G296" s="15"/>
      <c r="I296" s="14">
        <f t="shared" si="4"/>
        <v>262</v>
      </c>
      <c r="J296" s="14">
        <f>Tabla13[[#This Row],[Precio final en USD]]*$P$4</f>
        <v>419.20000000000005</v>
      </c>
    </row>
    <row r="297" spans="1:11" x14ac:dyDescent="0.2">
      <c r="A297" s="11">
        <v>10589</v>
      </c>
      <c r="B297" s="12" t="s">
        <v>52</v>
      </c>
      <c r="C297" s="13" t="s">
        <v>367</v>
      </c>
      <c r="D297" s="12" t="s">
        <v>54</v>
      </c>
      <c r="E297" s="10" t="s">
        <v>368</v>
      </c>
      <c r="F297" s="14">
        <v>250</v>
      </c>
      <c r="G297" s="15"/>
      <c r="H297" s="23"/>
      <c r="I297" s="14">
        <f t="shared" si="4"/>
        <v>250</v>
      </c>
      <c r="J297" s="14">
        <f>Tabla13[[#This Row],[Precio final en USD]]*$P$4</f>
        <v>400</v>
      </c>
    </row>
    <row r="298" spans="1:11" x14ac:dyDescent="0.2">
      <c r="A298" s="11">
        <v>10590</v>
      </c>
      <c r="B298" s="12" t="s">
        <v>52</v>
      </c>
      <c r="C298" s="13" t="s">
        <v>369</v>
      </c>
      <c r="D298" s="12" t="s">
        <v>54</v>
      </c>
      <c r="E298" s="10" t="s">
        <v>84</v>
      </c>
      <c r="F298" s="14"/>
      <c r="G298" s="15"/>
      <c r="H298" s="23">
        <f>369.23/2</f>
        <v>184.61500000000001</v>
      </c>
      <c r="I298" s="14">
        <f t="shared" si="4"/>
        <v>214.65405084745765</v>
      </c>
      <c r="J298" s="14">
        <f>Tabla13[[#This Row],[Precio final en USD]]*$P$4</f>
        <v>343.44648135593229</v>
      </c>
    </row>
    <row r="299" spans="1:11" x14ac:dyDescent="0.2">
      <c r="A299" s="11">
        <v>10591</v>
      </c>
      <c r="B299" s="12" t="s">
        <v>52</v>
      </c>
      <c r="C299" s="13" t="s">
        <v>370</v>
      </c>
      <c r="D299" s="12" t="s">
        <v>54</v>
      </c>
      <c r="E299" s="10" t="s">
        <v>89</v>
      </c>
      <c r="F299" s="14"/>
      <c r="G299" s="15">
        <v>25996</v>
      </c>
      <c r="I299" s="14">
        <f t="shared" si="4"/>
        <v>17.624406779661015</v>
      </c>
      <c r="J299" s="14">
        <f>Tabla13[[#This Row],[Precio final en USD]]*$P$4</f>
        <v>28.199050847457627</v>
      </c>
    </row>
    <row r="300" spans="1:11" x14ac:dyDescent="0.2">
      <c r="A300" s="11">
        <v>10592</v>
      </c>
      <c r="B300" s="12" t="s">
        <v>52</v>
      </c>
      <c r="C300" s="13" t="s">
        <v>371</v>
      </c>
      <c r="D300" s="12" t="s">
        <v>54</v>
      </c>
      <c r="E300" s="10" t="s">
        <v>84</v>
      </c>
      <c r="F300" s="14"/>
      <c r="G300" s="15"/>
      <c r="H300" s="23">
        <v>0</v>
      </c>
      <c r="I300" s="14">
        <f t="shared" si="4"/>
        <v>0</v>
      </c>
      <c r="J300" s="14">
        <f>Tabla13[[#This Row],[Precio final en USD]]*$P$4</f>
        <v>0</v>
      </c>
      <c r="K300" s="10" t="s">
        <v>372</v>
      </c>
    </row>
    <row r="301" spans="1:11" x14ac:dyDescent="0.2">
      <c r="A301" s="11">
        <v>10593</v>
      </c>
      <c r="B301" s="12" t="s">
        <v>52</v>
      </c>
      <c r="C301" s="13" t="s">
        <v>373</v>
      </c>
      <c r="D301" s="12" t="s">
        <v>54</v>
      </c>
      <c r="E301" s="10" t="s">
        <v>231</v>
      </c>
      <c r="F301" s="14">
        <v>307</v>
      </c>
      <c r="G301" s="15"/>
      <c r="I301" s="14">
        <f t="shared" si="4"/>
        <v>307</v>
      </c>
      <c r="J301" s="14">
        <f>Tabla13[[#This Row],[Precio final en USD]]*$P$4</f>
        <v>491.20000000000005</v>
      </c>
    </row>
    <row r="302" spans="1:11" x14ac:dyDescent="0.2">
      <c r="A302" s="11">
        <v>10594</v>
      </c>
      <c r="B302" s="12" t="s">
        <v>52</v>
      </c>
      <c r="C302" s="13" t="s">
        <v>28</v>
      </c>
      <c r="D302" s="12" t="s">
        <v>54</v>
      </c>
      <c r="E302" s="10" t="s">
        <v>84</v>
      </c>
      <c r="F302" s="14"/>
      <c r="G302" s="15"/>
      <c r="H302" s="10">
        <v>33.11</v>
      </c>
      <c r="I302" s="14">
        <f t="shared" si="4"/>
        <v>38.497389830508475</v>
      </c>
      <c r="J302" s="14">
        <f>Tabla13[[#This Row],[Precio final en USD]]*$P$4</f>
        <v>61.595823728813563</v>
      </c>
    </row>
    <row r="303" spans="1:11" x14ac:dyDescent="0.2">
      <c r="A303" s="11">
        <v>10595</v>
      </c>
      <c r="B303" s="12" t="s">
        <v>52</v>
      </c>
      <c r="C303" s="13" t="s">
        <v>374</v>
      </c>
      <c r="D303" s="12" t="s">
        <v>54</v>
      </c>
      <c r="E303" s="10" t="s">
        <v>84</v>
      </c>
      <c r="F303" s="14"/>
      <c r="G303" s="15"/>
      <c r="H303" s="10">
        <v>30</v>
      </c>
      <c r="I303" s="14">
        <f t="shared" si="4"/>
        <v>34.881355932203391</v>
      </c>
      <c r="J303" s="14">
        <f>Tabla13[[#This Row],[Precio final en USD]]*$P$4</f>
        <v>55.810169491525428</v>
      </c>
    </row>
    <row r="304" spans="1:11" x14ac:dyDescent="0.2">
      <c r="A304" s="11">
        <v>10596</v>
      </c>
      <c r="B304" s="12" t="s">
        <v>52</v>
      </c>
      <c r="C304" s="13" t="s">
        <v>375</v>
      </c>
      <c r="D304" s="12" t="s">
        <v>54</v>
      </c>
      <c r="E304" s="10" t="s">
        <v>84</v>
      </c>
      <c r="F304" s="14"/>
      <c r="G304" s="15"/>
      <c r="H304" s="10">
        <v>203.96</v>
      </c>
      <c r="I304" s="14">
        <f t="shared" si="4"/>
        <v>237.1467118644068</v>
      </c>
      <c r="J304" s="14">
        <f>Tabla13[[#This Row],[Precio final en USD]]*$P$4</f>
        <v>379.43473898305092</v>
      </c>
    </row>
    <row r="305" spans="1:11" x14ac:dyDescent="0.2">
      <c r="A305" s="11">
        <v>10597</v>
      </c>
      <c r="B305" s="12" t="s">
        <v>52</v>
      </c>
      <c r="C305" s="13" t="s">
        <v>376</v>
      </c>
      <c r="D305" s="12" t="s">
        <v>54</v>
      </c>
      <c r="E305" s="10" t="s">
        <v>84</v>
      </c>
      <c r="F305" s="14"/>
      <c r="G305" s="15"/>
      <c r="H305" s="23">
        <v>75</v>
      </c>
      <c r="I305" s="14">
        <f t="shared" si="4"/>
        <v>87.203389830508485</v>
      </c>
      <c r="J305" s="14">
        <f>Tabla13[[#This Row],[Precio final en USD]]*$P$4</f>
        <v>139.52542372881359</v>
      </c>
    </row>
    <row r="306" spans="1:11" x14ac:dyDescent="0.2">
      <c r="A306" s="11">
        <v>10598</v>
      </c>
      <c r="B306" s="12" t="s">
        <v>52</v>
      </c>
      <c r="C306" s="13" t="s">
        <v>377</v>
      </c>
      <c r="D306" s="12" t="s">
        <v>54</v>
      </c>
      <c r="E306" s="10" t="s">
        <v>84</v>
      </c>
      <c r="F306" s="14"/>
      <c r="G306" s="15"/>
      <c r="H306" s="10">
        <v>38.06</v>
      </c>
      <c r="I306" s="14">
        <f t="shared" si="4"/>
        <v>44.252813559322043</v>
      </c>
      <c r="J306" s="14">
        <f>Tabla13[[#This Row],[Precio final en USD]]*$P$4</f>
        <v>70.804501694915274</v>
      </c>
    </row>
    <row r="307" spans="1:11" x14ac:dyDescent="0.2">
      <c r="A307" s="11">
        <v>10599</v>
      </c>
      <c r="B307" s="12" t="s">
        <v>52</v>
      </c>
      <c r="C307" s="13" t="s">
        <v>378</v>
      </c>
      <c r="D307" s="12" t="s">
        <v>54</v>
      </c>
      <c r="E307" s="10" t="s">
        <v>84</v>
      </c>
      <c r="F307" s="14"/>
      <c r="G307" s="15"/>
      <c r="H307" s="10">
        <v>9.5399999999999991</v>
      </c>
      <c r="I307" s="14">
        <f t="shared" si="4"/>
        <v>11.092271186440678</v>
      </c>
      <c r="J307" s="14">
        <f>Tabla13[[#This Row],[Precio final en USD]]*$P$4</f>
        <v>17.747633898305086</v>
      </c>
    </row>
    <row r="308" spans="1:11" x14ac:dyDescent="0.2">
      <c r="A308" s="11">
        <v>10600</v>
      </c>
      <c r="B308" s="12" t="s">
        <v>52</v>
      </c>
      <c r="C308" s="13" t="s">
        <v>379</v>
      </c>
      <c r="D308" s="12" t="s">
        <v>54</v>
      </c>
      <c r="E308" s="10" t="s">
        <v>84</v>
      </c>
      <c r="F308" s="14"/>
      <c r="G308" s="15"/>
      <c r="H308" s="10">
        <v>8.8000000000000007</v>
      </c>
      <c r="I308" s="14">
        <f t="shared" si="4"/>
        <v>10.231864406779662</v>
      </c>
      <c r="J308" s="14">
        <f>Tabla13[[#This Row],[Precio final en USD]]*$P$4</f>
        <v>16.37098305084746</v>
      </c>
    </row>
    <row r="309" spans="1:11" x14ac:dyDescent="0.2">
      <c r="A309" s="11">
        <v>10601</v>
      </c>
      <c r="B309" s="12" t="s">
        <v>52</v>
      </c>
      <c r="C309" s="13" t="s">
        <v>380</v>
      </c>
      <c r="D309" s="12" t="s">
        <v>54</v>
      </c>
      <c r="E309" s="10" t="s">
        <v>89</v>
      </c>
      <c r="F309" s="14"/>
      <c r="G309" s="15">
        <v>45000</v>
      </c>
      <c r="I309" s="14">
        <f t="shared" si="4"/>
        <v>30.508474576271187</v>
      </c>
      <c r="J309" s="14">
        <f>Tabla13[[#This Row],[Precio final en USD]]*$P$4</f>
        <v>48.813559322033903</v>
      </c>
    </row>
    <row r="310" spans="1:11" x14ac:dyDescent="0.2">
      <c r="A310" s="11">
        <v>10602</v>
      </c>
      <c r="B310" s="12" t="s">
        <v>52</v>
      </c>
      <c r="C310" s="13" t="s">
        <v>381</v>
      </c>
      <c r="D310" s="12" t="s">
        <v>54</v>
      </c>
      <c r="F310" s="14"/>
      <c r="G310" s="15"/>
      <c r="I310" s="14" t="str">
        <f t="shared" si="4"/>
        <v/>
      </c>
      <c r="J310" s="14" t="e">
        <f>Tabla13[[#This Row],[Precio final en USD]]*$P$4</f>
        <v>#VALUE!</v>
      </c>
      <c r="K310" s="10" t="s">
        <v>382</v>
      </c>
    </row>
    <row r="311" spans="1:11" x14ac:dyDescent="0.2">
      <c r="A311" s="11">
        <v>10603</v>
      </c>
      <c r="B311" s="12" t="s">
        <v>52</v>
      </c>
      <c r="C311" s="13" t="s">
        <v>383</v>
      </c>
      <c r="D311" s="12" t="s">
        <v>54</v>
      </c>
      <c r="F311" s="14"/>
      <c r="G311" s="15"/>
      <c r="I311" s="14" t="str">
        <f t="shared" si="4"/>
        <v/>
      </c>
      <c r="J311" s="14" t="e">
        <f>Tabla13[[#This Row],[Precio final en USD]]*$P$4</f>
        <v>#VALUE!</v>
      </c>
      <c r="K311" s="10" t="s">
        <v>382</v>
      </c>
    </row>
    <row r="312" spans="1:11" x14ac:dyDescent="0.2">
      <c r="A312" s="11">
        <v>10604</v>
      </c>
      <c r="B312" s="12" t="s">
        <v>52</v>
      </c>
      <c r="C312" s="13" t="s">
        <v>384</v>
      </c>
      <c r="D312" s="12" t="s">
        <v>54</v>
      </c>
      <c r="E312" s="10" t="s">
        <v>89</v>
      </c>
      <c r="F312" s="14"/>
      <c r="G312" s="15">
        <v>1700</v>
      </c>
      <c r="I312" s="14">
        <f t="shared" si="4"/>
        <v>1.152542372881356</v>
      </c>
      <c r="J312" s="14">
        <f>Tabla13[[#This Row],[Precio final en USD]]*$P$4</f>
        <v>1.8440677966101697</v>
      </c>
    </row>
    <row r="313" spans="1:11" x14ac:dyDescent="0.2">
      <c r="A313" s="11">
        <v>10605</v>
      </c>
      <c r="B313" s="12" t="s">
        <v>52</v>
      </c>
      <c r="C313" s="13" t="s">
        <v>385</v>
      </c>
      <c r="D313" s="12" t="s">
        <v>54</v>
      </c>
      <c r="E313" s="10" t="s">
        <v>89</v>
      </c>
      <c r="F313" s="14"/>
      <c r="G313" s="15">
        <v>9152</v>
      </c>
      <c r="I313" s="14">
        <f t="shared" si="4"/>
        <v>6.2047457627118643</v>
      </c>
      <c r="J313" s="14">
        <f>Tabla13[[#This Row],[Precio final en USD]]*$P$4</f>
        <v>9.9275932203389843</v>
      </c>
    </row>
    <row r="314" spans="1:11" x14ac:dyDescent="0.2">
      <c r="A314" s="11">
        <v>10606</v>
      </c>
      <c r="B314" s="12" t="s">
        <v>52</v>
      </c>
      <c r="C314" s="13" t="s">
        <v>386</v>
      </c>
      <c r="D314" s="12" t="s">
        <v>54</v>
      </c>
      <c r="E314" s="10" t="s">
        <v>89</v>
      </c>
      <c r="F314" s="14"/>
      <c r="G314" s="15">
        <v>16000</v>
      </c>
      <c r="I314" s="14">
        <f t="shared" si="4"/>
        <v>10.847457627118644</v>
      </c>
      <c r="J314" s="14">
        <f>Tabla13[[#This Row],[Precio final en USD]]*$P$4</f>
        <v>17.35593220338983</v>
      </c>
    </row>
    <row r="315" spans="1:11" x14ac:dyDescent="0.2">
      <c r="A315" s="11">
        <v>10607</v>
      </c>
      <c r="B315" s="12" t="s">
        <v>52</v>
      </c>
      <c r="C315" s="13" t="s">
        <v>387</v>
      </c>
      <c r="D315" s="12" t="s">
        <v>54</v>
      </c>
      <c r="F315" s="14"/>
      <c r="G315" s="15"/>
      <c r="I315" s="14" t="str">
        <f t="shared" si="4"/>
        <v/>
      </c>
      <c r="J315" s="14" t="e">
        <f>Tabla13[[#This Row],[Precio final en USD]]*$P$4</f>
        <v>#VALUE!</v>
      </c>
      <c r="K315" s="10" t="s">
        <v>382</v>
      </c>
    </row>
    <row r="316" spans="1:11" x14ac:dyDescent="0.2">
      <c r="A316" s="11">
        <v>10608</v>
      </c>
      <c r="B316" s="12" t="s">
        <v>52</v>
      </c>
      <c r="C316" s="13" t="s">
        <v>388</v>
      </c>
      <c r="D316" s="12" t="s">
        <v>54</v>
      </c>
      <c r="F316" s="14"/>
      <c r="G316" s="15"/>
      <c r="I316" s="14" t="str">
        <f t="shared" si="4"/>
        <v/>
      </c>
      <c r="J316" s="14" t="e">
        <f>Tabla13[[#This Row],[Precio final en USD]]*$P$4</f>
        <v>#VALUE!</v>
      </c>
      <c r="K316" s="10" t="s">
        <v>382</v>
      </c>
    </row>
    <row r="317" spans="1:11" x14ac:dyDescent="0.2">
      <c r="A317" s="11">
        <v>10609</v>
      </c>
      <c r="B317" s="12" t="s">
        <v>52</v>
      </c>
      <c r="C317" s="13" t="s">
        <v>389</v>
      </c>
      <c r="D317" s="12" t="s">
        <v>54</v>
      </c>
      <c r="E317" s="10" t="s">
        <v>68</v>
      </c>
      <c r="F317" s="14"/>
      <c r="G317" s="15">
        <v>64000</v>
      </c>
      <c r="I317" s="14">
        <f t="shared" si="4"/>
        <v>43.389830508474574</v>
      </c>
      <c r="J317" s="14">
        <f>Tabla13[[#This Row],[Precio final en USD]]*$P$4</f>
        <v>69.423728813559322</v>
      </c>
    </row>
    <row r="318" spans="1:11" x14ac:dyDescent="0.2">
      <c r="A318" s="11">
        <v>10610</v>
      </c>
      <c r="B318" s="12" t="s">
        <v>52</v>
      </c>
      <c r="C318" s="13" t="s">
        <v>390</v>
      </c>
      <c r="D318" s="12" t="s">
        <v>54</v>
      </c>
      <c r="F318" s="14"/>
      <c r="G318" s="15">
        <v>0</v>
      </c>
      <c r="I318" s="14">
        <f t="shared" si="4"/>
        <v>0</v>
      </c>
      <c r="J318" s="14">
        <f>Tabla13[[#This Row],[Precio final en USD]]*$P$4</f>
        <v>0</v>
      </c>
      <c r="K318" s="10" t="s">
        <v>391</v>
      </c>
    </row>
    <row r="319" spans="1:11" x14ac:dyDescent="0.2">
      <c r="A319" s="11">
        <v>10611</v>
      </c>
      <c r="B319" s="12" t="s">
        <v>52</v>
      </c>
      <c r="C319" s="13" t="s">
        <v>392</v>
      </c>
      <c r="D319" s="12" t="s">
        <v>54</v>
      </c>
      <c r="E319" s="10" t="s">
        <v>68</v>
      </c>
      <c r="F319" s="14"/>
      <c r="G319" s="15">
        <v>135000</v>
      </c>
      <c r="I319" s="14">
        <f t="shared" si="4"/>
        <v>91.525423728813564</v>
      </c>
      <c r="J319" s="14">
        <f>Tabla13[[#This Row],[Precio final en USD]]*$P$4</f>
        <v>146.4406779661017</v>
      </c>
    </row>
    <row r="320" spans="1:11" x14ac:dyDescent="0.2">
      <c r="A320" s="11">
        <v>10613</v>
      </c>
      <c r="B320" s="12" t="s">
        <v>52</v>
      </c>
      <c r="C320" s="13" t="s">
        <v>393</v>
      </c>
      <c r="D320" s="12" t="s">
        <v>54</v>
      </c>
      <c r="E320" s="10" t="s">
        <v>68</v>
      </c>
      <c r="F320" s="14"/>
      <c r="G320" s="15">
        <v>150000</v>
      </c>
      <c r="I320" s="14">
        <f t="shared" si="4"/>
        <v>101.69491525423729</v>
      </c>
      <c r="J320" s="14">
        <f>Tabla13[[#This Row],[Precio final en USD]]*$P$4</f>
        <v>162.71186440677968</v>
      </c>
    </row>
    <row r="321" spans="1:11" x14ac:dyDescent="0.2">
      <c r="A321" s="11">
        <v>10614</v>
      </c>
      <c r="B321" s="12" t="s">
        <v>52</v>
      </c>
      <c r="C321" s="13" t="s">
        <v>394</v>
      </c>
      <c r="D321" s="12" t="s">
        <v>54</v>
      </c>
      <c r="E321" s="10" t="s">
        <v>84</v>
      </c>
      <c r="F321" s="14"/>
      <c r="G321" s="15"/>
      <c r="H321" s="10">
        <v>100</v>
      </c>
      <c r="I321" s="14">
        <f t="shared" si="4"/>
        <v>116.27118644067798</v>
      </c>
      <c r="J321" s="14">
        <f>Tabla13[[#This Row],[Precio final en USD]]*$P$4</f>
        <v>186.03389830508479</v>
      </c>
    </row>
    <row r="322" spans="1:11" x14ac:dyDescent="0.2">
      <c r="A322" s="11">
        <v>10615</v>
      </c>
      <c r="B322" s="12" t="s">
        <v>52</v>
      </c>
      <c r="C322" s="13" t="s">
        <v>395</v>
      </c>
      <c r="D322" s="12" t="s">
        <v>54</v>
      </c>
      <c r="E322" s="10" t="s">
        <v>84</v>
      </c>
      <c r="F322" s="14"/>
      <c r="G322" s="15"/>
      <c r="H322" s="10">
        <v>231</v>
      </c>
      <c r="I322" s="14">
        <f t="shared" ref="I322:I385" si="5">IF(AND(F322="",G322="",H322=""),"",IF(F322&lt;&gt;"",F322,IF(G322&lt;&gt;"",G322/$O$1,IF(H322&lt;&gt;"",H322*$O$2,"ver"))))</f>
        <v>268.58644067796615</v>
      </c>
      <c r="J322" s="14">
        <f>Tabla13[[#This Row],[Precio final en USD]]*$P$4</f>
        <v>429.73830508474589</v>
      </c>
    </row>
    <row r="323" spans="1:11" x14ac:dyDescent="0.2">
      <c r="A323" s="11">
        <v>10616</v>
      </c>
      <c r="B323" s="12" t="s">
        <v>52</v>
      </c>
      <c r="C323" s="13" t="s">
        <v>396</v>
      </c>
      <c r="D323" s="12" t="s">
        <v>54</v>
      </c>
      <c r="E323" s="10" t="s">
        <v>84</v>
      </c>
      <c r="F323" s="14"/>
      <c r="G323" s="15"/>
      <c r="H323" s="10">
        <f>94.48/2</f>
        <v>47.24</v>
      </c>
      <c r="I323" s="14">
        <f t="shared" si="5"/>
        <v>54.926508474576281</v>
      </c>
      <c r="J323" s="14">
        <f>Tabla13[[#This Row],[Precio final en USD]]*$P$4</f>
        <v>87.88241355932206</v>
      </c>
    </row>
    <row r="324" spans="1:11" x14ac:dyDescent="0.2">
      <c r="A324" s="11">
        <v>10617</v>
      </c>
      <c r="B324" s="12" t="s">
        <v>52</v>
      </c>
      <c r="C324" s="13" t="s">
        <v>397</v>
      </c>
      <c r="D324" s="12" t="s">
        <v>54</v>
      </c>
      <c r="E324" s="10" t="s">
        <v>84</v>
      </c>
      <c r="F324" s="14"/>
      <c r="G324" s="15"/>
      <c r="H324" s="10">
        <v>35.75</v>
      </c>
      <c r="I324" s="14">
        <f t="shared" si="5"/>
        <v>41.566949152542378</v>
      </c>
      <c r="J324" s="14">
        <f>Tabla13[[#This Row],[Precio final en USD]]*$P$4</f>
        <v>66.507118644067802</v>
      </c>
    </row>
    <row r="325" spans="1:11" x14ac:dyDescent="0.2">
      <c r="A325" s="11">
        <v>10618</v>
      </c>
      <c r="B325" s="12" t="s">
        <v>52</v>
      </c>
      <c r="C325" s="13" t="s">
        <v>398</v>
      </c>
      <c r="D325" s="12" t="s">
        <v>54</v>
      </c>
      <c r="E325" s="10" t="s">
        <v>84</v>
      </c>
      <c r="F325" s="14"/>
      <c r="G325" s="15"/>
      <c r="H325" s="10">
        <f>187.98/2</f>
        <v>93.99</v>
      </c>
      <c r="I325" s="14">
        <f t="shared" si="5"/>
        <v>109.28328813559322</v>
      </c>
      <c r="J325" s="14">
        <f>Tabla13[[#This Row],[Precio final en USD]]*$P$4</f>
        <v>174.85326101694918</v>
      </c>
    </row>
    <row r="326" spans="1:11" x14ac:dyDescent="0.2">
      <c r="A326" s="11">
        <v>10619</v>
      </c>
      <c r="B326" s="12" t="s">
        <v>52</v>
      </c>
      <c r="C326" s="13" t="s">
        <v>399</v>
      </c>
      <c r="D326" s="12" t="s">
        <v>54</v>
      </c>
      <c r="E326" s="10" t="s">
        <v>84</v>
      </c>
      <c r="F326" s="14"/>
      <c r="G326" s="15"/>
      <c r="H326" s="10">
        <f>269.56/2</f>
        <v>134.78</v>
      </c>
      <c r="I326" s="14">
        <f t="shared" si="5"/>
        <v>156.71030508474578</v>
      </c>
      <c r="J326" s="14">
        <f>Tabla13[[#This Row],[Precio final en USD]]*$P$4</f>
        <v>250.73648813559328</v>
      </c>
    </row>
    <row r="327" spans="1:11" x14ac:dyDescent="0.2">
      <c r="A327" s="11">
        <v>10620</v>
      </c>
      <c r="B327" s="12" t="s">
        <v>52</v>
      </c>
      <c r="C327" s="13" t="s">
        <v>400</v>
      </c>
      <c r="D327" s="12" t="s">
        <v>54</v>
      </c>
      <c r="E327" s="10" t="s">
        <v>84</v>
      </c>
      <c r="F327" s="14">
        <v>0</v>
      </c>
      <c r="G327" s="15"/>
      <c r="I327" s="14">
        <f t="shared" si="5"/>
        <v>0</v>
      </c>
      <c r="J327" s="14">
        <f>Tabla13[[#This Row],[Precio final en USD]]*$P$4</f>
        <v>0</v>
      </c>
      <c r="K327" s="10" t="s">
        <v>401</v>
      </c>
    </row>
    <row r="328" spans="1:11" x14ac:dyDescent="0.2">
      <c r="A328" s="11">
        <v>10621</v>
      </c>
      <c r="B328" s="12" t="s">
        <v>52</v>
      </c>
      <c r="C328" s="13" t="s">
        <v>402</v>
      </c>
      <c r="D328" s="12" t="s">
        <v>54</v>
      </c>
      <c r="F328" s="14"/>
      <c r="G328" s="15">
        <v>0</v>
      </c>
      <c r="I328" s="14">
        <f t="shared" si="5"/>
        <v>0</v>
      </c>
      <c r="J328" s="14">
        <f>Tabla13[[#This Row],[Precio final en USD]]*$P$4</f>
        <v>0</v>
      </c>
      <c r="K328" s="10" t="s">
        <v>403</v>
      </c>
    </row>
    <row r="329" spans="1:11" x14ac:dyDescent="0.2">
      <c r="A329" s="11">
        <v>10622</v>
      </c>
      <c r="B329" s="12" t="s">
        <v>52</v>
      </c>
      <c r="C329" s="13" t="s">
        <v>404</v>
      </c>
      <c r="D329" s="12" t="s">
        <v>54</v>
      </c>
      <c r="F329" s="14"/>
      <c r="G329" s="15">
        <v>0</v>
      </c>
      <c r="I329" s="14">
        <f t="shared" si="5"/>
        <v>0</v>
      </c>
      <c r="J329" s="14">
        <f>Tabla13[[#This Row],[Precio final en USD]]*$P$4</f>
        <v>0</v>
      </c>
      <c r="K329" s="10" t="s">
        <v>403</v>
      </c>
    </row>
    <row r="330" spans="1:11" x14ac:dyDescent="0.2">
      <c r="A330" s="11">
        <v>10623</v>
      </c>
      <c r="B330" s="12" t="s">
        <v>52</v>
      </c>
      <c r="C330" s="13" t="s">
        <v>405</v>
      </c>
      <c r="D330" s="12" t="s">
        <v>54</v>
      </c>
      <c r="E330" s="10" t="s">
        <v>84</v>
      </c>
      <c r="F330" s="14"/>
      <c r="G330" s="15"/>
      <c r="H330" s="10">
        <f>1496/2</f>
        <v>748</v>
      </c>
      <c r="I330" s="14">
        <f t="shared" si="5"/>
        <v>869.70847457627121</v>
      </c>
      <c r="J330" s="14">
        <f>Tabla13[[#This Row],[Precio final en USD]]*$P$4</f>
        <v>1391.5335593220341</v>
      </c>
    </row>
    <row r="331" spans="1:11" x14ac:dyDescent="0.2">
      <c r="A331" s="11">
        <v>10624</v>
      </c>
      <c r="B331" s="12" t="s">
        <v>52</v>
      </c>
      <c r="C331" s="13" t="s">
        <v>406</v>
      </c>
      <c r="D331" s="12" t="s">
        <v>54</v>
      </c>
      <c r="E331" s="10" t="s">
        <v>84</v>
      </c>
      <c r="F331" s="14"/>
      <c r="G331" s="15"/>
      <c r="H331" s="10">
        <f>157.48/2</f>
        <v>78.739999999999995</v>
      </c>
      <c r="I331" s="14">
        <f t="shared" si="5"/>
        <v>91.551932203389839</v>
      </c>
      <c r="J331" s="14">
        <f>Tabla13[[#This Row],[Precio final en USD]]*$P$4</f>
        <v>146.48309152542376</v>
      </c>
    </row>
    <row r="332" spans="1:11" x14ac:dyDescent="0.2">
      <c r="A332" s="11">
        <v>10625</v>
      </c>
      <c r="B332" s="12" t="s">
        <v>52</v>
      </c>
      <c r="C332" s="13" t="s">
        <v>407</v>
      </c>
      <c r="D332" s="12" t="s">
        <v>54</v>
      </c>
      <c r="E332" s="10" t="s">
        <v>84</v>
      </c>
      <c r="F332" s="14"/>
      <c r="G332" s="15"/>
      <c r="H332" s="10">
        <f>63.94/2</f>
        <v>31.97</v>
      </c>
      <c r="I332" s="14">
        <f t="shared" si="5"/>
        <v>37.171898305084746</v>
      </c>
      <c r="J332" s="14">
        <f>Tabla13[[#This Row],[Precio final en USD]]*$P$4</f>
        <v>59.475037288135596</v>
      </c>
    </row>
    <row r="333" spans="1:11" x14ac:dyDescent="0.2">
      <c r="A333" s="11">
        <v>10626</v>
      </c>
      <c r="B333" s="12" t="s">
        <v>52</v>
      </c>
      <c r="C333" s="13" t="s">
        <v>408</v>
      </c>
      <c r="D333" s="12" t="s">
        <v>54</v>
      </c>
      <c r="E333" s="10" t="s">
        <v>84</v>
      </c>
      <c r="F333" s="14"/>
      <c r="G333" s="15"/>
      <c r="H333" s="10">
        <v>35.75</v>
      </c>
      <c r="I333" s="14">
        <f t="shared" si="5"/>
        <v>41.566949152542378</v>
      </c>
      <c r="J333" s="14">
        <f>Tabla13[[#This Row],[Precio final en USD]]*$P$4</f>
        <v>66.507118644067802</v>
      </c>
    </row>
    <row r="334" spans="1:11" x14ac:dyDescent="0.2">
      <c r="A334" s="11">
        <v>10627</v>
      </c>
      <c r="B334" s="12" t="s">
        <v>52</v>
      </c>
      <c r="C334" s="13" t="s">
        <v>409</v>
      </c>
      <c r="D334" s="12" t="s">
        <v>54</v>
      </c>
      <c r="E334" s="10" t="s">
        <v>84</v>
      </c>
      <c r="F334" s="14"/>
      <c r="G334" s="15"/>
      <c r="H334" s="10">
        <f>40.16/2</f>
        <v>20.079999999999998</v>
      </c>
      <c r="I334" s="14">
        <f t="shared" si="5"/>
        <v>23.347254237288137</v>
      </c>
      <c r="J334" s="14">
        <f>Tabla13[[#This Row],[Precio final en USD]]*$P$4</f>
        <v>37.355606779661024</v>
      </c>
    </row>
    <row r="335" spans="1:11" x14ac:dyDescent="0.2">
      <c r="A335" s="11">
        <v>10628</v>
      </c>
      <c r="B335" s="12" t="s">
        <v>52</v>
      </c>
      <c r="C335" s="13" t="s">
        <v>410</v>
      </c>
      <c r="D335" s="12" t="s">
        <v>54</v>
      </c>
      <c r="E335" s="10" t="s">
        <v>84</v>
      </c>
      <c r="F335" s="14"/>
      <c r="G335" s="15"/>
      <c r="H335" s="10">
        <f>63.94/2</f>
        <v>31.97</v>
      </c>
      <c r="I335" s="14">
        <f t="shared" si="5"/>
        <v>37.171898305084746</v>
      </c>
      <c r="J335" s="14">
        <f>Tabla13[[#This Row],[Precio final en USD]]*$P$4</f>
        <v>59.475037288135596</v>
      </c>
    </row>
    <row r="336" spans="1:11" x14ac:dyDescent="0.2">
      <c r="A336" s="11">
        <v>10629</v>
      </c>
      <c r="B336" s="12" t="s">
        <v>52</v>
      </c>
      <c r="C336" s="13" t="s">
        <v>411</v>
      </c>
      <c r="D336" s="12" t="s">
        <v>54</v>
      </c>
      <c r="E336" s="10" t="s">
        <v>149</v>
      </c>
      <c r="F336" s="14">
        <v>487</v>
      </c>
      <c r="G336" s="15"/>
      <c r="I336" s="14">
        <f t="shared" si="5"/>
        <v>487</v>
      </c>
      <c r="J336" s="14">
        <f>Tabla13[[#This Row],[Precio final en USD]]*$P$4</f>
        <v>779.2</v>
      </c>
    </row>
    <row r="337" spans="1:11" x14ac:dyDescent="0.2">
      <c r="A337" s="11">
        <v>10630</v>
      </c>
      <c r="B337" s="12" t="s">
        <v>52</v>
      </c>
      <c r="C337" s="13" t="s">
        <v>412</v>
      </c>
      <c r="D337" s="12" t="s">
        <v>54</v>
      </c>
      <c r="E337" s="10" t="s">
        <v>149</v>
      </c>
      <c r="F337" s="14"/>
      <c r="G337" s="15">
        <v>49500</v>
      </c>
      <c r="I337" s="14">
        <f t="shared" si="5"/>
        <v>33.559322033898304</v>
      </c>
      <c r="J337" s="14">
        <f>Tabla13[[#This Row],[Precio final en USD]]*$P$4</f>
        <v>53.694915254237287</v>
      </c>
    </row>
    <row r="338" spans="1:11" x14ac:dyDescent="0.2">
      <c r="A338" s="11">
        <v>10631</v>
      </c>
      <c r="B338" s="12" t="s">
        <v>52</v>
      </c>
      <c r="C338" s="13" t="s">
        <v>413</v>
      </c>
      <c r="D338" s="12" t="s">
        <v>54</v>
      </c>
      <c r="E338" s="10" t="s">
        <v>84</v>
      </c>
      <c r="F338" s="14"/>
      <c r="G338" s="15"/>
      <c r="H338" s="23">
        <v>0.97</v>
      </c>
      <c r="I338" s="14">
        <f t="shared" si="5"/>
        <v>1.1278305084745763</v>
      </c>
      <c r="J338" s="14">
        <f>Tabla13[[#This Row],[Precio final en USD]]*$P$4</f>
        <v>1.8045288135593223</v>
      </c>
    </row>
    <row r="339" spans="1:11" x14ac:dyDescent="0.2">
      <c r="A339" s="11">
        <v>10632</v>
      </c>
      <c r="B339" s="12" t="s">
        <v>52</v>
      </c>
      <c r="C339" s="13" t="s">
        <v>414</v>
      </c>
      <c r="D339" s="12" t="s">
        <v>54</v>
      </c>
      <c r="E339" s="10" t="s">
        <v>84</v>
      </c>
      <c r="F339" s="14"/>
      <c r="G339" s="15"/>
      <c r="H339" s="23">
        <v>3.46</v>
      </c>
      <c r="I339" s="14">
        <f t="shared" si="5"/>
        <v>4.0229830508474578</v>
      </c>
      <c r="J339" s="14">
        <f>Tabla13[[#This Row],[Precio final en USD]]*$P$4</f>
        <v>6.4367728813559326</v>
      </c>
    </row>
    <row r="340" spans="1:11" x14ac:dyDescent="0.2">
      <c r="A340" s="11">
        <v>10633</v>
      </c>
      <c r="B340" s="12" t="s">
        <v>52</v>
      </c>
      <c r="C340" s="13" t="s">
        <v>415</v>
      </c>
      <c r="D340" s="12" t="s">
        <v>54</v>
      </c>
      <c r="E340" s="10" t="s">
        <v>84</v>
      </c>
      <c r="F340" s="14"/>
      <c r="G340" s="15"/>
      <c r="H340" s="23">
        <v>0.84</v>
      </c>
      <c r="I340" s="14">
        <f t="shared" si="5"/>
        <v>0.97667796610169499</v>
      </c>
      <c r="J340" s="14">
        <f>Tabla13[[#This Row],[Precio final en USD]]*$P$4</f>
        <v>1.562684745762712</v>
      </c>
    </row>
    <row r="341" spans="1:11" x14ac:dyDescent="0.2">
      <c r="A341" s="11">
        <v>10634</v>
      </c>
      <c r="B341" s="12" t="s">
        <v>52</v>
      </c>
      <c r="C341" s="13" t="s">
        <v>416</v>
      </c>
      <c r="D341" s="12" t="s">
        <v>54</v>
      </c>
      <c r="E341" s="10" t="s">
        <v>84</v>
      </c>
      <c r="F341" s="14"/>
      <c r="G341" s="15"/>
      <c r="H341" s="23">
        <v>1.64</v>
      </c>
      <c r="I341" s="14">
        <f t="shared" si="5"/>
        <v>1.9068474576271186</v>
      </c>
      <c r="J341" s="14">
        <f>Tabla13[[#This Row],[Precio final en USD]]*$P$4</f>
        <v>3.0509559322033901</v>
      </c>
    </row>
    <row r="342" spans="1:11" x14ac:dyDescent="0.2">
      <c r="A342" s="11">
        <v>10635</v>
      </c>
      <c r="B342" s="12" t="s">
        <v>52</v>
      </c>
      <c r="C342" s="13" t="s">
        <v>417</v>
      </c>
      <c r="D342" s="12" t="s">
        <v>54</v>
      </c>
      <c r="E342" s="10" t="s">
        <v>84</v>
      </c>
      <c r="F342" s="14"/>
      <c r="G342" s="15"/>
      <c r="H342" s="23">
        <v>1.62</v>
      </c>
      <c r="I342" s="14">
        <f t="shared" si="5"/>
        <v>1.8835932203389834</v>
      </c>
      <c r="J342" s="14">
        <f>Tabla13[[#This Row],[Precio final en USD]]*$P$4</f>
        <v>3.0137491525423736</v>
      </c>
    </row>
    <row r="343" spans="1:11" x14ac:dyDescent="0.2">
      <c r="A343" s="11">
        <v>10636</v>
      </c>
      <c r="B343" s="12" t="s">
        <v>52</v>
      </c>
      <c r="C343" s="13" t="s">
        <v>418</v>
      </c>
      <c r="D343" s="12" t="s">
        <v>54</v>
      </c>
      <c r="E343" s="10" t="s">
        <v>84</v>
      </c>
      <c r="F343" s="14"/>
      <c r="G343" s="15"/>
      <c r="H343" s="23">
        <v>0.55000000000000004</v>
      </c>
      <c r="I343" s="14">
        <f t="shared" si="5"/>
        <v>0.63949152542372889</v>
      </c>
      <c r="J343" s="14">
        <f>Tabla13[[#This Row],[Precio final en USD]]*$P$4</f>
        <v>1.0231864406779663</v>
      </c>
    </row>
    <row r="344" spans="1:11" x14ac:dyDescent="0.2">
      <c r="A344" s="11">
        <v>10637</v>
      </c>
      <c r="B344" s="12" t="s">
        <v>52</v>
      </c>
      <c r="C344" s="13" t="s">
        <v>419</v>
      </c>
      <c r="D344" s="12" t="s">
        <v>54</v>
      </c>
      <c r="E344" s="10" t="s">
        <v>84</v>
      </c>
      <c r="F344" s="14"/>
      <c r="G344" s="15"/>
      <c r="H344" s="23">
        <v>20.71</v>
      </c>
      <c r="I344" s="14">
        <f t="shared" si="5"/>
        <v>24.079762711864412</v>
      </c>
      <c r="J344" s="14">
        <f>Tabla13[[#This Row],[Precio final en USD]]*$P$4</f>
        <v>38.527620338983063</v>
      </c>
    </row>
    <row r="345" spans="1:11" x14ac:dyDescent="0.2">
      <c r="A345" s="11">
        <v>10638</v>
      </c>
      <c r="B345" s="12" t="s">
        <v>52</v>
      </c>
      <c r="C345" s="13" t="s">
        <v>420</v>
      </c>
      <c r="D345" s="12" t="s">
        <v>54</v>
      </c>
      <c r="E345" s="10" t="s">
        <v>84</v>
      </c>
      <c r="F345" s="14"/>
      <c r="G345" s="15"/>
      <c r="H345" s="23">
        <v>13.21</v>
      </c>
      <c r="I345" s="14">
        <f t="shared" si="5"/>
        <v>15.359423728813562</v>
      </c>
      <c r="J345" s="14">
        <f>Tabla13[[#This Row],[Precio final en USD]]*$P$4</f>
        <v>24.575077966101702</v>
      </c>
    </row>
    <row r="346" spans="1:11" x14ac:dyDescent="0.2">
      <c r="A346" s="11">
        <v>10639</v>
      </c>
      <c r="B346" s="12" t="s">
        <v>52</v>
      </c>
      <c r="C346" s="13" t="s">
        <v>421</v>
      </c>
      <c r="D346" s="12" t="s">
        <v>54</v>
      </c>
      <c r="E346" s="10" t="s">
        <v>84</v>
      </c>
      <c r="F346" s="14"/>
      <c r="G346" s="15"/>
      <c r="H346" s="23">
        <v>1.28</v>
      </c>
      <c r="I346" s="14">
        <f t="shared" si="5"/>
        <v>1.4882711864406781</v>
      </c>
      <c r="J346" s="14">
        <f>Tabla13[[#This Row],[Precio final en USD]]*$P$4</f>
        <v>2.3812338983050849</v>
      </c>
      <c r="K346" s="10" t="s">
        <v>422</v>
      </c>
    </row>
    <row r="347" spans="1:11" x14ac:dyDescent="0.2">
      <c r="A347" s="11">
        <v>10640</v>
      </c>
      <c r="B347" s="12" t="s">
        <v>52</v>
      </c>
      <c r="C347" s="13" t="s">
        <v>423</v>
      </c>
      <c r="D347" s="12" t="s">
        <v>54</v>
      </c>
      <c r="E347" s="10" t="s">
        <v>84</v>
      </c>
      <c r="F347" s="14"/>
      <c r="G347" s="15"/>
      <c r="H347" s="23">
        <v>10.01</v>
      </c>
      <c r="I347" s="14">
        <f t="shared" si="5"/>
        <v>11.638745762711865</v>
      </c>
      <c r="J347" s="14">
        <f>Tabla13[[#This Row],[Precio final en USD]]*$P$4</f>
        <v>18.621993220338986</v>
      </c>
    </row>
    <row r="348" spans="1:11" x14ac:dyDescent="0.2">
      <c r="A348" s="11">
        <v>10641</v>
      </c>
      <c r="B348" s="12" t="s">
        <v>52</v>
      </c>
      <c r="C348" s="13" t="s">
        <v>424</v>
      </c>
      <c r="D348" s="12" t="s">
        <v>54</v>
      </c>
      <c r="E348" s="10" t="s">
        <v>84</v>
      </c>
      <c r="F348" s="14"/>
      <c r="G348" s="15"/>
      <c r="H348" s="23">
        <v>9.93</v>
      </c>
      <c r="I348" s="14">
        <f t="shared" si="5"/>
        <v>11.545728813559323</v>
      </c>
      <c r="J348" s="14">
        <f>Tabla13[[#This Row],[Precio final en USD]]*$P$4</f>
        <v>18.473166101694918</v>
      </c>
    </row>
    <row r="349" spans="1:11" x14ac:dyDescent="0.2">
      <c r="A349" s="11">
        <v>10642</v>
      </c>
      <c r="B349" s="12" t="s">
        <v>52</v>
      </c>
      <c r="C349" s="13" t="s">
        <v>425</v>
      </c>
      <c r="D349" s="12" t="s">
        <v>54</v>
      </c>
      <c r="E349" s="10" t="s">
        <v>84</v>
      </c>
      <c r="F349" s="14"/>
      <c r="G349" s="15"/>
      <c r="H349" s="23">
        <v>29.59</v>
      </c>
      <c r="I349" s="14">
        <f t="shared" si="5"/>
        <v>34.40464406779661</v>
      </c>
      <c r="J349" s="14">
        <f>Tabla13[[#This Row],[Precio final en USD]]*$P$4</f>
        <v>55.047430508474577</v>
      </c>
    </row>
    <row r="350" spans="1:11" x14ac:dyDescent="0.2">
      <c r="A350" s="11">
        <v>10643</v>
      </c>
      <c r="B350" s="12" t="s">
        <v>52</v>
      </c>
      <c r="C350" s="13" t="s">
        <v>426</v>
      </c>
      <c r="D350" s="12" t="s">
        <v>54</v>
      </c>
      <c r="E350" s="10" t="s">
        <v>84</v>
      </c>
      <c r="F350" s="14"/>
      <c r="G350" s="15"/>
      <c r="H350" s="23">
        <v>33.11</v>
      </c>
      <c r="I350" s="14">
        <f t="shared" si="5"/>
        <v>38.497389830508475</v>
      </c>
      <c r="J350" s="14">
        <f>Tabla13[[#This Row],[Precio final en USD]]*$P$4</f>
        <v>61.595823728813563</v>
      </c>
    </row>
    <row r="351" spans="1:11" x14ac:dyDescent="0.2">
      <c r="A351" s="11">
        <v>10644</v>
      </c>
      <c r="B351" s="12" t="s">
        <v>52</v>
      </c>
      <c r="C351" s="13" t="s">
        <v>427</v>
      </c>
      <c r="D351" s="12" t="s">
        <v>54</v>
      </c>
      <c r="E351" s="10" t="s">
        <v>84</v>
      </c>
      <c r="F351" s="14"/>
      <c r="G351" s="15"/>
      <c r="H351" s="23">
        <v>12.22</v>
      </c>
      <c r="I351" s="14">
        <f t="shared" si="5"/>
        <v>14.208338983050849</v>
      </c>
      <c r="J351" s="14">
        <f>Tabla13[[#This Row],[Precio final en USD]]*$P$4</f>
        <v>22.73334237288136</v>
      </c>
    </row>
    <row r="352" spans="1:11" x14ac:dyDescent="0.2">
      <c r="A352" s="11">
        <v>10645</v>
      </c>
      <c r="B352" s="12" t="s">
        <v>52</v>
      </c>
      <c r="C352" s="13" t="s">
        <v>428</v>
      </c>
      <c r="D352" s="12" t="s">
        <v>54</v>
      </c>
      <c r="E352" s="10" t="s">
        <v>84</v>
      </c>
      <c r="F352" s="14"/>
      <c r="G352" s="15"/>
      <c r="H352" s="23">
        <v>76.13</v>
      </c>
      <c r="I352" s="14">
        <f t="shared" si="5"/>
        <v>88.517254237288142</v>
      </c>
      <c r="J352" s="14">
        <f>Tabla13[[#This Row],[Precio final en USD]]*$P$4</f>
        <v>141.62760677966102</v>
      </c>
    </row>
    <row r="353" spans="1:10" x14ac:dyDescent="0.2">
      <c r="A353" s="11">
        <v>10646</v>
      </c>
      <c r="B353" s="12" t="s">
        <v>52</v>
      </c>
      <c r="C353" s="13" t="s">
        <v>429</v>
      </c>
      <c r="D353" s="12" t="s">
        <v>54</v>
      </c>
      <c r="E353" s="10" t="s">
        <v>84</v>
      </c>
      <c r="F353" s="14"/>
      <c r="G353" s="15"/>
      <c r="H353" s="23">
        <v>43.76</v>
      </c>
      <c r="I353" s="14">
        <f t="shared" si="5"/>
        <v>50.88027118644068</v>
      </c>
      <c r="J353" s="14">
        <f>Tabla13[[#This Row],[Precio final en USD]]*$P$4</f>
        <v>81.408433898305091</v>
      </c>
    </row>
    <row r="354" spans="1:10" x14ac:dyDescent="0.2">
      <c r="A354" s="11">
        <v>10647</v>
      </c>
      <c r="B354" s="12" t="s">
        <v>52</v>
      </c>
      <c r="C354" s="13" t="s">
        <v>430</v>
      </c>
      <c r="D354" s="12" t="s">
        <v>54</v>
      </c>
      <c r="E354" s="10" t="s">
        <v>84</v>
      </c>
      <c r="F354" s="14"/>
      <c r="G354" s="15"/>
      <c r="H354" s="23">
        <v>19.079999999999998</v>
      </c>
      <c r="I354" s="14">
        <f t="shared" si="5"/>
        <v>22.184542372881356</v>
      </c>
      <c r="J354" s="14">
        <f>Tabla13[[#This Row],[Precio final en USD]]*$P$4</f>
        <v>35.495267796610172</v>
      </c>
    </row>
    <row r="355" spans="1:10" x14ac:dyDescent="0.2">
      <c r="A355" s="11">
        <v>10648</v>
      </c>
      <c r="B355" s="12" t="s">
        <v>52</v>
      </c>
      <c r="C355" s="13" t="s">
        <v>431</v>
      </c>
      <c r="D355" s="12" t="s">
        <v>54</v>
      </c>
      <c r="E355" s="10" t="s">
        <v>84</v>
      </c>
      <c r="F355" s="14"/>
      <c r="G355" s="15"/>
      <c r="H355" s="23">
        <v>6.2</v>
      </c>
      <c r="I355" s="14">
        <f t="shared" si="5"/>
        <v>7.208813559322035</v>
      </c>
      <c r="J355" s="14">
        <f>Tabla13[[#This Row],[Precio final en USD]]*$P$4</f>
        <v>11.534101694915257</v>
      </c>
    </row>
    <row r="356" spans="1:10" x14ac:dyDescent="0.2">
      <c r="A356" s="11">
        <v>10649</v>
      </c>
      <c r="B356" s="12" t="s">
        <v>52</v>
      </c>
      <c r="C356" s="13" t="s">
        <v>432</v>
      </c>
      <c r="D356" s="12" t="s">
        <v>54</v>
      </c>
      <c r="E356" s="10" t="s">
        <v>84</v>
      </c>
      <c r="F356" s="14"/>
      <c r="G356" s="15"/>
      <c r="H356" s="23">
        <v>6.2</v>
      </c>
      <c r="I356" s="14">
        <f t="shared" si="5"/>
        <v>7.208813559322035</v>
      </c>
      <c r="J356" s="14">
        <f>Tabla13[[#This Row],[Precio final en USD]]*$P$4</f>
        <v>11.534101694915257</v>
      </c>
    </row>
    <row r="357" spans="1:10" x14ac:dyDescent="0.2">
      <c r="A357" s="11">
        <v>10650</v>
      </c>
      <c r="B357" s="12" t="s">
        <v>52</v>
      </c>
      <c r="C357" s="13" t="s">
        <v>433</v>
      </c>
      <c r="D357" s="12" t="s">
        <v>54</v>
      </c>
      <c r="E357" s="10" t="s">
        <v>84</v>
      </c>
      <c r="F357" s="14"/>
      <c r="G357" s="15"/>
      <c r="H357" s="23">
        <v>5.84</v>
      </c>
      <c r="I357" s="14">
        <f t="shared" si="5"/>
        <v>6.7902372881355939</v>
      </c>
      <c r="J357" s="14">
        <f>Tabla13[[#This Row],[Precio final en USD]]*$P$4</f>
        <v>10.864379661016951</v>
      </c>
    </row>
    <row r="358" spans="1:10" x14ac:dyDescent="0.2">
      <c r="A358" s="11">
        <v>10651</v>
      </c>
      <c r="B358" s="12" t="s">
        <v>52</v>
      </c>
      <c r="C358" s="13" t="s">
        <v>434</v>
      </c>
      <c r="D358" s="12" t="s">
        <v>54</v>
      </c>
      <c r="E358" s="10" t="s">
        <v>84</v>
      </c>
      <c r="F358" s="14"/>
      <c r="G358" s="15"/>
      <c r="H358" s="23">
        <v>12.22</v>
      </c>
      <c r="I358" s="14">
        <f t="shared" si="5"/>
        <v>14.208338983050849</v>
      </c>
      <c r="J358" s="14">
        <f>Tabla13[[#This Row],[Precio final en USD]]*$P$4</f>
        <v>22.73334237288136</v>
      </c>
    </row>
    <row r="359" spans="1:10" x14ac:dyDescent="0.2">
      <c r="A359" s="11">
        <v>10652</v>
      </c>
      <c r="B359" s="12" t="s">
        <v>52</v>
      </c>
      <c r="C359" s="13" t="s">
        <v>435</v>
      </c>
      <c r="D359" s="12" t="s">
        <v>54</v>
      </c>
      <c r="E359" s="10" t="s">
        <v>84</v>
      </c>
      <c r="F359" s="14"/>
      <c r="G359" s="15"/>
      <c r="H359" s="23">
        <v>5.84</v>
      </c>
      <c r="I359" s="14">
        <f t="shared" si="5"/>
        <v>6.7902372881355939</v>
      </c>
      <c r="J359" s="14">
        <f>Tabla13[[#This Row],[Precio final en USD]]*$P$4</f>
        <v>10.864379661016951</v>
      </c>
    </row>
    <row r="360" spans="1:10" x14ac:dyDescent="0.2">
      <c r="A360" s="11">
        <v>10653</v>
      </c>
      <c r="B360" s="12" t="s">
        <v>52</v>
      </c>
      <c r="C360" s="13" t="s">
        <v>436</v>
      </c>
      <c r="D360" s="12" t="s">
        <v>54</v>
      </c>
      <c r="E360" s="10" t="s">
        <v>84</v>
      </c>
      <c r="F360" s="14"/>
      <c r="G360" s="15"/>
      <c r="H360" s="23">
        <v>5.84</v>
      </c>
      <c r="I360" s="14">
        <f t="shared" si="5"/>
        <v>6.7902372881355939</v>
      </c>
      <c r="J360" s="14">
        <f>Tabla13[[#This Row],[Precio final en USD]]*$P$4</f>
        <v>10.864379661016951</v>
      </c>
    </row>
    <row r="361" spans="1:10" x14ac:dyDescent="0.2">
      <c r="A361" s="11">
        <v>10654</v>
      </c>
      <c r="B361" s="12" t="s">
        <v>52</v>
      </c>
      <c r="C361" s="13" t="s">
        <v>437</v>
      </c>
      <c r="D361" s="12" t="s">
        <v>54</v>
      </c>
      <c r="E361" s="10" t="s">
        <v>84</v>
      </c>
      <c r="F361" s="14"/>
      <c r="G361" s="15"/>
      <c r="H361" s="23">
        <v>5.84</v>
      </c>
      <c r="I361" s="14">
        <f t="shared" si="5"/>
        <v>6.7902372881355939</v>
      </c>
      <c r="J361" s="14">
        <f>Tabla13[[#This Row],[Precio final en USD]]*$P$4</f>
        <v>10.864379661016951</v>
      </c>
    </row>
    <row r="362" spans="1:10" x14ac:dyDescent="0.2">
      <c r="A362" s="11">
        <v>10655</v>
      </c>
      <c r="B362" s="12" t="s">
        <v>52</v>
      </c>
      <c r="C362" s="13" t="s">
        <v>438</v>
      </c>
      <c r="D362" s="12" t="s">
        <v>54</v>
      </c>
      <c r="E362" s="10" t="s">
        <v>84</v>
      </c>
      <c r="F362" s="14"/>
      <c r="G362" s="15"/>
      <c r="H362" s="23">
        <v>6.2</v>
      </c>
      <c r="I362" s="14">
        <f t="shared" si="5"/>
        <v>7.208813559322035</v>
      </c>
      <c r="J362" s="14">
        <f>Tabla13[[#This Row],[Precio final en USD]]*$P$4</f>
        <v>11.534101694915257</v>
      </c>
    </row>
    <row r="363" spans="1:10" x14ac:dyDescent="0.2">
      <c r="A363" s="11">
        <v>10656</v>
      </c>
      <c r="B363" s="12" t="s">
        <v>52</v>
      </c>
      <c r="C363" s="13" t="s">
        <v>439</v>
      </c>
      <c r="D363" s="12" t="s">
        <v>54</v>
      </c>
      <c r="E363" s="10" t="s">
        <v>84</v>
      </c>
      <c r="F363" s="14"/>
      <c r="G363" s="15"/>
      <c r="H363" s="23">
        <v>5.64</v>
      </c>
      <c r="I363" s="14">
        <f t="shared" si="5"/>
        <v>6.5576949152542374</v>
      </c>
      <c r="J363" s="14">
        <f>Tabla13[[#This Row],[Precio final en USD]]*$P$4</f>
        <v>10.49231186440678</v>
      </c>
    </row>
    <row r="364" spans="1:10" x14ac:dyDescent="0.2">
      <c r="A364" s="11">
        <v>10657</v>
      </c>
      <c r="B364" s="12" t="s">
        <v>52</v>
      </c>
      <c r="C364" s="13" t="s">
        <v>440</v>
      </c>
      <c r="D364" s="12" t="s">
        <v>54</v>
      </c>
      <c r="E364" s="10" t="s">
        <v>84</v>
      </c>
      <c r="F364" s="14"/>
      <c r="G364" s="15"/>
      <c r="H364" s="23">
        <v>0.94</v>
      </c>
      <c r="I364" s="14">
        <f t="shared" si="5"/>
        <v>1.0929491525423729</v>
      </c>
      <c r="J364" s="14">
        <f>Tabla13[[#This Row],[Precio final en USD]]*$P$4</f>
        <v>1.7487186440677966</v>
      </c>
    </row>
    <row r="365" spans="1:10" x14ac:dyDescent="0.2">
      <c r="A365" s="11">
        <v>10658</v>
      </c>
      <c r="B365" s="12" t="s">
        <v>52</v>
      </c>
      <c r="C365" s="13" t="s">
        <v>441</v>
      </c>
      <c r="D365" s="12" t="s">
        <v>54</v>
      </c>
      <c r="E365" s="10" t="s">
        <v>84</v>
      </c>
      <c r="F365" s="14"/>
      <c r="G365" s="15"/>
      <c r="H365" s="23">
        <v>14.47</v>
      </c>
      <c r="I365" s="14">
        <f t="shared" si="5"/>
        <v>16.824440677966106</v>
      </c>
      <c r="J365" s="14">
        <f>Tabla13[[#This Row],[Precio final en USD]]*$P$4</f>
        <v>26.91910508474577</v>
      </c>
    </row>
    <row r="366" spans="1:10" x14ac:dyDescent="0.2">
      <c r="A366" s="11">
        <v>10659</v>
      </c>
      <c r="B366" s="12" t="s">
        <v>52</v>
      </c>
      <c r="C366" s="13" t="s">
        <v>442</v>
      </c>
      <c r="D366" s="12" t="s">
        <v>54</v>
      </c>
      <c r="E366" s="10" t="s">
        <v>84</v>
      </c>
      <c r="F366" s="14"/>
      <c r="G366" s="15"/>
      <c r="H366" s="23">
        <v>0.72</v>
      </c>
      <c r="I366" s="14">
        <f t="shared" si="5"/>
        <v>0.83715254237288139</v>
      </c>
      <c r="J366" s="14">
        <f>Tabla13[[#This Row],[Precio final en USD]]*$P$4</f>
        <v>1.3394440677966104</v>
      </c>
    </row>
    <row r="367" spans="1:10" x14ac:dyDescent="0.2">
      <c r="A367" s="11">
        <v>10660</v>
      </c>
      <c r="B367" s="12" t="s">
        <v>52</v>
      </c>
      <c r="C367" s="13" t="s">
        <v>443</v>
      </c>
      <c r="D367" s="12" t="s">
        <v>54</v>
      </c>
      <c r="E367" s="10" t="s">
        <v>84</v>
      </c>
      <c r="F367" s="14"/>
      <c r="G367" s="15"/>
      <c r="H367" s="23">
        <v>0.74</v>
      </c>
      <c r="I367" s="14">
        <f t="shared" si="5"/>
        <v>0.86040677966101697</v>
      </c>
      <c r="J367" s="14">
        <f>Tabla13[[#This Row],[Precio final en USD]]*$P$4</f>
        <v>1.3766508474576273</v>
      </c>
    </row>
    <row r="368" spans="1:10" x14ac:dyDescent="0.2">
      <c r="A368" s="11">
        <v>10683</v>
      </c>
      <c r="B368" s="12" t="s">
        <v>52</v>
      </c>
      <c r="C368" s="13" t="s">
        <v>444</v>
      </c>
      <c r="D368" s="12" t="s">
        <v>54</v>
      </c>
      <c r="E368" s="10" t="s">
        <v>445</v>
      </c>
      <c r="F368" s="14"/>
      <c r="G368" s="15">
        <v>20000</v>
      </c>
      <c r="I368" s="14">
        <f t="shared" si="5"/>
        <v>13.559322033898304</v>
      </c>
      <c r="J368" s="14">
        <f>Tabla13[[#This Row],[Precio final en USD]]*$P$4</f>
        <v>21.694915254237287</v>
      </c>
    </row>
    <row r="369" spans="1:10" x14ac:dyDescent="0.2">
      <c r="A369" s="11">
        <v>10684</v>
      </c>
      <c r="B369" s="12" t="s">
        <v>52</v>
      </c>
      <c r="C369" s="13" t="s">
        <v>446</v>
      </c>
      <c r="D369" s="12" t="s">
        <v>54</v>
      </c>
      <c r="E369" s="10" t="s">
        <v>447</v>
      </c>
      <c r="F369" s="14"/>
      <c r="G369" s="15">
        <v>80174</v>
      </c>
      <c r="I369" s="14">
        <f t="shared" si="5"/>
        <v>54.355254237288136</v>
      </c>
      <c r="J369" s="14">
        <f>Tabla13[[#This Row],[Precio final en USD]]*$P$4</f>
        <v>86.968406779661024</v>
      </c>
    </row>
    <row r="370" spans="1:10" x14ac:dyDescent="0.2">
      <c r="A370" s="11">
        <v>10685</v>
      </c>
      <c r="B370" s="12" t="s">
        <v>52</v>
      </c>
      <c r="C370" s="13" t="s">
        <v>448</v>
      </c>
      <c r="D370" s="12" t="s">
        <v>54</v>
      </c>
      <c r="E370" s="10" t="s">
        <v>447</v>
      </c>
      <c r="F370" s="14"/>
      <c r="G370" s="15">
        <v>156452</v>
      </c>
      <c r="I370" s="14">
        <f t="shared" si="5"/>
        <v>106.06915254237288</v>
      </c>
      <c r="J370" s="14">
        <f>Tabla13[[#This Row],[Precio final en USD]]*$P$4</f>
        <v>169.71064406779661</v>
      </c>
    </row>
    <row r="371" spans="1:10" x14ac:dyDescent="0.2">
      <c r="A371" s="11">
        <v>10686</v>
      </c>
      <c r="B371" s="12" t="s">
        <v>52</v>
      </c>
      <c r="C371" s="13" t="s">
        <v>449</v>
      </c>
      <c r="D371" s="12" t="s">
        <v>54</v>
      </c>
      <c r="E371" s="10" t="s">
        <v>447</v>
      </c>
      <c r="F371" s="14"/>
      <c r="G371" s="15">
        <v>156452</v>
      </c>
      <c r="I371" s="14">
        <f t="shared" si="5"/>
        <v>106.06915254237288</v>
      </c>
      <c r="J371" s="14">
        <f>Tabla13[[#This Row],[Precio final en USD]]*$P$4</f>
        <v>169.71064406779661</v>
      </c>
    </row>
    <row r="372" spans="1:10" x14ac:dyDescent="0.2">
      <c r="A372" s="11">
        <v>10687</v>
      </c>
      <c r="B372" s="12" t="s">
        <v>52</v>
      </c>
      <c r="C372" s="13" t="s">
        <v>450</v>
      </c>
      <c r="D372" s="12" t="s">
        <v>54</v>
      </c>
      <c r="E372" s="10" t="s">
        <v>447</v>
      </c>
      <c r="F372" s="14"/>
      <c r="G372" s="15">
        <v>170675</v>
      </c>
      <c r="I372" s="14">
        <f t="shared" si="5"/>
        <v>115.71186440677967</v>
      </c>
      <c r="J372" s="14">
        <f>Tabla13[[#This Row],[Precio final en USD]]*$P$4</f>
        <v>185.13898305084749</v>
      </c>
    </row>
    <row r="373" spans="1:10" x14ac:dyDescent="0.2">
      <c r="A373" s="11">
        <v>10688</v>
      </c>
      <c r="B373" s="12" t="s">
        <v>52</v>
      </c>
      <c r="C373" s="13" t="s">
        <v>451</v>
      </c>
      <c r="D373" s="12" t="s">
        <v>54</v>
      </c>
      <c r="E373" s="10" t="s">
        <v>447</v>
      </c>
      <c r="F373" s="14"/>
      <c r="G373" s="15">
        <v>170675</v>
      </c>
      <c r="I373" s="14">
        <f t="shared" si="5"/>
        <v>115.71186440677967</v>
      </c>
      <c r="J373" s="14">
        <f>Tabla13[[#This Row],[Precio final en USD]]*$P$4</f>
        <v>185.13898305084749</v>
      </c>
    </row>
    <row r="374" spans="1:10" x14ac:dyDescent="0.2">
      <c r="A374" s="12">
        <v>10689</v>
      </c>
      <c r="B374" s="11" t="s">
        <v>52</v>
      </c>
      <c r="C374" s="13" t="s">
        <v>452</v>
      </c>
      <c r="D374" s="12" t="s">
        <v>58</v>
      </c>
      <c r="E374" s="10" t="s">
        <v>68</v>
      </c>
      <c r="F374" s="14"/>
      <c r="G374" s="15">
        <v>10000</v>
      </c>
      <c r="I374" s="14">
        <f t="shared" si="5"/>
        <v>6.7796610169491522</v>
      </c>
      <c r="J374" s="14">
        <f>Tabla13[[#This Row],[Precio final en USD]]*$P$4</f>
        <v>10.847457627118644</v>
      </c>
    </row>
    <row r="375" spans="1:10" x14ac:dyDescent="0.2">
      <c r="A375" s="12">
        <v>10690</v>
      </c>
      <c r="B375" s="11" t="s">
        <v>52</v>
      </c>
      <c r="C375" s="13" t="s">
        <v>453</v>
      </c>
      <c r="D375" s="12" t="s">
        <v>58</v>
      </c>
      <c r="E375" s="10" t="s">
        <v>68</v>
      </c>
      <c r="F375" s="14"/>
      <c r="G375" s="15">
        <v>230000</v>
      </c>
      <c r="I375" s="14">
        <f t="shared" si="5"/>
        <v>155.93220338983051</v>
      </c>
      <c r="J375" s="14">
        <f>Tabla13[[#This Row],[Precio final en USD]]*$P$4</f>
        <v>249.49152542372883</v>
      </c>
    </row>
    <row r="376" spans="1:10" x14ac:dyDescent="0.2">
      <c r="A376" s="12">
        <v>10691</v>
      </c>
      <c r="B376" s="11" t="s">
        <v>52</v>
      </c>
      <c r="C376" s="13" t="s">
        <v>454</v>
      </c>
      <c r="D376" s="12" t="s">
        <v>58</v>
      </c>
      <c r="E376" s="10" t="s">
        <v>68</v>
      </c>
      <c r="F376" s="14"/>
      <c r="G376" s="15">
        <v>430000</v>
      </c>
      <c r="I376" s="14">
        <f t="shared" si="5"/>
        <v>291.52542372881356</v>
      </c>
      <c r="J376" s="14">
        <f>Tabla13[[#This Row],[Precio final en USD]]*$P$4</f>
        <v>466.4406779661017</v>
      </c>
    </row>
    <row r="377" spans="1:10" x14ac:dyDescent="0.2">
      <c r="A377" s="12">
        <v>10692</v>
      </c>
      <c r="B377" s="11" t="s">
        <v>52</v>
      </c>
      <c r="C377" s="13" t="s">
        <v>455</v>
      </c>
      <c r="D377" s="12" t="s">
        <v>58</v>
      </c>
      <c r="E377" s="10" t="s">
        <v>68</v>
      </c>
      <c r="F377" s="14"/>
      <c r="G377" s="15">
        <v>12000</v>
      </c>
      <c r="I377" s="14">
        <f t="shared" si="5"/>
        <v>8.1355932203389827</v>
      </c>
      <c r="J377" s="14">
        <f>Tabla13[[#This Row],[Precio final en USD]]*$P$4</f>
        <v>13.016949152542374</v>
      </c>
    </row>
    <row r="378" spans="1:10" x14ac:dyDescent="0.2">
      <c r="A378" s="12">
        <v>10695</v>
      </c>
      <c r="B378" s="11" t="s">
        <v>52</v>
      </c>
      <c r="C378" s="13" t="s">
        <v>456</v>
      </c>
      <c r="D378" s="12" t="s">
        <v>58</v>
      </c>
      <c r="E378" s="10" t="s">
        <v>457</v>
      </c>
      <c r="F378" s="14"/>
      <c r="G378" s="15">
        <v>48000</v>
      </c>
      <c r="I378" s="14">
        <f t="shared" si="5"/>
        <v>32.542372881355931</v>
      </c>
      <c r="J378" s="14">
        <f>Tabla13[[#This Row],[Precio final en USD]]*$P$4</f>
        <v>52.067796610169495</v>
      </c>
    </row>
    <row r="379" spans="1:10" x14ac:dyDescent="0.2">
      <c r="A379" s="12">
        <v>10696</v>
      </c>
      <c r="B379" s="11" t="s">
        <v>52</v>
      </c>
      <c r="C379" s="13" t="s">
        <v>458</v>
      </c>
      <c r="D379" s="12" t="s">
        <v>58</v>
      </c>
      <c r="E379" s="10" t="s">
        <v>68</v>
      </c>
      <c r="F379" s="14"/>
      <c r="G379" s="15">
        <v>65000</v>
      </c>
      <c r="I379" s="14">
        <f t="shared" si="5"/>
        <v>44.067796610169495</v>
      </c>
      <c r="J379" s="14">
        <f>Tabla13[[#This Row],[Precio final en USD]]*$P$4</f>
        <v>70.508474576271198</v>
      </c>
    </row>
    <row r="380" spans="1:10" x14ac:dyDescent="0.2">
      <c r="A380" s="12">
        <v>10697</v>
      </c>
      <c r="B380" s="11" t="s">
        <v>52</v>
      </c>
      <c r="C380" s="26" t="s">
        <v>459</v>
      </c>
      <c r="D380" s="12" t="s">
        <v>58</v>
      </c>
      <c r="E380" s="10" t="s">
        <v>68</v>
      </c>
      <c r="F380" s="14"/>
      <c r="G380" s="15">
        <v>80000</v>
      </c>
      <c r="I380" s="14">
        <f t="shared" si="5"/>
        <v>54.237288135593218</v>
      </c>
      <c r="J380" s="14">
        <f>Tabla13[[#This Row],[Precio final en USD]]*$P$4</f>
        <v>86.779661016949149</v>
      </c>
    </row>
    <row r="381" spans="1:10" x14ac:dyDescent="0.2">
      <c r="A381" s="12">
        <v>10703</v>
      </c>
      <c r="B381" s="11" t="s">
        <v>52</v>
      </c>
      <c r="C381" s="13" t="s">
        <v>460</v>
      </c>
      <c r="D381" s="12" t="s">
        <v>58</v>
      </c>
      <c r="E381" s="10" t="s">
        <v>68</v>
      </c>
      <c r="F381" s="14"/>
      <c r="G381" s="15"/>
      <c r="H381" s="10">
        <v>509</v>
      </c>
      <c r="I381" s="14">
        <f t="shared" si="5"/>
        <v>591.82033898305087</v>
      </c>
      <c r="J381" s="14">
        <f>Tabla13[[#This Row],[Precio final en USD]]*$P$4</f>
        <v>946.91254237288149</v>
      </c>
    </row>
    <row r="382" spans="1:10" x14ac:dyDescent="0.2">
      <c r="A382" s="12">
        <v>10704</v>
      </c>
      <c r="B382" s="11" t="s">
        <v>52</v>
      </c>
      <c r="C382" s="13" t="s">
        <v>461</v>
      </c>
      <c r="D382" s="12" t="s">
        <v>58</v>
      </c>
      <c r="E382" s="10" t="s">
        <v>68</v>
      </c>
      <c r="F382" s="14"/>
      <c r="G382" s="15">
        <v>282000</v>
      </c>
      <c r="I382" s="14">
        <f t="shared" si="5"/>
        <v>191.18644067796609</v>
      </c>
      <c r="J382" s="14">
        <f>Tabla13[[#This Row],[Precio final en USD]]*$P$4</f>
        <v>305.89830508474574</v>
      </c>
    </row>
    <row r="383" spans="1:10" x14ac:dyDescent="0.2">
      <c r="A383" s="12">
        <v>10705</v>
      </c>
      <c r="B383" s="11" t="s">
        <v>52</v>
      </c>
      <c r="C383" s="13" t="s">
        <v>462</v>
      </c>
      <c r="D383" s="12" t="s">
        <v>58</v>
      </c>
      <c r="E383" s="10" t="s">
        <v>68</v>
      </c>
      <c r="F383" s="14"/>
      <c r="G383" s="15">
        <v>10000</v>
      </c>
      <c r="I383" s="14">
        <f t="shared" si="5"/>
        <v>6.7796610169491522</v>
      </c>
      <c r="J383" s="14">
        <f>Tabla13[[#This Row],[Precio final en USD]]*$P$4</f>
        <v>10.847457627118644</v>
      </c>
    </row>
    <row r="384" spans="1:10" x14ac:dyDescent="0.2">
      <c r="A384" s="12">
        <v>10706</v>
      </c>
      <c r="B384" s="11" t="s">
        <v>52</v>
      </c>
      <c r="C384" s="13" t="s">
        <v>463</v>
      </c>
      <c r="D384" s="12" t="s">
        <v>58</v>
      </c>
      <c r="E384" s="10" t="s">
        <v>55</v>
      </c>
      <c r="F384" s="14">
        <v>145</v>
      </c>
      <c r="G384" s="15"/>
      <c r="I384" s="14">
        <f t="shared" si="5"/>
        <v>145</v>
      </c>
      <c r="J384" s="14">
        <f>Tabla13[[#This Row],[Precio final en USD]]*$P$4</f>
        <v>232</v>
      </c>
    </row>
    <row r="385" spans="1:10" x14ac:dyDescent="0.2">
      <c r="A385" s="12">
        <v>10707</v>
      </c>
      <c r="B385" s="11" t="s">
        <v>52</v>
      </c>
      <c r="C385" s="13" t="s">
        <v>464</v>
      </c>
      <c r="D385" s="12" t="s">
        <v>58</v>
      </c>
      <c r="E385" s="10" t="s">
        <v>457</v>
      </c>
      <c r="F385" s="14"/>
      <c r="G385" s="15">
        <v>28000</v>
      </c>
      <c r="I385" s="14">
        <f t="shared" si="5"/>
        <v>18.983050847457626</v>
      </c>
      <c r="J385" s="14">
        <f>Tabla13[[#This Row],[Precio final en USD]]*$P$4</f>
        <v>30.372881355932204</v>
      </c>
    </row>
    <row r="386" spans="1:10" x14ac:dyDescent="0.2">
      <c r="A386" s="12">
        <v>10708</v>
      </c>
      <c r="B386" s="11" t="s">
        <v>52</v>
      </c>
      <c r="C386" s="13" t="s">
        <v>465</v>
      </c>
      <c r="D386" s="12" t="s">
        <v>58</v>
      </c>
      <c r="E386" s="10" t="s">
        <v>55</v>
      </c>
      <c r="F386" s="14">
        <v>268</v>
      </c>
      <c r="G386" s="15"/>
      <c r="I386" s="14">
        <f t="shared" ref="I386:I449" si="6">IF(AND(F386="",G386="",H386=""),"",IF(F386&lt;&gt;"",F386,IF(G386&lt;&gt;"",G386/$O$1,IF(H386&lt;&gt;"",H386*$O$2,"ver"))))</f>
        <v>268</v>
      </c>
      <c r="J386" s="14">
        <f>Tabla13[[#This Row],[Precio final en USD]]*$P$4</f>
        <v>428.8</v>
      </c>
    </row>
    <row r="387" spans="1:10" x14ac:dyDescent="0.2">
      <c r="A387" s="12">
        <v>10709</v>
      </c>
      <c r="B387" s="11" t="s">
        <v>52</v>
      </c>
      <c r="C387" s="13" t="s">
        <v>466</v>
      </c>
      <c r="D387" s="12" t="s">
        <v>58</v>
      </c>
      <c r="E387" s="10" t="s">
        <v>350</v>
      </c>
      <c r="F387" s="14"/>
      <c r="G387" s="15">
        <v>2980.8</v>
      </c>
      <c r="I387" s="14">
        <f t="shared" si="6"/>
        <v>2.0208813559322034</v>
      </c>
      <c r="J387" s="14">
        <f>Tabla13[[#This Row],[Precio final en USD]]*$P$4</f>
        <v>3.2334101694915258</v>
      </c>
    </row>
    <row r="388" spans="1:10" x14ac:dyDescent="0.2">
      <c r="A388" s="12">
        <v>10710</v>
      </c>
      <c r="B388" s="11" t="s">
        <v>52</v>
      </c>
      <c r="C388" s="13" t="s">
        <v>467</v>
      </c>
      <c r="D388" s="12" t="s">
        <v>58</v>
      </c>
      <c r="E388" s="10" t="s">
        <v>55</v>
      </c>
      <c r="F388" s="14">
        <v>126</v>
      </c>
      <c r="G388" s="15"/>
      <c r="I388" s="14">
        <f t="shared" si="6"/>
        <v>126</v>
      </c>
      <c r="J388" s="14">
        <f>Tabla13[[#This Row],[Precio final en USD]]*$P$4</f>
        <v>201.60000000000002</v>
      </c>
    </row>
    <row r="389" spans="1:10" x14ac:dyDescent="0.2">
      <c r="A389" s="12">
        <v>10711</v>
      </c>
      <c r="B389" s="11" t="s">
        <v>52</v>
      </c>
      <c r="C389" s="13" t="s">
        <v>468</v>
      </c>
      <c r="D389" s="12" t="s">
        <v>58</v>
      </c>
      <c r="E389" s="10" t="s">
        <v>55</v>
      </c>
      <c r="F389" s="14">
        <v>17.600000000000001</v>
      </c>
      <c r="G389" s="15"/>
      <c r="I389" s="14">
        <f t="shared" si="6"/>
        <v>17.600000000000001</v>
      </c>
      <c r="J389" s="14">
        <f>Tabla13[[#This Row],[Precio final en USD]]*$P$4</f>
        <v>28.160000000000004</v>
      </c>
    </row>
    <row r="390" spans="1:10" x14ac:dyDescent="0.2">
      <c r="A390" s="12">
        <v>10712</v>
      </c>
      <c r="B390" s="11" t="s">
        <v>52</v>
      </c>
      <c r="C390" s="13" t="s">
        <v>469</v>
      </c>
      <c r="D390" s="12" t="s">
        <v>58</v>
      </c>
      <c r="E390" s="10" t="s">
        <v>84</v>
      </c>
      <c r="F390" s="14"/>
      <c r="G390" s="15"/>
      <c r="H390" s="10">
        <v>9.1199999999999992</v>
      </c>
      <c r="I390" s="14">
        <f t="shared" si="6"/>
        <v>10.60393220338983</v>
      </c>
      <c r="J390" s="14">
        <f>Tabla13[[#This Row],[Precio final en USD]]*$P$4</f>
        <v>16.966291525423728</v>
      </c>
    </row>
    <row r="391" spans="1:10" x14ac:dyDescent="0.2">
      <c r="A391" s="12">
        <v>10713</v>
      </c>
      <c r="B391" s="11" t="s">
        <v>52</v>
      </c>
      <c r="C391" s="13" t="s">
        <v>470</v>
      </c>
      <c r="D391" s="12" t="s">
        <v>58</v>
      </c>
      <c r="E391" s="10" t="s">
        <v>84</v>
      </c>
      <c r="F391" s="14"/>
      <c r="G391" s="15"/>
      <c r="H391" s="10">
        <v>124.93</v>
      </c>
      <c r="I391" s="14">
        <f t="shared" si="6"/>
        <v>145.257593220339</v>
      </c>
      <c r="J391" s="14">
        <f>Tabla13[[#This Row],[Precio final en USD]]*$P$4</f>
        <v>232.41214915254241</v>
      </c>
    </row>
    <row r="392" spans="1:10" x14ac:dyDescent="0.2">
      <c r="A392" s="12">
        <v>10714</v>
      </c>
      <c r="B392" s="11" t="s">
        <v>52</v>
      </c>
      <c r="C392" s="13" t="s">
        <v>471</v>
      </c>
      <c r="D392" s="12" t="s">
        <v>58</v>
      </c>
      <c r="E392" s="10" t="s">
        <v>84</v>
      </c>
      <c r="F392" s="14"/>
      <c r="G392" s="15"/>
      <c r="H392" s="10">
        <v>17.97</v>
      </c>
      <c r="I392" s="14">
        <f t="shared" si="6"/>
        <v>20.893932203389831</v>
      </c>
      <c r="J392" s="14">
        <f>Tabla13[[#This Row],[Precio final en USD]]*$P$4</f>
        <v>33.430291525423733</v>
      </c>
    </row>
    <row r="393" spans="1:10" x14ac:dyDescent="0.2">
      <c r="A393" s="12">
        <v>10715</v>
      </c>
      <c r="B393" s="11" t="s">
        <v>52</v>
      </c>
      <c r="C393" s="13" t="s">
        <v>472</v>
      </c>
      <c r="D393" s="12" t="s">
        <v>58</v>
      </c>
      <c r="E393" s="10" t="s">
        <v>84</v>
      </c>
      <c r="F393" s="14"/>
      <c r="G393" s="15"/>
      <c r="H393" s="10">
        <v>3.47</v>
      </c>
      <c r="I393" s="14">
        <f t="shared" si="6"/>
        <v>4.0346101694915264</v>
      </c>
      <c r="J393" s="14">
        <f>Tabla13[[#This Row],[Precio final en USD]]*$P$4</f>
        <v>6.4553762711864424</v>
      </c>
    </row>
    <row r="394" spans="1:10" x14ac:dyDescent="0.2">
      <c r="A394" s="12">
        <v>10716</v>
      </c>
      <c r="B394" s="11" t="s">
        <v>52</v>
      </c>
      <c r="C394" s="13" t="s">
        <v>473</v>
      </c>
      <c r="D394" s="12" t="s">
        <v>58</v>
      </c>
      <c r="E394" s="10" t="s">
        <v>84</v>
      </c>
      <c r="F394" s="14"/>
      <c r="G394" s="15"/>
      <c r="H394" s="10">
        <v>39.979999999999997</v>
      </c>
      <c r="I394" s="14">
        <f t="shared" si="6"/>
        <v>46.485220338983048</v>
      </c>
      <c r="J394" s="14">
        <f>Tabla13[[#This Row],[Precio final en USD]]*$P$4</f>
        <v>74.376352542372885</v>
      </c>
    </row>
    <row r="395" spans="1:10" x14ac:dyDescent="0.2">
      <c r="A395" s="12">
        <v>10717</v>
      </c>
      <c r="B395" s="11" t="s">
        <v>52</v>
      </c>
      <c r="C395" s="13" t="s">
        <v>474</v>
      </c>
      <c r="D395" s="12" t="s">
        <v>58</v>
      </c>
      <c r="E395" s="10" t="s">
        <v>84</v>
      </c>
      <c r="F395" s="14"/>
      <c r="G395" s="15"/>
      <c r="H395" s="10">
        <v>6.58</v>
      </c>
      <c r="I395" s="14">
        <f t="shared" si="6"/>
        <v>7.6506440677966108</v>
      </c>
      <c r="J395" s="14">
        <f>Tabla13[[#This Row],[Precio final en USD]]*$P$4</f>
        <v>12.241030508474578</v>
      </c>
    </row>
    <row r="396" spans="1:10" x14ac:dyDescent="0.2">
      <c r="A396" s="12">
        <v>10718</v>
      </c>
      <c r="B396" s="11" t="s">
        <v>52</v>
      </c>
      <c r="C396" s="13" t="s">
        <v>475</v>
      </c>
      <c r="D396" s="12" t="s">
        <v>58</v>
      </c>
      <c r="E396" s="10" t="s">
        <v>68</v>
      </c>
      <c r="F396" s="14"/>
      <c r="G396" s="15">
        <v>128000</v>
      </c>
      <c r="I396" s="14">
        <f t="shared" si="6"/>
        <v>86.779661016949149</v>
      </c>
      <c r="J396" s="14">
        <f>Tabla13[[#This Row],[Precio final en USD]]*$P$4</f>
        <v>138.84745762711864</v>
      </c>
    </row>
    <row r="397" spans="1:10" x14ac:dyDescent="0.2">
      <c r="A397" s="12">
        <v>10719</v>
      </c>
      <c r="B397" s="11" t="s">
        <v>52</v>
      </c>
      <c r="C397" s="13" t="s">
        <v>476</v>
      </c>
      <c r="D397" s="12" t="s">
        <v>58</v>
      </c>
      <c r="E397" s="10" t="s">
        <v>84</v>
      </c>
      <c r="F397" s="14"/>
      <c r="G397" s="15"/>
      <c r="H397" s="10">
        <v>63.15</v>
      </c>
      <c r="I397" s="14">
        <f t="shared" si="6"/>
        <v>73.425254237288144</v>
      </c>
      <c r="J397" s="14">
        <f>Tabla13[[#This Row],[Precio final en USD]]*$P$4</f>
        <v>117.48040677966104</v>
      </c>
    </row>
    <row r="398" spans="1:10" x14ac:dyDescent="0.2">
      <c r="A398" s="12">
        <v>10720</v>
      </c>
      <c r="B398" s="11" t="s">
        <v>52</v>
      </c>
      <c r="C398" s="13" t="s">
        <v>477</v>
      </c>
      <c r="D398" s="12" t="s">
        <v>58</v>
      </c>
      <c r="E398" s="10" t="s">
        <v>478</v>
      </c>
      <c r="F398" s="14">
        <v>153.5</v>
      </c>
      <c r="G398" s="15"/>
      <c r="I398" s="14">
        <f t="shared" si="6"/>
        <v>153.5</v>
      </c>
      <c r="J398" s="14">
        <f>Tabla13[[#This Row],[Precio final en USD]]*$P$4</f>
        <v>245.60000000000002</v>
      </c>
    </row>
    <row r="399" spans="1:10" x14ac:dyDescent="0.2">
      <c r="A399" s="12">
        <v>10721</v>
      </c>
      <c r="B399" s="11" t="s">
        <v>52</v>
      </c>
      <c r="C399" s="13" t="s">
        <v>479</v>
      </c>
      <c r="D399" s="12" t="s">
        <v>58</v>
      </c>
      <c r="E399" s="10" t="s">
        <v>480</v>
      </c>
      <c r="F399" s="14"/>
      <c r="G399" s="15"/>
      <c r="I399" s="14" t="str">
        <f t="shared" si="6"/>
        <v/>
      </c>
      <c r="J399" s="14" t="e">
        <f>Tabla13[[#This Row],[Precio final en USD]]*$P$4</f>
        <v>#VALUE!</v>
      </c>
    </row>
    <row r="400" spans="1:10" x14ac:dyDescent="0.2">
      <c r="A400" s="12">
        <v>10722</v>
      </c>
      <c r="B400" s="11" t="s">
        <v>52</v>
      </c>
      <c r="C400" s="13" t="s">
        <v>481</v>
      </c>
      <c r="D400" s="12" t="s">
        <v>58</v>
      </c>
      <c r="E400" s="10" t="s">
        <v>68</v>
      </c>
      <c r="F400" s="14">
        <v>141</v>
      </c>
      <c r="G400" s="15"/>
      <c r="I400" s="14">
        <f t="shared" si="6"/>
        <v>141</v>
      </c>
      <c r="J400" s="14">
        <f>Tabla13[[#This Row],[Precio final en USD]]*$P$4</f>
        <v>225.60000000000002</v>
      </c>
    </row>
    <row r="401" spans="1:10" x14ac:dyDescent="0.2">
      <c r="A401" s="12">
        <v>10723</v>
      </c>
      <c r="B401" s="11" t="s">
        <v>52</v>
      </c>
      <c r="C401" s="13" t="s">
        <v>482</v>
      </c>
      <c r="D401" s="12" t="s">
        <v>58</v>
      </c>
      <c r="E401" s="10" t="s">
        <v>483</v>
      </c>
      <c r="F401" s="14">
        <v>413</v>
      </c>
      <c r="G401" s="15"/>
      <c r="I401" s="14">
        <f t="shared" si="6"/>
        <v>413</v>
      </c>
      <c r="J401" s="14">
        <f>Tabla13[[#This Row],[Precio final en USD]]*$P$4</f>
        <v>660.80000000000007</v>
      </c>
    </row>
    <row r="402" spans="1:10" x14ac:dyDescent="0.2">
      <c r="A402" s="12">
        <v>10724</v>
      </c>
      <c r="B402" s="11" t="s">
        <v>52</v>
      </c>
      <c r="C402" s="13" t="s">
        <v>484</v>
      </c>
      <c r="D402" s="12" t="s">
        <v>58</v>
      </c>
      <c r="E402" s="10" t="s">
        <v>128</v>
      </c>
      <c r="F402" s="14">
        <v>813</v>
      </c>
      <c r="G402" s="15"/>
      <c r="I402" s="14">
        <f t="shared" si="6"/>
        <v>813</v>
      </c>
      <c r="J402" s="14">
        <f>Tabla13[[#This Row],[Precio final en USD]]*$P$4</f>
        <v>1300.8000000000002</v>
      </c>
    </row>
    <row r="403" spans="1:10" x14ac:dyDescent="0.2">
      <c r="A403" s="12">
        <v>10725</v>
      </c>
      <c r="B403" s="11" t="s">
        <v>52</v>
      </c>
      <c r="C403" s="13" t="s">
        <v>485</v>
      </c>
      <c r="D403" s="12" t="s">
        <v>58</v>
      </c>
      <c r="E403" s="10" t="s">
        <v>128</v>
      </c>
      <c r="F403" s="14">
        <v>394</v>
      </c>
      <c r="G403" s="15"/>
      <c r="I403" s="14">
        <f t="shared" si="6"/>
        <v>394</v>
      </c>
      <c r="J403" s="14">
        <f>Tabla13[[#This Row],[Precio final en USD]]*$P$4</f>
        <v>630.40000000000009</v>
      </c>
    </row>
    <row r="404" spans="1:10" x14ac:dyDescent="0.2">
      <c r="A404" s="12">
        <v>10726</v>
      </c>
      <c r="B404" s="11" t="s">
        <v>52</v>
      </c>
      <c r="C404" s="13" t="s">
        <v>486</v>
      </c>
      <c r="D404" s="12" t="s">
        <v>58</v>
      </c>
      <c r="E404" s="10" t="s">
        <v>128</v>
      </c>
      <c r="F404" s="14">
        <v>869</v>
      </c>
      <c r="G404" s="15"/>
      <c r="I404" s="14">
        <f t="shared" si="6"/>
        <v>869</v>
      </c>
      <c r="J404" s="14">
        <f>Tabla13[[#This Row],[Precio final en USD]]*$P$4</f>
        <v>1390.4</v>
      </c>
    </row>
    <row r="405" spans="1:10" x14ac:dyDescent="0.2">
      <c r="A405" s="12">
        <v>10727</v>
      </c>
      <c r="B405" s="11" t="s">
        <v>52</v>
      </c>
      <c r="C405" s="13" t="s">
        <v>487</v>
      </c>
      <c r="D405" s="12" t="s">
        <v>58</v>
      </c>
      <c r="E405" s="10" t="s">
        <v>84</v>
      </c>
      <c r="F405" s="14">
        <v>29.28</v>
      </c>
      <c r="G405" s="15"/>
      <c r="I405" s="14">
        <f t="shared" si="6"/>
        <v>29.28</v>
      </c>
      <c r="J405" s="14">
        <f>Tabla13[[#This Row],[Precio final en USD]]*$P$4</f>
        <v>46.848000000000006</v>
      </c>
    </row>
    <row r="406" spans="1:10" x14ac:dyDescent="0.2">
      <c r="A406" s="12">
        <v>10729</v>
      </c>
      <c r="B406" s="11" t="s">
        <v>52</v>
      </c>
      <c r="C406" s="13" t="s">
        <v>488</v>
      </c>
      <c r="D406" s="12" t="s">
        <v>58</v>
      </c>
      <c r="E406" s="10" t="s">
        <v>128</v>
      </c>
      <c r="F406" s="14">
        <v>1671.6</v>
      </c>
      <c r="G406" s="15"/>
      <c r="I406" s="14">
        <f t="shared" si="6"/>
        <v>1671.6</v>
      </c>
      <c r="J406" s="14">
        <f>Tabla13[[#This Row],[Precio final en USD]]*$P$4</f>
        <v>2674.56</v>
      </c>
    </row>
    <row r="407" spans="1:10" x14ac:dyDescent="0.2">
      <c r="A407" s="12">
        <v>10730</v>
      </c>
      <c r="B407" s="11" t="s">
        <v>52</v>
      </c>
      <c r="C407" s="13" t="s">
        <v>489</v>
      </c>
      <c r="D407" s="12" t="s">
        <v>58</v>
      </c>
      <c r="E407" s="10" t="s">
        <v>128</v>
      </c>
      <c r="F407" s="14">
        <v>107.6</v>
      </c>
      <c r="G407" s="15"/>
      <c r="I407" s="14">
        <f t="shared" si="6"/>
        <v>107.6</v>
      </c>
      <c r="J407" s="14">
        <f>Tabla13[[#This Row],[Precio final en USD]]*$P$4</f>
        <v>172.16</v>
      </c>
    </row>
    <row r="408" spans="1:10" x14ac:dyDescent="0.2">
      <c r="A408" s="12">
        <v>10731</v>
      </c>
      <c r="B408" s="11" t="s">
        <v>52</v>
      </c>
      <c r="C408" s="13" t="s">
        <v>490</v>
      </c>
      <c r="D408" s="12" t="s">
        <v>58</v>
      </c>
      <c r="E408" s="10" t="s">
        <v>68</v>
      </c>
      <c r="F408" s="14"/>
      <c r="G408" s="15">
        <v>380000</v>
      </c>
      <c r="I408" s="14">
        <f t="shared" si="6"/>
        <v>257.62711864406782</v>
      </c>
      <c r="J408" s="14">
        <f>Tabla13[[#This Row],[Precio final en USD]]*$P$4</f>
        <v>412.20338983050851</v>
      </c>
    </row>
    <row r="409" spans="1:10" x14ac:dyDescent="0.2">
      <c r="A409" s="12">
        <v>10732</v>
      </c>
      <c r="B409" s="11" t="s">
        <v>52</v>
      </c>
      <c r="C409" s="13" t="s">
        <v>491</v>
      </c>
      <c r="D409" s="12" t="s">
        <v>58</v>
      </c>
      <c r="E409" s="10" t="s">
        <v>68</v>
      </c>
      <c r="F409" s="14"/>
      <c r="G409" s="15">
        <v>310000</v>
      </c>
      <c r="I409" s="14">
        <f t="shared" si="6"/>
        <v>210.16949152542372</v>
      </c>
      <c r="J409" s="14">
        <f>Tabla13[[#This Row],[Precio final en USD]]*$P$4</f>
        <v>336.27118644067798</v>
      </c>
    </row>
    <row r="410" spans="1:10" x14ac:dyDescent="0.2">
      <c r="A410" s="12">
        <v>10733</v>
      </c>
      <c r="B410" s="11" t="s">
        <v>52</v>
      </c>
      <c r="C410" s="27" t="s">
        <v>15</v>
      </c>
      <c r="D410" s="12" t="s">
        <v>58</v>
      </c>
      <c r="E410" s="10" t="s">
        <v>457</v>
      </c>
      <c r="F410" s="14"/>
      <c r="G410" s="15">
        <v>23000</v>
      </c>
      <c r="I410" s="14">
        <f t="shared" si="6"/>
        <v>15.59322033898305</v>
      </c>
      <c r="J410" s="14">
        <f>Tabla13[[#This Row],[Precio final en USD]]*$P$4</f>
        <v>24.949152542372882</v>
      </c>
    </row>
    <row r="411" spans="1:10" x14ac:dyDescent="0.2">
      <c r="A411" s="12">
        <v>10734</v>
      </c>
      <c r="B411" s="11" t="s">
        <v>52</v>
      </c>
      <c r="C411" s="13" t="s">
        <v>492</v>
      </c>
      <c r="D411" s="12" t="s">
        <v>58</v>
      </c>
      <c r="E411" s="10" t="s">
        <v>368</v>
      </c>
      <c r="F411" s="14"/>
      <c r="G411" s="15">
        <v>81000</v>
      </c>
      <c r="I411" s="14">
        <f t="shared" si="6"/>
        <v>54.915254237288138</v>
      </c>
      <c r="J411" s="14">
        <f>Tabla13[[#This Row],[Precio final en USD]]*$P$4</f>
        <v>87.864406779661024</v>
      </c>
    </row>
    <row r="412" spans="1:10" x14ac:dyDescent="0.2">
      <c r="A412" s="12">
        <v>10736</v>
      </c>
      <c r="B412" s="11" t="s">
        <v>52</v>
      </c>
      <c r="C412" s="13" t="s">
        <v>493</v>
      </c>
      <c r="D412" s="12" t="s">
        <v>58</v>
      </c>
      <c r="E412" s="10" t="s">
        <v>494</v>
      </c>
      <c r="F412" s="14">
        <v>35</v>
      </c>
      <c r="G412" s="15"/>
      <c r="I412" s="14">
        <f t="shared" si="6"/>
        <v>35</v>
      </c>
      <c r="J412" s="14">
        <f>Tabla13[[#This Row],[Precio final en USD]]*$P$4</f>
        <v>56</v>
      </c>
    </row>
    <row r="413" spans="1:10" x14ac:dyDescent="0.2">
      <c r="A413" s="12">
        <v>10774</v>
      </c>
      <c r="B413" s="11" t="s">
        <v>52</v>
      </c>
      <c r="C413" s="13" t="s">
        <v>495</v>
      </c>
      <c r="D413" s="12" t="s">
        <v>58</v>
      </c>
      <c r="E413" s="10" t="s">
        <v>84</v>
      </c>
      <c r="F413" s="14"/>
      <c r="G413" s="15"/>
      <c r="H413" s="10">
        <v>64.180000000000007</v>
      </c>
      <c r="I413" s="14">
        <f t="shared" si="6"/>
        <v>74.622847457627131</v>
      </c>
      <c r="J413" s="14">
        <f>Tabla13[[#This Row],[Precio final en USD]]*$P$4</f>
        <v>119.39655593220341</v>
      </c>
    </row>
    <row r="414" spans="1:10" x14ac:dyDescent="0.2">
      <c r="A414" s="12">
        <v>10788</v>
      </c>
      <c r="B414" s="11" t="s">
        <v>52</v>
      </c>
      <c r="C414" s="13" t="s">
        <v>496</v>
      </c>
      <c r="D414" s="12" t="s">
        <v>58</v>
      </c>
      <c r="E414" s="10" t="s">
        <v>368</v>
      </c>
      <c r="F414" s="14"/>
      <c r="G414" s="15">
        <v>46000</v>
      </c>
      <c r="I414" s="14">
        <f t="shared" si="6"/>
        <v>31.1864406779661</v>
      </c>
      <c r="J414" s="14">
        <f>Tabla13[[#This Row],[Precio final en USD]]*$P$4</f>
        <v>49.898305084745765</v>
      </c>
    </row>
    <row r="415" spans="1:10" x14ac:dyDescent="0.2">
      <c r="A415" s="12">
        <v>10789</v>
      </c>
      <c r="B415" s="11" t="s">
        <v>52</v>
      </c>
      <c r="C415" s="13" t="s">
        <v>497</v>
      </c>
      <c r="D415" s="12" t="s">
        <v>58</v>
      </c>
      <c r="E415" s="10" t="s">
        <v>231</v>
      </c>
      <c r="F415" s="14">
        <v>22</v>
      </c>
      <c r="G415" s="15"/>
      <c r="I415" s="14">
        <f t="shared" si="6"/>
        <v>22</v>
      </c>
      <c r="J415" s="14">
        <f>Tabla13[[#This Row],[Precio final en USD]]*$P$4</f>
        <v>35.200000000000003</v>
      </c>
    </row>
    <row r="416" spans="1:10" x14ac:dyDescent="0.2">
      <c r="A416" s="12">
        <v>10790</v>
      </c>
      <c r="B416" s="11" t="s">
        <v>52</v>
      </c>
      <c r="C416" s="13" t="s">
        <v>498</v>
      </c>
      <c r="D416" s="12" t="s">
        <v>58</v>
      </c>
      <c r="E416" s="10" t="s">
        <v>445</v>
      </c>
      <c r="F416" s="14"/>
      <c r="G416" s="15"/>
      <c r="I416" s="14" t="str">
        <f t="shared" si="6"/>
        <v/>
      </c>
      <c r="J416" s="14" t="e">
        <f>Tabla13[[#This Row],[Precio final en USD]]*$P$4</f>
        <v>#VALUE!</v>
      </c>
    </row>
    <row r="417" spans="1:10" x14ac:dyDescent="0.2">
      <c r="A417" s="12">
        <v>10791</v>
      </c>
      <c r="B417" s="11" t="s">
        <v>52</v>
      </c>
      <c r="C417" s="13" t="s">
        <v>499</v>
      </c>
      <c r="D417" s="12" t="s">
        <v>58</v>
      </c>
      <c r="E417" s="10" t="s">
        <v>500</v>
      </c>
      <c r="F417" s="14">
        <v>408</v>
      </c>
      <c r="G417" s="15"/>
      <c r="I417" s="14">
        <f t="shared" si="6"/>
        <v>408</v>
      </c>
      <c r="J417" s="14">
        <f>Tabla13[[#This Row],[Precio final en USD]]*$P$4</f>
        <v>652.80000000000007</v>
      </c>
    </row>
    <row r="418" spans="1:10" x14ac:dyDescent="0.2">
      <c r="A418" s="12">
        <v>10792</v>
      </c>
      <c r="B418" s="11" t="s">
        <v>52</v>
      </c>
      <c r="C418" s="13" t="s">
        <v>501</v>
      </c>
      <c r="D418" s="12" t="s">
        <v>58</v>
      </c>
      <c r="E418" s="10" t="s">
        <v>500</v>
      </c>
      <c r="F418" s="14">
        <v>612</v>
      </c>
      <c r="G418" s="15"/>
      <c r="I418" s="14">
        <f t="shared" si="6"/>
        <v>612</v>
      </c>
      <c r="J418" s="14">
        <f>Tabla13[[#This Row],[Precio final en USD]]*$P$4</f>
        <v>979.2</v>
      </c>
    </row>
    <row r="419" spans="1:10" x14ac:dyDescent="0.2">
      <c r="A419" s="12">
        <v>10793</v>
      </c>
      <c r="B419" s="11" t="s">
        <v>52</v>
      </c>
      <c r="C419" s="13" t="s">
        <v>502</v>
      </c>
      <c r="D419" s="12" t="s">
        <v>58</v>
      </c>
      <c r="E419" s="10" t="s">
        <v>218</v>
      </c>
      <c r="F419" s="14"/>
      <c r="G419" s="15"/>
      <c r="H419" s="10">
        <v>67.67</v>
      </c>
      <c r="I419" s="14">
        <f t="shared" si="6"/>
        <v>78.680711864406788</v>
      </c>
      <c r="J419" s="14">
        <f>Tabla13[[#This Row],[Precio final en USD]]*$P$4</f>
        <v>125.88913898305087</v>
      </c>
    </row>
    <row r="420" spans="1:10" x14ac:dyDescent="0.2">
      <c r="A420" s="12">
        <v>10794</v>
      </c>
      <c r="B420" s="11" t="s">
        <v>52</v>
      </c>
      <c r="C420" s="10" t="s">
        <v>495</v>
      </c>
      <c r="D420" s="12" t="s">
        <v>58</v>
      </c>
      <c r="E420" s="10" t="s">
        <v>84</v>
      </c>
      <c r="F420" s="14"/>
      <c r="G420" s="15"/>
      <c r="H420" s="10">
        <v>64.180000000000007</v>
      </c>
      <c r="I420" s="14">
        <f t="shared" si="6"/>
        <v>74.622847457627131</v>
      </c>
      <c r="J420" s="14">
        <f>Tabla13[[#This Row],[Precio final en USD]]*$P$4</f>
        <v>119.39655593220341</v>
      </c>
    </row>
    <row r="421" spans="1:10" x14ac:dyDescent="0.2">
      <c r="A421" s="12">
        <v>10794</v>
      </c>
      <c r="B421" s="11" t="s">
        <v>52</v>
      </c>
      <c r="C421" s="13" t="s">
        <v>503</v>
      </c>
      <c r="D421" s="12" t="s">
        <v>58</v>
      </c>
      <c r="E421" s="10" t="s">
        <v>218</v>
      </c>
      <c r="F421" s="14"/>
      <c r="G421" s="15"/>
      <c r="H421" s="10">
        <v>248.03</v>
      </c>
      <c r="I421" s="14">
        <f t="shared" si="6"/>
        <v>288.38742372881359</v>
      </c>
      <c r="J421" s="14">
        <f>Tabla13[[#This Row],[Precio final en USD]]*$P$4</f>
        <v>461.41987796610175</v>
      </c>
    </row>
    <row r="422" spans="1:10" x14ac:dyDescent="0.2">
      <c r="A422" s="12">
        <v>10795</v>
      </c>
      <c r="B422" s="11" t="s">
        <v>52</v>
      </c>
      <c r="C422" s="13" t="s">
        <v>504</v>
      </c>
      <c r="D422" s="12" t="s">
        <v>58</v>
      </c>
      <c r="E422" s="10" t="s">
        <v>218</v>
      </c>
      <c r="F422" s="14"/>
      <c r="G422" s="15"/>
      <c r="H422" s="10">
        <v>1619.7</v>
      </c>
      <c r="I422" s="14">
        <f t="shared" si="6"/>
        <v>1883.2444067796612</v>
      </c>
      <c r="J422" s="14">
        <f>Tabla13[[#This Row],[Precio final en USD]]*$P$4</f>
        <v>3013.191050847458</v>
      </c>
    </row>
    <row r="423" spans="1:10" x14ac:dyDescent="0.2">
      <c r="A423" s="12">
        <v>10796</v>
      </c>
      <c r="B423" s="11" t="s">
        <v>52</v>
      </c>
      <c r="C423" s="13" t="s">
        <v>505</v>
      </c>
      <c r="D423" s="12" t="s">
        <v>58</v>
      </c>
      <c r="E423" s="10" t="s">
        <v>149</v>
      </c>
      <c r="F423" s="14">
        <v>296</v>
      </c>
      <c r="G423" s="15"/>
      <c r="I423" s="14">
        <f t="shared" si="6"/>
        <v>296</v>
      </c>
      <c r="J423" s="14">
        <f>Tabla13[[#This Row],[Precio final en USD]]*$P$4</f>
        <v>473.6</v>
      </c>
    </row>
    <row r="424" spans="1:10" x14ac:dyDescent="0.2">
      <c r="A424" s="12">
        <v>10797</v>
      </c>
      <c r="B424" s="11" t="s">
        <v>52</v>
      </c>
      <c r="C424" s="13" t="s">
        <v>506</v>
      </c>
      <c r="D424" s="12" t="s">
        <v>58</v>
      </c>
      <c r="E424" s="10" t="s">
        <v>507</v>
      </c>
      <c r="F424" s="14"/>
      <c r="G424" s="15"/>
      <c r="I424" s="14" t="str">
        <f t="shared" si="6"/>
        <v/>
      </c>
      <c r="J424" s="14" t="e">
        <f>Tabla13[[#This Row],[Precio final en USD]]*$P$4</f>
        <v>#VALUE!</v>
      </c>
    </row>
    <row r="425" spans="1:10" x14ac:dyDescent="0.2">
      <c r="A425" s="12">
        <v>10798</v>
      </c>
      <c r="B425" s="11" t="s">
        <v>52</v>
      </c>
      <c r="C425" s="13" t="s">
        <v>508</v>
      </c>
      <c r="D425" s="12" t="s">
        <v>58</v>
      </c>
      <c r="E425" s="10" t="s">
        <v>68</v>
      </c>
      <c r="F425" s="14"/>
      <c r="G425" s="15"/>
      <c r="I425" s="14" t="str">
        <f t="shared" si="6"/>
        <v/>
      </c>
      <c r="J425" s="14" t="e">
        <f>Tabla13[[#This Row],[Precio final en USD]]*$P$4</f>
        <v>#VALUE!</v>
      </c>
    </row>
    <row r="426" spans="1:10" x14ac:dyDescent="0.2">
      <c r="A426" s="12">
        <v>10800</v>
      </c>
      <c r="B426" s="11" t="s">
        <v>52</v>
      </c>
      <c r="C426" s="13" t="s">
        <v>509</v>
      </c>
      <c r="D426" s="12" t="s">
        <v>58</v>
      </c>
      <c r="E426" s="10" t="s">
        <v>68</v>
      </c>
      <c r="F426" s="14"/>
      <c r="G426" s="15">
        <v>82500</v>
      </c>
      <c r="I426" s="14">
        <f t="shared" si="6"/>
        <v>55.932203389830505</v>
      </c>
      <c r="J426" s="14">
        <f>Tabla13[[#This Row],[Precio final en USD]]*$P$4</f>
        <v>89.491525423728817</v>
      </c>
    </row>
    <row r="427" spans="1:10" x14ac:dyDescent="0.2">
      <c r="A427" s="12">
        <v>10801</v>
      </c>
      <c r="B427" s="11" t="s">
        <v>52</v>
      </c>
      <c r="C427" s="13" t="s">
        <v>510</v>
      </c>
      <c r="D427" s="12" t="s">
        <v>58</v>
      </c>
      <c r="E427" s="10" t="s">
        <v>149</v>
      </c>
      <c r="F427" s="14">
        <v>23</v>
      </c>
      <c r="G427" s="15"/>
      <c r="I427" s="14">
        <f t="shared" si="6"/>
        <v>23</v>
      </c>
      <c r="J427" s="14">
        <f>Tabla13[[#This Row],[Precio final en USD]]*$P$4</f>
        <v>36.800000000000004</v>
      </c>
    </row>
    <row r="428" spans="1:10" x14ac:dyDescent="0.2">
      <c r="A428" s="12">
        <v>10802</v>
      </c>
      <c r="B428" s="11" t="s">
        <v>52</v>
      </c>
      <c r="C428" s="13" t="s">
        <v>511</v>
      </c>
      <c r="D428" s="12" t="s">
        <v>58</v>
      </c>
      <c r="E428" s="10" t="s">
        <v>68</v>
      </c>
      <c r="F428" s="14"/>
      <c r="G428" s="15">
        <v>363000</v>
      </c>
      <c r="I428" s="14">
        <f t="shared" si="6"/>
        <v>246.10169491525423</v>
      </c>
      <c r="J428" s="14">
        <f>Tabla13[[#This Row],[Precio final en USD]]*$P$4</f>
        <v>393.76271186440681</v>
      </c>
    </row>
    <row r="429" spans="1:10" x14ac:dyDescent="0.2">
      <c r="A429" s="12">
        <v>10803</v>
      </c>
      <c r="B429" s="11" t="s">
        <v>52</v>
      </c>
      <c r="C429" s="13" t="s">
        <v>512</v>
      </c>
      <c r="D429" s="12" t="s">
        <v>58</v>
      </c>
      <c r="E429" s="10" t="s">
        <v>68</v>
      </c>
      <c r="F429" s="14"/>
      <c r="G429" s="15">
        <v>366000</v>
      </c>
      <c r="I429" s="14">
        <f t="shared" si="6"/>
        <v>248.13559322033899</v>
      </c>
      <c r="J429" s="14">
        <f>Tabla13[[#This Row],[Precio final en USD]]*$P$4</f>
        <v>397.0169491525424</v>
      </c>
    </row>
    <row r="430" spans="1:10" x14ac:dyDescent="0.2">
      <c r="A430" s="12">
        <v>10818</v>
      </c>
      <c r="B430" s="11" t="s">
        <v>52</v>
      </c>
      <c r="C430" s="27" t="s">
        <v>513</v>
      </c>
      <c r="D430" s="12" t="s">
        <v>58</v>
      </c>
      <c r="E430" s="10" t="s">
        <v>55</v>
      </c>
      <c r="F430" s="14">
        <v>75.89</v>
      </c>
      <c r="G430" s="15"/>
      <c r="I430" s="14">
        <f t="shared" si="6"/>
        <v>75.89</v>
      </c>
      <c r="J430" s="14">
        <f>Tabla13[[#This Row],[Precio final en USD]]*$P$4</f>
        <v>121.42400000000001</v>
      </c>
    </row>
    <row r="431" spans="1:10" x14ac:dyDescent="0.2">
      <c r="A431" s="12">
        <v>10819</v>
      </c>
      <c r="B431" s="11" t="s">
        <v>52</v>
      </c>
      <c r="C431" s="10" t="s">
        <v>514</v>
      </c>
      <c r="D431" s="12" t="s">
        <v>58</v>
      </c>
      <c r="E431" s="10" t="s">
        <v>55</v>
      </c>
      <c r="F431" s="14">
        <v>75.89</v>
      </c>
      <c r="G431" s="15"/>
      <c r="I431" s="14">
        <f t="shared" si="6"/>
        <v>75.89</v>
      </c>
      <c r="J431" s="14">
        <f>Tabla13[[#This Row],[Precio final en USD]]*$P$4</f>
        <v>121.42400000000001</v>
      </c>
    </row>
    <row r="432" spans="1:10" x14ac:dyDescent="0.2">
      <c r="A432" s="12">
        <v>10820</v>
      </c>
      <c r="B432" s="11" t="s">
        <v>52</v>
      </c>
      <c r="C432" s="10" t="s">
        <v>515</v>
      </c>
      <c r="D432" s="12" t="s">
        <v>58</v>
      </c>
      <c r="E432" s="10" t="s">
        <v>55</v>
      </c>
      <c r="F432" s="14">
        <v>119.41</v>
      </c>
      <c r="G432" s="15"/>
      <c r="I432" s="14">
        <f t="shared" si="6"/>
        <v>119.41</v>
      </c>
      <c r="J432" s="14">
        <f>Tabla13[[#This Row],[Precio final en USD]]*$P$4</f>
        <v>191.05600000000001</v>
      </c>
    </row>
    <row r="433" spans="1:10" x14ac:dyDescent="0.2">
      <c r="A433" s="12">
        <v>10821</v>
      </c>
      <c r="B433" s="11" t="s">
        <v>52</v>
      </c>
      <c r="C433" s="10" t="s">
        <v>516</v>
      </c>
      <c r="D433" s="12" t="s">
        <v>58</v>
      </c>
      <c r="E433" s="10" t="s">
        <v>55</v>
      </c>
      <c r="F433" s="14">
        <v>494.08</v>
      </c>
      <c r="G433" s="15"/>
      <c r="I433" s="14">
        <f t="shared" si="6"/>
        <v>494.08</v>
      </c>
      <c r="J433" s="14">
        <f>Tabla13[[#This Row],[Precio final en USD]]*$P$4</f>
        <v>790.52800000000002</v>
      </c>
    </row>
    <row r="434" spans="1:10" x14ac:dyDescent="0.2">
      <c r="A434" s="12">
        <v>10822</v>
      </c>
      <c r="B434" s="11" t="s">
        <v>52</v>
      </c>
      <c r="C434" s="10" t="s">
        <v>517</v>
      </c>
      <c r="D434" s="12" t="s">
        <v>58</v>
      </c>
      <c r="E434" s="10" t="s">
        <v>68</v>
      </c>
      <c r="F434" s="14"/>
      <c r="G434" s="15">
        <v>48000</v>
      </c>
      <c r="I434" s="14">
        <f t="shared" si="6"/>
        <v>32.542372881355931</v>
      </c>
      <c r="J434" s="14">
        <f>Tabla13[[#This Row],[Precio final en USD]]*$P$4</f>
        <v>52.067796610169495</v>
      </c>
    </row>
    <row r="435" spans="1:10" x14ac:dyDescent="0.2">
      <c r="A435" s="12">
        <v>10823</v>
      </c>
      <c r="B435" s="11" t="s">
        <v>52</v>
      </c>
      <c r="C435" s="10" t="s">
        <v>518</v>
      </c>
      <c r="D435" s="12" t="s">
        <v>58</v>
      </c>
      <c r="E435" s="10" t="s">
        <v>68</v>
      </c>
      <c r="F435" s="14"/>
      <c r="G435" s="15">
        <v>55000</v>
      </c>
      <c r="I435" s="14">
        <f t="shared" si="6"/>
        <v>37.288135593220339</v>
      </c>
      <c r="J435" s="14">
        <f>Tabla13[[#This Row],[Precio final en USD]]*$P$4</f>
        <v>59.661016949152547</v>
      </c>
    </row>
    <row r="436" spans="1:10" x14ac:dyDescent="0.2">
      <c r="A436" s="12">
        <v>10824</v>
      </c>
      <c r="B436" s="11" t="s">
        <v>52</v>
      </c>
      <c r="C436" s="10" t="s">
        <v>519</v>
      </c>
      <c r="D436" s="12" t="s">
        <v>58</v>
      </c>
      <c r="E436" s="10" t="s">
        <v>445</v>
      </c>
      <c r="F436" s="14"/>
      <c r="G436" s="15">
        <v>280000</v>
      </c>
      <c r="I436" s="14">
        <f t="shared" si="6"/>
        <v>189.83050847457628</v>
      </c>
      <c r="J436" s="14">
        <f>Tabla13[[#This Row],[Precio final en USD]]*$P$4</f>
        <v>303.72881355932208</v>
      </c>
    </row>
    <row r="437" spans="1:10" x14ac:dyDescent="0.2">
      <c r="A437" s="12">
        <v>10825</v>
      </c>
      <c r="B437" s="11" t="s">
        <v>52</v>
      </c>
      <c r="C437" s="10" t="s">
        <v>520</v>
      </c>
      <c r="D437" s="12" t="s">
        <v>58</v>
      </c>
      <c r="E437" s="10" t="s">
        <v>507</v>
      </c>
      <c r="F437" s="14">
        <v>98</v>
      </c>
      <c r="G437" s="15"/>
      <c r="I437" s="14">
        <f t="shared" si="6"/>
        <v>98</v>
      </c>
      <c r="J437" s="14">
        <f>Tabla13[[#This Row],[Precio final en USD]]*$P$4</f>
        <v>156.80000000000001</v>
      </c>
    </row>
    <row r="438" spans="1:10" x14ac:dyDescent="0.2">
      <c r="A438" s="12">
        <v>10826</v>
      </c>
      <c r="B438" s="11" t="s">
        <v>52</v>
      </c>
      <c r="C438" s="10" t="s">
        <v>521</v>
      </c>
      <c r="D438" s="12" t="s">
        <v>58</v>
      </c>
      <c r="E438" s="10" t="s">
        <v>507</v>
      </c>
      <c r="F438" s="14">
        <v>79</v>
      </c>
      <c r="G438" s="15"/>
      <c r="I438" s="14">
        <f t="shared" si="6"/>
        <v>79</v>
      </c>
      <c r="J438" s="14">
        <f>Tabla13[[#This Row],[Precio final en USD]]*$P$4</f>
        <v>126.4</v>
      </c>
    </row>
    <row r="439" spans="1:10" x14ac:dyDescent="0.2">
      <c r="A439" s="12">
        <v>10827</v>
      </c>
      <c r="B439" s="11" t="s">
        <v>52</v>
      </c>
      <c r="C439" s="13" t="s">
        <v>522</v>
      </c>
      <c r="D439" s="12" t="s">
        <v>58</v>
      </c>
      <c r="E439" s="10" t="s">
        <v>447</v>
      </c>
      <c r="F439" s="14"/>
      <c r="G439" s="15">
        <v>3555</v>
      </c>
      <c r="I439" s="14">
        <f t="shared" si="6"/>
        <v>2.4101694915254237</v>
      </c>
      <c r="J439" s="14">
        <f>Tabla13[[#This Row],[Precio final en USD]]*$P$4</f>
        <v>3.856271186440678</v>
      </c>
    </row>
    <row r="440" spans="1:10" x14ac:dyDescent="0.2">
      <c r="A440" s="12">
        <v>10828</v>
      </c>
      <c r="B440" s="11" t="s">
        <v>52</v>
      </c>
      <c r="C440" s="13" t="s">
        <v>523</v>
      </c>
      <c r="D440" s="12" t="s">
        <v>58</v>
      </c>
      <c r="E440" s="10" t="s">
        <v>447</v>
      </c>
      <c r="F440" s="14"/>
      <c r="G440" s="15">
        <v>149079</v>
      </c>
      <c r="I440" s="14">
        <f t="shared" si="6"/>
        <v>101.07050847457627</v>
      </c>
      <c r="J440" s="14">
        <f>Tabla13[[#This Row],[Precio final en USD]]*$P$4</f>
        <v>161.71281355932206</v>
      </c>
    </row>
    <row r="441" spans="1:10" x14ac:dyDescent="0.2">
      <c r="A441" s="12">
        <v>10829</v>
      </c>
      <c r="B441" s="11" t="s">
        <v>52</v>
      </c>
      <c r="C441" s="26" t="s">
        <v>524</v>
      </c>
      <c r="D441" s="12" t="s">
        <v>58</v>
      </c>
      <c r="E441" s="10" t="s">
        <v>447</v>
      </c>
      <c r="F441" s="14"/>
      <c r="G441" s="15">
        <v>1033</v>
      </c>
      <c r="I441" s="14">
        <f t="shared" si="6"/>
        <v>0.70033898305084741</v>
      </c>
      <c r="J441" s="14">
        <f>Tabla13[[#This Row],[Precio final en USD]]*$P$4</f>
        <v>1.1205423728813559</v>
      </c>
    </row>
    <row r="442" spans="1:10" x14ac:dyDescent="0.2">
      <c r="A442" s="12">
        <v>10830</v>
      </c>
      <c r="B442" s="11" t="s">
        <v>52</v>
      </c>
      <c r="C442" s="13" t="s">
        <v>525</v>
      </c>
      <c r="D442" s="12" t="s">
        <v>58</v>
      </c>
      <c r="E442" s="10" t="s">
        <v>447</v>
      </c>
      <c r="F442" s="14"/>
      <c r="G442" s="15">
        <v>45563</v>
      </c>
      <c r="I442" s="14">
        <f t="shared" si="6"/>
        <v>30.890169491525423</v>
      </c>
      <c r="J442" s="14">
        <f>Tabla13[[#This Row],[Precio final en USD]]*$P$4</f>
        <v>49.424271186440677</v>
      </c>
    </row>
    <row r="443" spans="1:10" x14ac:dyDescent="0.2">
      <c r="A443" s="12">
        <v>10831</v>
      </c>
      <c r="B443" s="11" t="s">
        <v>52</v>
      </c>
      <c r="C443" s="13" t="s">
        <v>526</v>
      </c>
      <c r="D443" s="12" t="s">
        <v>58</v>
      </c>
      <c r="E443" s="10" t="s">
        <v>447</v>
      </c>
      <c r="F443" s="14"/>
      <c r="G443" s="15">
        <v>1991</v>
      </c>
      <c r="I443" s="14">
        <f t="shared" si="6"/>
        <v>1.3498305084745763</v>
      </c>
      <c r="J443" s="14">
        <f>Tabla13[[#This Row],[Precio final en USD]]*$P$4</f>
        <v>2.159728813559322</v>
      </c>
    </row>
    <row r="444" spans="1:10" x14ac:dyDescent="0.2">
      <c r="A444" s="12">
        <v>10833</v>
      </c>
      <c r="B444" s="11" t="s">
        <v>52</v>
      </c>
      <c r="C444" s="13" t="s">
        <v>527</v>
      </c>
      <c r="D444" s="12" t="s">
        <v>58</v>
      </c>
      <c r="E444" s="10" t="s">
        <v>84</v>
      </c>
      <c r="F444" s="14"/>
      <c r="G444" s="15"/>
      <c r="H444" s="10">
        <v>1.42</v>
      </c>
      <c r="I444" s="14">
        <f t="shared" si="6"/>
        <v>1.6510508474576271</v>
      </c>
      <c r="J444" s="14">
        <f>Tabla13[[#This Row],[Precio final en USD]]*$P$4</f>
        <v>2.6416813559322034</v>
      </c>
    </row>
    <row r="445" spans="1:10" x14ac:dyDescent="0.2">
      <c r="A445" s="12">
        <v>10834</v>
      </c>
      <c r="B445" s="11" t="s">
        <v>52</v>
      </c>
      <c r="C445" s="13" t="s">
        <v>528</v>
      </c>
      <c r="D445" s="12" t="s">
        <v>58</v>
      </c>
      <c r="E445" s="10" t="s">
        <v>84</v>
      </c>
      <c r="F445" s="14"/>
      <c r="G445" s="15"/>
      <c r="H445" s="10">
        <v>124.93</v>
      </c>
      <c r="I445" s="14">
        <f t="shared" si="6"/>
        <v>145.257593220339</v>
      </c>
      <c r="J445" s="14">
        <f>Tabla13[[#This Row],[Precio final en USD]]*$P$4</f>
        <v>232.41214915254241</v>
      </c>
    </row>
    <row r="446" spans="1:10" x14ac:dyDescent="0.2">
      <c r="A446" s="12">
        <v>10835</v>
      </c>
      <c r="B446" s="11" t="s">
        <v>52</v>
      </c>
      <c r="C446" s="13" t="s">
        <v>529</v>
      </c>
      <c r="D446" s="12" t="s">
        <v>58</v>
      </c>
      <c r="E446" s="10" t="s">
        <v>84</v>
      </c>
      <c r="F446" s="14"/>
      <c r="G446" s="15"/>
      <c r="H446" s="10">
        <v>5.64</v>
      </c>
      <c r="I446" s="14">
        <f t="shared" si="6"/>
        <v>6.5576949152542374</v>
      </c>
      <c r="J446" s="14">
        <f>Tabla13[[#This Row],[Precio final en USD]]*$P$4</f>
        <v>10.49231186440678</v>
      </c>
    </row>
    <row r="447" spans="1:10" x14ac:dyDescent="0.2">
      <c r="A447" s="12">
        <v>10836</v>
      </c>
      <c r="B447" s="11" t="s">
        <v>52</v>
      </c>
      <c r="C447" s="13" t="s">
        <v>530</v>
      </c>
      <c r="D447" s="12" t="s">
        <v>58</v>
      </c>
      <c r="E447" s="10" t="s">
        <v>84</v>
      </c>
      <c r="F447" s="14"/>
      <c r="G447" s="15"/>
      <c r="H447" s="10">
        <v>170.98</v>
      </c>
      <c r="I447" s="14">
        <f t="shared" si="6"/>
        <v>198.8004745762712</v>
      </c>
      <c r="J447" s="14">
        <f>Tabla13[[#This Row],[Precio final en USD]]*$P$4</f>
        <v>318.08075932203394</v>
      </c>
    </row>
    <row r="448" spans="1:10" x14ac:dyDescent="0.2">
      <c r="A448" s="12">
        <v>10837</v>
      </c>
      <c r="B448" s="11" t="s">
        <v>52</v>
      </c>
      <c r="C448" s="13" t="s">
        <v>531</v>
      </c>
      <c r="D448" s="12" t="s">
        <v>58</v>
      </c>
      <c r="E448" s="10" t="s">
        <v>84</v>
      </c>
      <c r="F448" s="14"/>
      <c r="G448" s="15"/>
      <c r="H448" s="10">
        <v>1479.98</v>
      </c>
      <c r="I448" s="14">
        <f t="shared" si="6"/>
        <v>1720.790305084746</v>
      </c>
      <c r="J448" s="14">
        <f>Tabla13[[#This Row],[Precio final en USD]]*$P$4</f>
        <v>2753.2644881355936</v>
      </c>
    </row>
    <row r="449" spans="1:10" x14ac:dyDescent="0.2">
      <c r="A449" s="12">
        <v>10838</v>
      </c>
      <c r="B449" s="11" t="s">
        <v>52</v>
      </c>
      <c r="C449" s="13" t="s">
        <v>532</v>
      </c>
      <c r="D449" s="12" t="s">
        <v>58</v>
      </c>
      <c r="E449" s="10" t="s">
        <v>84</v>
      </c>
      <c r="F449" s="14"/>
      <c r="G449" s="15"/>
      <c r="H449" s="10">
        <v>5.44</v>
      </c>
      <c r="I449" s="14">
        <f t="shared" si="6"/>
        <v>6.3251525423728827</v>
      </c>
      <c r="J449" s="14">
        <f>Tabla13[[#This Row],[Precio final en USD]]*$P$4</f>
        <v>10.120244067796612</v>
      </c>
    </row>
    <row r="450" spans="1:10" x14ac:dyDescent="0.2">
      <c r="A450" s="12">
        <v>10839</v>
      </c>
      <c r="B450" s="11" t="s">
        <v>52</v>
      </c>
      <c r="C450" s="13" t="s">
        <v>533</v>
      </c>
      <c r="D450" s="12" t="s">
        <v>58</v>
      </c>
      <c r="E450" s="10" t="s">
        <v>84</v>
      </c>
      <c r="F450" s="14"/>
      <c r="G450" s="15"/>
      <c r="H450" s="10">
        <v>44.66</v>
      </c>
      <c r="I450" s="14">
        <f t="shared" ref="I450:I513" si="7">IF(AND(F450="",G450="",H450=""),"",IF(F450&lt;&gt;"",F450,IF(G450&lt;&gt;"",G450/$O$1,IF(H450&lt;&gt;"",H450*$O$2,"ver"))))</f>
        <v>51.926711864406784</v>
      </c>
      <c r="J450" s="14">
        <f>Tabla13[[#This Row],[Precio final en USD]]*$P$4</f>
        <v>83.082738983050859</v>
      </c>
    </row>
    <row r="451" spans="1:10" x14ac:dyDescent="0.2">
      <c r="A451" s="12">
        <v>10840</v>
      </c>
      <c r="B451" s="11" t="s">
        <v>52</v>
      </c>
      <c r="C451" s="13" t="s">
        <v>534</v>
      </c>
      <c r="D451" s="12" t="s">
        <v>58</v>
      </c>
      <c r="E451" s="10" t="s">
        <v>84</v>
      </c>
      <c r="F451" s="14"/>
      <c r="G451" s="15"/>
      <c r="H451" s="10">
        <v>86.98</v>
      </c>
      <c r="I451" s="14">
        <f t="shared" si="7"/>
        <v>101.13267796610171</v>
      </c>
      <c r="J451" s="14">
        <f>Tabla13[[#This Row],[Precio final en USD]]*$P$4</f>
        <v>161.81228474576275</v>
      </c>
    </row>
    <row r="452" spans="1:10" x14ac:dyDescent="0.2">
      <c r="A452" s="12">
        <v>10841</v>
      </c>
      <c r="B452" s="11" t="s">
        <v>52</v>
      </c>
      <c r="C452" s="13" t="s">
        <v>535</v>
      </c>
      <c r="D452" s="12" t="s">
        <v>58</v>
      </c>
      <c r="E452" s="10" t="s">
        <v>84</v>
      </c>
      <c r="F452" s="14"/>
      <c r="G452" s="15"/>
      <c r="H452" s="10">
        <v>229.8</v>
      </c>
      <c r="I452" s="14">
        <f t="shared" si="7"/>
        <v>267.191186440678</v>
      </c>
      <c r="J452" s="14">
        <f>Tabla13[[#This Row],[Precio final en USD]]*$P$4</f>
        <v>427.50589830508483</v>
      </c>
    </row>
    <row r="453" spans="1:10" x14ac:dyDescent="0.2">
      <c r="A453" s="12">
        <v>10842</v>
      </c>
      <c r="B453" s="11" t="s">
        <v>52</v>
      </c>
      <c r="C453" s="13" t="s">
        <v>536</v>
      </c>
      <c r="D453" s="12" t="s">
        <v>58</v>
      </c>
      <c r="E453" s="10" t="s">
        <v>84</v>
      </c>
      <c r="F453" s="14"/>
      <c r="G453" s="15"/>
      <c r="H453" s="10">
        <v>91.8</v>
      </c>
      <c r="I453" s="14">
        <f t="shared" si="7"/>
        <v>106.73694915254238</v>
      </c>
      <c r="J453" s="14">
        <f>Tabla13[[#This Row],[Precio final en USD]]*$P$4</f>
        <v>170.77911864406781</v>
      </c>
    </row>
    <row r="454" spans="1:10" x14ac:dyDescent="0.2">
      <c r="A454" s="12">
        <v>10843</v>
      </c>
      <c r="B454" s="11" t="s">
        <v>52</v>
      </c>
      <c r="C454" s="13" t="s">
        <v>537</v>
      </c>
      <c r="D454" s="12" t="s">
        <v>58</v>
      </c>
      <c r="E454" s="10" t="s">
        <v>84</v>
      </c>
      <c r="F454" s="14"/>
      <c r="G454" s="15"/>
      <c r="H454" s="10">
        <v>219.98</v>
      </c>
      <c r="I454" s="14">
        <f t="shared" si="7"/>
        <v>255.7733559322034</v>
      </c>
      <c r="J454" s="14">
        <f>Tabla13[[#This Row],[Precio final en USD]]*$P$4</f>
        <v>409.23736949152544</v>
      </c>
    </row>
    <row r="455" spans="1:10" x14ac:dyDescent="0.2">
      <c r="A455" s="12">
        <v>10844</v>
      </c>
      <c r="B455" s="11" t="s">
        <v>52</v>
      </c>
      <c r="C455" s="13" t="s">
        <v>538</v>
      </c>
      <c r="D455" s="12" t="s">
        <v>58</v>
      </c>
      <c r="E455" s="10" t="s">
        <v>84</v>
      </c>
      <c r="F455" s="14"/>
      <c r="G455" s="15"/>
      <c r="H455" s="10">
        <v>136.97999999999999</v>
      </c>
      <c r="I455" s="14">
        <f t="shared" si="7"/>
        <v>159.26827118644067</v>
      </c>
      <c r="J455" s="14">
        <f>Tabla13[[#This Row],[Precio final en USD]]*$P$4</f>
        <v>254.82923389830509</v>
      </c>
    </row>
    <row r="456" spans="1:10" x14ac:dyDescent="0.2">
      <c r="A456" s="12">
        <v>10845</v>
      </c>
      <c r="B456" s="11" t="s">
        <v>52</v>
      </c>
      <c r="C456" s="13" t="s">
        <v>539</v>
      </c>
      <c r="D456" s="12" t="s">
        <v>58</v>
      </c>
      <c r="E456" s="10" t="s">
        <v>84</v>
      </c>
      <c r="F456" s="14"/>
      <c r="G456" s="15"/>
      <c r="H456" s="10">
        <v>43.44</v>
      </c>
      <c r="I456" s="14">
        <f t="shared" si="7"/>
        <v>50.508203389830513</v>
      </c>
      <c r="J456" s="14">
        <f>Tabla13[[#This Row],[Precio final en USD]]*$P$4</f>
        <v>80.81312542372882</v>
      </c>
    </row>
    <row r="457" spans="1:10" x14ac:dyDescent="0.2">
      <c r="A457" s="12">
        <v>10846</v>
      </c>
      <c r="B457" s="11" t="s">
        <v>52</v>
      </c>
      <c r="C457" s="13" t="s">
        <v>540</v>
      </c>
      <c r="D457" s="12" t="s">
        <v>58</v>
      </c>
      <c r="E457" s="10" t="s">
        <v>84</v>
      </c>
      <c r="F457" s="14"/>
      <c r="G457" s="15"/>
      <c r="H457" s="10">
        <v>17.04</v>
      </c>
      <c r="I457" s="14">
        <f t="shared" si="7"/>
        <v>19.812610169491528</v>
      </c>
      <c r="J457" s="14">
        <f>Tabla13[[#This Row],[Precio final en USD]]*$P$4</f>
        <v>31.700176271186447</v>
      </c>
    </row>
    <row r="458" spans="1:10" x14ac:dyDescent="0.2">
      <c r="A458" s="12">
        <v>10847</v>
      </c>
      <c r="B458" s="11" t="s">
        <v>52</v>
      </c>
      <c r="C458" s="13" t="s">
        <v>541</v>
      </c>
      <c r="D458" s="12" t="s">
        <v>58</v>
      </c>
      <c r="E458" s="10" t="s">
        <v>84</v>
      </c>
      <c r="F458" s="14"/>
      <c r="G458" s="15"/>
      <c r="H458" s="10">
        <v>9.1199999999999992</v>
      </c>
      <c r="I458" s="14">
        <f t="shared" si="7"/>
        <v>10.60393220338983</v>
      </c>
      <c r="J458" s="14">
        <f>Tabla13[[#This Row],[Precio final en USD]]*$P$4</f>
        <v>16.966291525423728</v>
      </c>
    </row>
    <row r="459" spans="1:10" x14ac:dyDescent="0.2">
      <c r="A459" s="12">
        <v>10848</v>
      </c>
      <c r="B459" s="11" t="s">
        <v>52</v>
      </c>
      <c r="C459" s="13" t="s">
        <v>542</v>
      </c>
      <c r="D459" s="12" t="s">
        <v>58</v>
      </c>
      <c r="E459" s="10" t="s">
        <v>84</v>
      </c>
      <c r="F459" s="14"/>
      <c r="G459" s="15"/>
      <c r="H459" s="10">
        <v>21.1</v>
      </c>
      <c r="I459" s="14">
        <f t="shared" si="7"/>
        <v>24.533220338983053</v>
      </c>
      <c r="J459" s="14">
        <f>Tabla13[[#This Row],[Precio final en USD]]*$P$4</f>
        <v>39.253152542372888</v>
      </c>
    </row>
    <row r="460" spans="1:10" x14ac:dyDescent="0.2">
      <c r="A460" s="12">
        <v>10849</v>
      </c>
      <c r="B460" s="11" t="s">
        <v>52</v>
      </c>
      <c r="C460" s="13" t="s">
        <v>543</v>
      </c>
      <c r="D460" s="12" t="s">
        <v>58</v>
      </c>
      <c r="E460" s="10" t="s">
        <v>84</v>
      </c>
      <c r="F460" s="14"/>
      <c r="G460" s="15"/>
      <c r="H460" s="10">
        <v>2.02</v>
      </c>
      <c r="I460" s="14">
        <f t="shared" si="7"/>
        <v>2.348677966101695</v>
      </c>
      <c r="J460" s="14">
        <f>Tabla13[[#This Row],[Precio final en USD]]*$P$4</f>
        <v>3.7578847457627123</v>
      </c>
    </row>
    <row r="461" spans="1:10" x14ac:dyDescent="0.2">
      <c r="A461" s="12">
        <v>10850</v>
      </c>
      <c r="B461" s="11" t="s">
        <v>52</v>
      </c>
      <c r="C461" s="13" t="s">
        <v>544</v>
      </c>
      <c r="D461" s="12" t="s">
        <v>58</v>
      </c>
      <c r="E461" s="10" t="s">
        <v>84</v>
      </c>
      <c r="F461" s="14"/>
      <c r="G461" s="15"/>
      <c r="H461" s="10">
        <v>63.94</v>
      </c>
      <c r="I461" s="14">
        <f t="shared" si="7"/>
        <v>74.343796610169491</v>
      </c>
      <c r="J461" s="14">
        <f>Tabla13[[#This Row],[Precio final en USD]]*$P$4</f>
        <v>118.95007457627119</v>
      </c>
    </row>
    <row r="462" spans="1:10" x14ac:dyDescent="0.2">
      <c r="A462" s="12">
        <v>10851</v>
      </c>
      <c r="B462" s="11" t="s">
        <v>52</v>
      </c>
      <c r="C462" s="13" t="s">
        <v>545</v>
      </c>
      <c r="D462" s="12" t="s">
        <v>58</v>
      </c>
      <c r="E462" s="10" t="s">
        <v>84</v>
      </c>
      <c r="F462" s="14"/>
      <c r="G462" s="15"/>
      <c r="H462" s="10">
        <v>19.48</v>
      </c>
      <c r="I462" s="14">
        <f t="shared" si="7"/>
        <v>22.649627118644069</v>
      </c>
      <c r="J462" s="14">
        <f>Tabla13[[#This Row],[Precio final en USD]]*$P$4</f>
        <v>36.239403389830514</v>
      </c>
    </row>
    <row r="463" spans="1:10" x14ac:dyDescent="0.2">
      <c r="A463" s="12">
        <v>10852</v>
      </c>
      <c r="B463" s="11" t="s">
        <v>52</v>
      </c>
      <c r="C463" s="13" t="s">
        <v>546</v>
      </c>
      <c r="D463" s="12" t="s">
        <v>58</v>
      </c>
      <c r="E463" s="10" t="s">
        <v>68</v>
      </c>
      <c r="F463" s="14"/>
      <c r="G463" s="15">
        <v>27000</v>
      </c>
      <c r="I463" s="14">
        <f t="shared" si="7"/>
        <v>18.305084745762713</v>
      </c>
      <c r="J463" s="14">
        <f>Tabla13[[#This Row],[Precio final en USD]]*$P$4</f>
        <v>29.288135593220343</v>
      </c>
    </row>
    <row r="464" spans="1:10" x14ac:dyDescent="0.2">
      <c r="A464" s="12">
        <v>10853</v>
      </c>
      <c r="B464" s="11" t="s">
        <v>52</v>
      </c>
      <c r="C464" s="13" t="s">
        <v>547</v>
      </c>
      <c r="D464" s="12" t="s">
        <v>58</v>
      </c>
      <c r="E464" s="10" t="s">
        <v>68</v>
      </c>
      <c r="F464" s="14"/>
      <c r="G464" s="15">
        <v>95000</v>
      </c>
      <c r="I464" s="14">
        <f t="shared" si="7"/>
        <v>64.406779661016955</v>
      </c>
      <c r="J464" s="14">
        <f>Tabla13[[#This Row],[Precio final en USD]]*$P$4</f>
        <v>103.05084745762713</v>
      </c>
    </row>
    <row r="465" spans="1:10" x14ac:dyDescent="0.2">
      <c r="A465" s="12">
        <v>10854</v>
      </c>
      <c r="B465" s="11" t="s">
        <v>52</v>
      </c>
      <c r="C465" s="13" t="s">
        <v>548</v>
      </c>
      <c r="D465" s="12" t="s">
        <v>58</v>
      </c>
      <c r="E465" s="10" t="s">
        <v>68</v>
      </c>
      <c r="F465" s="14"/>
      <c r="G465" s="15">
        <v>30000</v>
      </c>
      <c r="I465" s="14">
        <f t="shared" si="7"/>
        <v>20.338983050847457</v>
      </c>
      <c r="J465" s="14">
        <f>Tabla13[[#This Row],[Precio final en USD]]*$P$4</f>
        <v>32.542372881355931</v>
      </c>
    </row>
    <row r="466" spans="1:10" x14ac:dyDescent="0.2">
      <c r="A466" s="12">
        <v>10856</v>
      </c>
      <c r="B466" s="11" t="s">
        <v>52</v>
      </c>
      <c r="C466" s="13" t="s">
        <v>549</v>
      </c>
      <c r="D466" s="12" t="s">
        <v>58</v>
      </c>
      <c r="E466" s="10" t="s">
        <v>350</v>
      </c>
      <c r="F466" s="14"/>
      <c r="G466" s="15">
        <v>189424</v>
      </c>
      <c r="I466" s="14">
        <f t="shared" si="7"/>
        <v>128.42305084745763</v>
      </c>
      <c r="J466" s="14">
        <f>Tabla13[[#This Row],[Precio final en USD]]*$P$4</f>
        <v>205.47688135593222</v>
      </c>
    </row>
    <row r="467" spans="1:10" x14ac:dyDescent="0.2">
      <c r="A467" s="12">
        <v>10857</v>
      </c>
      <c r="B467" s="11" t="s">
        <v>52</v>
      </c>
      <c r="C467" s="13" t="s">
        <v>550</v>
      </c>
      <c r="D467" s="12" t="s">
        <v>58</v>
      </c>
      <c r="E467" s="10" t="s">
        <v>457</v>
      </c>
      <c r="F467" s="14"/>
      <c r="G467" s="15">
        <v>98000</v>
      </c>
      <c r="I467" s="14">
        <f t="shared" si="7"/>
        <v>66.440677966101688</v>
      </c>
      <c r="J467" s="14">
        <f>Tabla13[[#This Row],[Precio final en USD]]*$P$4</f>
        <v>106.30508474576271</v>
      </c>
    </row>
    <row r="468" spans="1:10" x14ac:dyDescent="0.2">
      <c r="A468" s="12">
        <v>10858</v>
      </c>
      <c r="B468" s="11" t="s">
        <v>52</v>
      </c>
      <c r="C468" s="13" t="s">
        <v>551</v>
      </c>
      <c r="D468" s="12" t="s">
        <v>58</v>
      </c>
      <c r="E468" s="10" t="s">
        <v>128</v>
      </c>
      <c r="F468" s="14">
        <v>115</v>
      </c>
      <c r="G468" s="15"/>
      <c r="I468" s="14">
        <f t="shared" si="7"/>
        <v>115</v>
      </c>
      <c r="J468" s="14">
        <f>Tabla13[[#This Row],[Precio final en USD]]*$P$4</f>
        <v>184</v>
      </c>
    </row>
    <row r="469" spans="1:10" x14ac:dyDescent="0.2">
      <c r="A469" s="12">
        <v>10900</v>
      </c>
      <c r="B469" s="11" t="s">
        <v>52</v>
      </c>
      <c r="C469" s="13" t="s">
        <v>552</v>
      </c>
      <c r="D469" s="12" t="s">
        <v>58</v>
      </c>
      <c r="E469" s="10" t="s">
        <v>84</v>
      </c>
      <c r="F469" s="14"/>
      <c r="G469" s="15"/>
      <c r="H469" s="10">
        <v>3</v>
      </c>
      <c r="I469" s="14">
        <f t="shared" si="7"/>
        <v>3.4881355932203393</v>
      </c>
      <c r="J469" s="14">
        <f>Tabla13[[#This Row],[Precio final en USD]]*$P$4</f>
        <v>5.5810169491525432</v>
      </c>
    </row>
    <row r="470" spans="1:10" x14ac:dyDescent="0.2">
      <c r="A470" s="12">
        <v>10809</v>
      </c>
      <c r="B470" s="11" t="s">
        <v>52</v>
      </c>
      <c r="C470" s="13" t="s">
        <v>553</v>
      </c>
      <c r="D470" s="12" t="s">
        <v>58</v>
      </c>
      <c r="E470" s="10" t="s">
        <v>554</v>
      </c>
      <c r="F470" s="14">
        <v>10</v>
      </c>
      <c r="G470" s="15"/>
      <c r="I470" s="14">
        <f t="shared" si="7"/>
        <v>10</v>
      </c>
      <c r="J470" s="14">
        <f>Tabla13[[#This Row],[Precio final en USD]]*$P$4</f>
        <v>16</v>
      </c>
    </row>
    <row r="471" spans="1:10" ht="16" x14ac:dyDescent="0.2">
      <c r="A471" s="12">
        <v>10782</v>
      </c>
      <c r="B471" s="11" t="s">
        <v>52</v>
      </c>
      <c r="C471" s="28" t="s">
        <v>16</v>
      </c>
      <c r="D471" s="12" t="s">
        <v>58</v>
      </c>
      <c r="E471" s="10" t="s">
        <v>84</v>
      </c>
      <c r="F471" s="14"/>
      <c r="G471" s="15"/>
      <c r="H471" s="10">
        <v>5.54</v>
      </c>
      <c r="I471" s="14">
        <f t="shared" si="7"/>
        <v>6.4414237288135601</v>
      </c>
      <c r="J471" s="14">
        <f>Tabla13[[#This Row],[Precio final en USD]]*$P$4</f>
        <v>10.306277966101696</v>
      </c>
    </row>
    <row r="472" spans="1:10" x14ac:dyDescent="0.2">
      <c r="A472" s="12">
        <v>10808</v>
      </c>
      <c r="B472" s="11" t="s">
        <v>52</v>
      </c>
      <c r="C472" s="13" t="s">
        <v>555</v>
      </c>
      <c r="D472" s="12" t="s">
        <v>58</v>
      </c>
      <c r="E472" s="10" t="s">
        <v>84</v>
      </c>
      <c r="F472" s="14">
        <v>20</v>
      </c>
      <c r="G472" s="15"/>
      <c r="I472" s="14">
        <f t="shared" si="7"/>
        <v>20</v>
      </c>
      <c r="J472" s="14">
        <f>Tabla13[[#This Row],[Precio final en USD]]*$P$4</f>
        <v>32</v>
      </c>
    </row>
    <row r="473" spans="1:10" x14ac:dyDescent="0.2">
      <c r="A473" s="12">
        <v>10268</v>
      </c>
      <c r="B473" s="11" t="s">
        <v>52</v>
      </c>
      <c r="C473" s="13" t="s">
        <v>556</v>
      </c>
      <c r="D473" s="12" t="s">
        <v>58</v>
      </c>
      <c r="E473" s="10" t="s">
        <v>84</v>
      </c>
      <c r="F473" s="14"/>
      <c r="G473" s="15"/>
      <c r="H473" s="10">
        <v>163.18</v>
      </c>
      <c r="I473" s="14">
        <f t="shared" si="7"/>
        <v>189.73132203389832</v>
      </c>
      <c r="J473" s="14">
        <f>Tabla13[[#This Row],[Precio final en USD]]*$P$4</f>
        <v>303.57011525423735</v>
      </c>
    </row>
    <row r="474" spans="1:10" x14ac:dyDescent="0.2">
      <c r="A474" s="12">
        <v>10010</v>
      </c>
      <c r="B474" s="11" t="s">
        <v>52</v>
      </c>
      <c r="C474" s="13" t="s">
        <v>557</v>
      </c>
      <c r="D474" s="12" t="s">
        <v>58</v>
      </c>
      <c r="E474" s="10" t="s">
        <v>84</v>
      </c>
      <c r="F474" s="14">
        <v>33.6</v>
      </c>
      <c r="G474" s="15"/>
      <c r="I474" s="14">
        <f t="shared" si="7"/>
        <v>33.6</v>
      </c>
      <c r="J474" s="14">
        <f>Tabla13[[#This Row],[Precio final en USD]]*$P$4</f>
        <v>53.760000000000005</v>
      </c>
    </row>
    <row r="475" spans="1:10" x14ac:dyDescent="0.2">
      <c r="A475" s="12">
        <v>10107</v>
      </c>
      <c r="B475" s="11" t="s">
        <v>52</v>
      </c>
      <c r="C475" s="13" t="s">
        <v>558</v>
      </c>
      <c r="D475" s="12" t="s">
        <v>58</v>
      </c>
      <c r="E475" s="10" t="s">
        <v>84</v>
      </c>
      <c r="F475" s="14"/>
      <c r="G475" s="15"/>
      <c r="H475" s="10">
        <v>157.47999999999999</v>
      </c>
      <c r="I475" s="14">
        <f t="shared" si="7"/>
        <v>183.10386440677968</v>
      </c>
      <c r="J475" s="14">
        <f>Tabla13[[#This Row],[Precio final en USD]]*$P$4</f>
        <v>292.96618305084752</v>
      </c>
    </row>
    <row r="476" spans="1:10" x14ac:dyDescent="0.2">
      <c r="A476" s="12">
        <v>10776</v>
      </c>
      <c r="B476" s="11" t="s">
        <v>52</v>
      </c>
      <c r="C476" s="29" t="s">
        <v>559</v>
      </c>
      <c r="D476" s="12" t="s">
        <v>58</v>
      </c>
      <c r="E476" s="10" t="s">
        <v>84</v>
      </c>
      <c r="F476" s="14"/>
      <c r="G476" s="15"/>
      <c r="H476" s="10">
        <v>67.599999999999994</v>
      </c>
      <c r="I476" s="14">
        <f t="shared" si="7"/>
        <v>78.599322033898304</v>
      </c>
      <c r="J476" s="14">
        <f>Tabla13[[#This Row],[Precio final en USD]]*$P$4</f>
        <v>125.75891525423729</v>
      </c>
    </row>
    <row r="477" spans="1:10" x14ac:dyDescent="0.2">
      <c r="A477" s="12">
        <v>10901</v>
      </c>
      <c r="B477" s="11" t="s">
        <v>52</v>
      </c>
      <c r="C477" s="13" t="s">
        <v>560</v>
      </c>
      <c r="D477" s="12" t="s">
        <v>58</v>
      </c>
      <c r="E477" s="10" t="s">
        <v>84</v>
      </c>
      <c r="F477" s="14"/>
      <c r="G477" s="15"/>
      <c r="H477" s="10">
        <v>23.35</v>
      </c>
      <c r="I477" s="14">
        <f t="shared" si="7"/>
        <v>27.149322033898308</v>
      </c>
      <c r="J477" s="14">
        <f>Tabla13[[#This Row],[Precio final en USD]]*$P$4</f>
        <v>43.438915254237294</v>
      </c>
    </row>
    <row r="478" spans="1:10" x14ac:dyDescent="0.2">
      <c r="A478" s="12">
        <v>10902</v>
      </c>
      <c r="B478" s="11" t="s">
        <v>52</v>
      </c>
      <c r="C478" s="13" t="s">
        <v>561</v>
      </c>
      <c r="D478" s="12" t="s">
        <v>58</v>
      </c>
      <c r="E478" s="10" t="s">
        <v>84</v>
      </c>
      <c r="F478" s="14"/>
      <c r="G478" s="15"/>
      <c r="H478" s="10">
        <v>119.57</v>
      </c>
      <c r="I478" s="14">
        <f t="shared" si="7"/>
        <v>139.02545762711864</v>
      </c>
      <c r="J478" s="14">
        <f>Tabla13[[#This Row],[Precio final en USD]]*$P$4</f>
        <v>222.44073220338984</v>
      </c>
    </row>
    <row r="479" spans="1:10" x14ac:dyDescent="0.2">
      <c r="A479" s="12">
        <v>10136</v>
      </c>
      <c r="B479" s="11" t="s">
        <v>52</v>
      </c>
      <c r="C479" s="13" t="s">
        <v>562</v>
      </c>
      <c r="D479" s="12" t="s">
        <v>58</v>
      </c>
      <c r="E479" s="10" t="s">
        <v>84</v>
      </c>
      <c r="F479" s="14"/>
      <c r="G479" s="15"/>
      <c r="H479" s="10">
        <v>369.23</v>
      </c>
      <c r="I479" s="14">
        <f t="shared" si="7"/>
        <v>429.30810169491531</v>
      </c>
      <c r="J479" s="14">
        <f>Tabla13[[#This Row],[Precio final en USD]]*$P$4</f>
        <v>686.89296271186458</v>
      </c>
    </row>
    <row r="480" spans="1:10" x14ac:dyDescent="0.2">
      <c r="A480" s="12">
        <v>10197</v>
      </c>
      <c r="B480" s="11" t="s">
        <v>52</v>
      </c>
      <c r="C480" s="13" t="s">
        <v>563</v>
      </c>
      <c r="D480" s="12" t="s">
        <v>58</v>
      </c>
      <c r="E480" s="10" t="s">
        <v>84</v>
      </c>
      <c r="F480" s="14"/>
      <c r="G480" s="15"/>
      <c r="H480" s="10">
        <v>25.8</v>
      </c>
      <c r="I480" s="14">
        <f t="shared" si="7"/>
        <v>29.997966101694917</v>
      </c>
      <c r="J480" s="14">
        <f>Tabla13[[#This Row],[Precio final en USD]]*$P$4</f>
        <v>47.996745762711868</v>
      </c>
    </row>
    <row r="481" spans="1:10" x14ac:dyDescent="0.2">
      <c r="A481" s="12">
        <v>10015</v>
      </c>
      <c r="B481" s="11" t="s">
        <v>52</v>
      </c>
      <c r="C481" s="13" t="s">
        <v>564</v>
      </c>
      <c r="D481" s="12" t="s">
        <v>58</v>
      </c>
      <c r="E481" s="10" t="s">
        <v>84</v>
      </c>
      <c r="F481" s="14"/>
      <c r="G481" s="15"/>
      <c r="H481" s="10">
        <v>121.39</v>
      </c>
      <c r="I481" s="14">
        <f t="shared" si="7"/>
        <v>141.14159322033899</v>
      </c>
      <c r="J481" s="14">
        <f>Tabla13[[#This Row],[Precio final en USD]]*$P$4</f>
        <v>225.82654915254238</v>
      </c>
    </row>
    <row r="482" spans="1:10" x14ac:dyDescent="0.2">
      <c r="A482" s="12">
        <v>10755</v>
      </c>
      <c r="B482" s="11" t="s">
        <v>52</v>
      </c>
      <c r="C482" s="30" t="s">
        <v>565</v>
      </c>
      <c r="D482" s="12" t="s">
        <v>58</v>
      </c>
      <c r="E482" s="10" t="s">
        <v>566</v>
      </c>
      <c r="F482" s="14">
        <v>20</v>
      </c>
      <c r="G482" s="15"/>
      <c r="I482" s="14">
        <f t="shared" si="7"/>
        <v>20</v>
      </c>
      <c r="J482" s="14">
        <f>Tabla13[[#This Row],[Precio final en USD]]*$P$4</f>
        <v>32</v>
      </c>
    </row>
    <row r="483" spans="1:10" x14ac:dyDescent="0.2">
      <c r="A483" s="12">
        <v>10209</v>
      </c>
      <c r="B483" s="11" t="s">
        <v>52</v>
      </c>
      <c r="C483" s="31" t="s">
        <v>567</v>
      </c>
      <c r="D483" s="12" t="s">
        <v>58</v>
      </c>
      <c r="E483" s="10" t="s">
        <v>84</v>
      </c>
      <c r="F483" s="14"/>
      <c r="G483" s="15"/>
      <c r="H483" s="10">
        <v>53.97</v>
      </c>
      <c r="I483" s="14">
        <f t="shared" si="7"/>
        <v>62.751559322033906</v>
      </c>
      <c r="J483" s="14">
        <f>Tabla13[[#This Row],[Precio final en USD]]*$P$4</f>
        <v>100.40249491525425</v>
      </c>
    </row>
    <row r="484" spans="1:10" x14ac:dyDescent="0.2">
      <c r="A484" s="12">
        <v>10432</v>
      </c>
      <c r="B484" s="11" t="s">
        <v>52</v>
      </c>
      <c r="C484" s="29" t="s">
        <v>568</v>
      </c>
      <c r="D484" s="12" t="s">
        <v>58</v>
      </c>
      <c r="E484" s="10" t="s">
        <v>569</v>
      </c>
      <c r="F484" s="14"/>
      <c r="G484" s="15"/>
      <c r="H484" s="10">
        <v>759.98</v>
      </c>
      <c r="I484" s="14">
        <f t="shared" si="7"/>
        <v>883.63776271186453</v>
      </c>
      <c r="J484" s="14">
        <f>Tabla13[[#This Row],[Precio final en USD]]*$P$4</f>
        <v>1413.8204203389832</v>
      </c>
    </row>
    <row r="485" spans="1:10" x14ac:dyDescent="0.2">
      <c r="A485" s="42">
        <v>10888</v>
      </c>
      <c r="B485" s="11" t="s">
        <v>52</v>
      </c>
      <c r="C485" t="s">
        <v>625</v>
      </c>
      <c r="D485" s="12" t="s">
        <v>58</v>
      </c>
      <c r="E485" s="10" t="s">
        <v>569</v>
      </c>
      <c r="F485" s="40">
        <v>291.22000000000003</v>
      </c>
      <c r="G485" s="15"/>
      <c r="I485" s="14">
        <f t="shared" si="7"/>
        <v>291.22000000000003</v>
      </c>
      <c r="J485" s="14">
        <f>Tabla13[[#This Row],[Precio final en USD]]*$P$4</f>
        <v>465.95200000000006</v>
      </c>
    </row>
    <row r="486" spans="1:10" x14ac:dyDescent="0.2">
      <c r="A486" s="12">
        <v>10887</v>
      </c>
      <c r="B486" s="11" t="s">
        <v>52</v>
      </c>
      <c r="C486" t="s">
        <v>623</v>
      </c>
      <c r="D486" s="12" t="s">
        <v>58</v>
      </c>
      <c r="E486" s="10" t="s">
        <v>569</v>
      </c>
      <c r="F486" s="14">
        <v>22.11</v>
      </c>
      <c r="G486" s="15"/>
      <c r="I486" s="14">
        <f t="shared" si="7"/>
        <v>22.11</v>
      </c>
      <c r="J486" s="14">
        <f>Tabla13[[#This Row],[Precio final en USD]]*$P$4</f>
        <v>35.375999999999998</v>
      </c>
    </row>
    <row r="487" spans="1:10" x14ac:dyDescent="0.2">
      <c r="A487" s="12">
        <v>10908</v>
      </c>
      <c r="B487" s="11" t="s">
        <v>52</v>
      </c>
      <c r="C487" t="s">
        <v>635</v>
      </c>
      <c r="D487" s="12" t="s">
        <v>58</v>
      </c>
      <c r="E487" s="10" t="s">
        <v>569</v>
      </c>
      <c r="F487" s="14">
        <v>123.6</v>
      </c>
      <c r="G487" s="15"/>
      <c r="I487" s="14">
        <f t="shared" si="7"/>
        <v>123.6</v>
      </c>
      <c r="J487" s="14">
        <f>Tabla13[[#This Row],[Precio final en USD]]*$P$4</f>
        <v>197.76</v>
      </c>
    </row>
    <row r="488" spans="1:10" x14ac:dyDescent="0.2">
      <c r="A488" s="12"/>
      <c r="B488" s="11" t="s">
        <v>52</v>
      </c>
      <c r="C488" s="13"/>
      <c r="D488" s="12" t="s">
        <v>58</v>
      </c>
      <c r="F488" s="14"/>
      <c r="G488" s="15"/>
      <c r="I488" s="14" t="str">
        <f t="shared" si="7"/>
        <v/>
      </c>
      <c r="J488" s="14" t="e">
        <f>Tabla13[[#This Row],[Precio final en USD]]*$P$4</f>
        <v>#VALUE!</v>
      </c>
    </row>
    <row r="489" spans="1:10" x14ac:dyDescent="0.2">
      <c r="A489" s="12"/>
      <c r="B489" s="11" t="s">
        <v>52</v>
      </c>
      <c r="C489" s="13"/>
      <c r="D489" s="12" t="s">
        <v>58</v>
      </c>
      <c r="F489" s="14"/>
      <c r="G489" s="15"/>
      <c r="I489" s="14" t="str">
        <f t="shared" si="7"/>
        <v/>
      </c>
      <c r="J489" s="14" t="e">
        <f>Tabla13[[#This Row],[Precio final en USD]]*$P$4</f>
        <v>#VALUE!</v>
      </c>
    </row>
    <row r="490" spans="1:10" x14ac:dyDescent="0.2">
      <c r="A490" s="12"/>
      <c r="B490" s="11" t="s">
        <v>52</v>
      </c>
      <c r="C490" s="13"/>
      <c r="D490" s="12" t="s">
        <v>58</v>
      </c>
      <c r="F490" s="14"/>
      <c r="G490" s="15"/>
      <c r="I490" s="14" t="str">
        <f t="shared" si="7"/>
        <v/>
      </c>
      <c r="J490" s="14" t="e">
        <f>Tabla13[[#This Row],[Precio final en USD]]*$P$4</f>
        <v>#VALUE!</v>
      </c>
    </row>
    <row r="491" spans="1:10" x14ac:dyDescent="0.2">
      <c r="A491" s="12"/>
      <c r="B491" s="11" t="s">
        <v>52</v>
      </c>
      <c r="C491" s="13"/>
      <c r="D491" s="12" t="s">
        <v>58</v>
      </c>
      <c r="F491" s="14"/>
      <c r="G491" s="15"/>
      <c r="I491" s="14" t="str">
        <f t="shared" si="7"/>
        <v/>
      </c>
      <c r="J491" s="14" t="e">
        <f>Tabla13[[#This Row],[Precio final en USD]]*$P$4</f>
        <v>#VALUE!</v>
      </c>
    </row>
    <row r="492" spans="1:10" x14ac:dyDescent="0.2">
      <c r="A492" s="12"/>
      <c r="B492" s="11" t="s">
        <v>52</v>
      </c>
      <c r="C492" s="13"/>
      <c r="D492" s="12" t="s">
        <v>58</v>
      </c>
      <c r="F492" s="14"/>
      <c r="G492" s="15"/>
      <c r="I492" s="14" t="str">
        <f t="shared" si="7"/>
        <v/>
      </c>
      <c r="J492" s="14" t="e">
        <f>Tabla13[[#This Row],[Precio final en USD]]*$P$4</f>
        <v>#VALUE!</v>
      </c>
    </row>
    <row r="493" spans="1:10" x14ac:dyDescent="0.2">
      <c r="A493" s="12"/>
      <c r="B493" s="11" t="s">
        <v>52</v>
      </c>
      <c r="C493" s="13"/>
      <c r="D493" s="12" t="s">
        <v>58</v>
      </c>
      <c r="F493" s="14"/>
      <c r="G493" s="15"/>
      <c r="I493" s="14" t="str">
        <f t="shared" si="7"/>
        <v/>
      </c>
      <c r="J493" s="14" t="e">
        <f>Tabla13[[#This Row],[Precio final en USD]]*$P$4</f>
        <v>#VALUE!</v>
      </c>
    </row>
    <row r="494" spans="1:10" x14ac:dyDescent="0.2">
      <c r="A494" s="12"/>
      <c r="B494" s="11" t="s">
        <v>52</v>
      </c>
      <c r="C494" s="13"/>
      <c r="D494" s="12" t="s">
        <v>58</v>
      </c>
      <c r="F494" s="14"/>
      <c r="G494" s="15"/>
      <c r="I494" s="14" t="str">
        <f t="shared" si="7"/>
        <v/>
      </c>
      <c r="J494" s="14" t="e">
        <f>Tabla13[[#This Row],[Precio final en USD]]*$P$4</f>
        <v>#VALUE!</v>
      </c>
    </row>
    <row r="495" spans="1:10" x14ac:dyDescent="0.2">
      <c r="A495" s="12"/>
      <c r="B495" s="11" t="s">
        <v>52</v>
      </c>
      <c r="C495" s="13"/>
      <c r="D495" s="12" t="s">
        <v>58</v>
      </c>
      <c r="F495" s="14"/>
      <c r="G495" s="15"/>
      <c r="I495" s="14" t="str">
        <f t="shared" si="7"/>
        <v/>
      </c>
      <c r="J495" s="14" t="e">
        <f>Tabla13[[#This Row],[Precio final en USD]]*$P$4</f>
        <v>#VALUE!</v>
      </c>
    </row>
    <row r="496" spans="1:10" x14ac:dyDescent="0.2">
      <c r="A496" s="12"/>
      <c r="B496" s="11" t="s">
        <v>52</v>
      </c>
      <c r="C496" s="13"/>
      <c r="D496" s="12" t="s">
        <v>58</v>
      </c>
      <c r="F496" s="14"/>
      <c r="G496" s="15"/>
      <c r="I496" s="14" t="str">
        <f t="shared" si="7"/>
        <v/>
      </c>
      <c r="J496" s="14" t="e">
        <f>Tabla13[[#This Row],[Precio final en USD]]*$P$4</f>
        <v>#VALUE!</v>
      </c>
    </row>
    <row r="497" spans="1:10" x14ac:dyDescent="0.2">
      <c r="A497" s="12"/>
      <c r="B497" s="11" t="s">
        <v>52</v>
      </c>
      <c r="C497" s="13"/>
      <c r="D497" s="12" t="s">
        <v>58</v>
      </c>
      <c r="F497" s="14"/>
      <c r="G497" s="15"/>
      <c r="I497" s="14" t="str">
        <f t="shared" si="7"/>
        <v/>
      </c>
      <c r="J497" s="14" t="e">
        <f>Tabla13[[#This Row],[Precio final en USD]]*$P$4</f>
        <v>#VALUE!</v>
      </c>
    </row>
    <row r="498" spans="1:10" x14ac:dyDescent="0.2">
      <c r="A498" s="12"/>
      <c r="B498" s="11" t="s">
        <v>52</v>
      </c>
      <c r="C498" s="13"/>
      <c r="D498" s="12" t="s">
        <v>58</v>
      </c>
      <c r="F498" s="14"/>
      <c r="G498" s="15"/>
      <c r="I498" s="14" t="str">
        <f t="shared" si="7"/>
        <v/>
      </c>
      <c r="J498" s="14" t="e">
        <f>Tabla13[[#This Row],[Precio final en USD]]*$P$4</f>
        <v>#VALUE!</v>
      </c>
    </row>
    <row r="499" spans="1:10" x14ac:dyDescent="0.2">
      <c r="A499" s="12"/>
      <c r="B499" s="11" t="s">
        <v>52</v>
      </c>
      <c r="C499" s="13"/>
      <c r="D499" s="12" t="s">
        <v>58</v>
      </c>
      <c r="F499" s="14"/>
      <c r="G499" s="15"/>
      <c r="I499" s="14" t="str">
        <f t="shared" si="7"/>
        <v/>
      </c>
      <c r="J499" s="14" t="e">
        <f>Tabla13[[#This Row],[Precio final en USD]]*$P$4</f>
        <v>#VALUE!</v>
      </c>
    </row>
    <row r="500" spans="1:10" x14ac:dyDescent="0.2">
      <c r="A500" s="12"/>
      <c r="B500" s="11" t="s">
        <v>52</v>
      </c>
      <c r="C500" s="13"/>
      <c r="D500" s="12" t="s">
        <v>58</v>
      </c>
      <c r="F500" s="14"/>
      <c r="G500" s="15"/>
      <c r="I500" s="14" t="str">
        <f t="shared" si="7"/>
        <v/>
      </c>
      <c r="J500" s="14" t="e">
        <f>Tabla13[[#This Row],[Precio final en USD]]*$P$4</f>
        <v>#VALUE!</v>
      </c>
    </row>
    <row r="501" spans="1:10" x14ac:dyDescent="0.2">
      <c r="A501" s="12"/>
      <c r="B501" s="11" t="s">
        <v>52</v>
      </c>
      <c r="C501" s="13"/>
      <c r="D501" s="12" t="s">
        <v>58</v>
      </c>
      <c r="F501" s="14"/>
      <c r="G501" s="15"/>
      <c r="I501" s="14" t="str">
        <f t="shared" si="7"/>
        <v/>
      </c>
      <c r="J501" s="14" t="e">
        <f>Tabla13[[#This Row],[Precio final en USD]]*$P$4</f>
        <v>#VALUE!</v>
      </c>
    </row>
    <row r="502" spans="1:10" x14ac:dyDescent="0.2">
      <c r="A502" s="12"/>
      <c r="B502" s="11" t="s">
        <v>52</v>
      </c>
      <c r="C502" s="13"/>
      <c r="D502" s="12" t="s">
        <v>58</v>
      </c>
      <c r="F502" s="14"/>
      <c r="G502" s="15"/>
      <c r="I502" s="14" t="str">
        <f t="shared" si="7"/>
        <v/>
      </c>
      <c r="J502" s="14" t="e">
        <f>Tabla13[[#This Row],[Precio final en USD]]*$P$4</f>
        <v>#VALUE!</v>
      </c>
    </row>
    <row r="503" spans="1:10" x14ac:dyDescent="0.2">
      <c r="A503" s="12"/>
      <c r="B503" s="11" t="s">
        <v>52</v>
      </c>
      <c r="C503" s="13"/>
      <c r="D503" s="12" t="s">
        <v>58</v>
      </c>
      <c r="F503" s="14"/>
      <c r="G503" s="15"/>
      <c r="I503" s="14" t="str">
        <f t="shared" si="7"/>
        <v/>
      </c>
      <c r="J503" s="14" t="e">
        <f>Tabla13[[#This Row],[Precio final en USD]]*$P$4</f>
        <v>#VALUE!</v>
      </c>
    </row>
    <row r="504" spans="1:10" x14ac:dyDescent="0.2">
      <c r="A504" s="12"/>
      <c r="B504" s="11" t="s">
        <v>52</v>
      </c>
      <c r="C504" s="13"/>
      <c r="D504" s="12" t="s">
        <v>58</v>
      </c>
      <c r="F504" s="14"/>
      <c r="G504" s="15"/>
      <c r="I504" s="14" t="str">
        <f t="shared" si="7"/>
        <v/>
      </c>
      <c r="J504" s="14" t="e">
        <f>Tabla13[[#This Row],[Precio final en USD]]*$P$4</f>
        <v>#VALUE!</v>
      </c>
    </row>
    <row r="505" spans="1:10" x14ac:dyDescent="0.2">
      <c r="A505" s="12"/>
      <c r="B505" s="11" t="s">
        <v>52</v>
      </c>
      <c r="C505" s="13"/>
      <c r="D505" s="12" t="s">
        <v>58</v>
      </c>
      <c r="F505" s="14"/>
      <c r="G505" s="15"/>
      <c r="I505" s="14" t="str">
        <f t="shared" si="7"/>
        <v/>
      </c>
      <c r="J505" s="14" t="e">
        <f>Tabla13[[#This Row],[Precio final en USD]]*$P$4</f>
        <v>#VALUE!</v>
      </c>
    </row>
    <row r="506" spans="1:10" x14ac:dyDescent="0.2">
      <c r="A506" s="12"/>
      <c r="B506" s="11" t="s">
        <v>52</v>
      </c>
      <c r="C506" s="13"/>
      <c r="D506" s="12" t="s">
        <v>58</v>
      </c>
      <c r="F506" s="14"/>
      <c r="G506" s="15"/>
      <c r="I506" s="14" t="str">
        <f t="shared" si="7"/>
        <v/>
      </c>
      <c r="J506" s="14" t="e">
        <f>Tabla13[[#This Row],[Precio final en USD]]*$P$4</f>
        <v>#VALUE!</v>
      </c>
    </row>
    <row r="507" spans="1:10" x14ac:dyDescent="0.2">
      <c r="A507" s="12"/>
      <c r="B507" s="11" t="s">
        <v>52</v>
      </c>
      <c r="C507" s="13"/>
      <c r="D507" s="12" t="s">
        <v>58</v>
      </c>
      <c r="F507" s="14"/>
      <c r="G507" s="15"/>
      <c r="I507" s="14" t="str">
        <f t="shared" si="7"/>
        <v/>
      </c>
      <c r="J507" s="14" t="e">
        <f>Tabla13[[#This Row],[Precio final en USD]]*$P$4</f>
        <v>#VALUE!</v>
      </c>
    </row>
    <row r="508" spans="1:10" x14ac:dyDescent="0.2">
      <c r="A508" s="12"/>
      <c r="B508" s="11" t="s">
        <v>52</v>
      </c>
      <c r="C508" s="13"/>
      <c r="D508" s="12" t="s">
        <v>58</v>
      </c>
      <c r="F508" s="14"/>
      <c r="G508" s="15"/>
      <c r="I508" s="14" t="str">
        <f t="shared" si="7"/>
        <v/>
      </c>
      <c r="J508" s="14" t="e">
        <f>Tabla13[[#This Row],[Precio final en USD]]*$P$4</f>
        <v>#VALUE!</v>
      </c>
    </row>
    <row r="509" spans="1:10" x14ac:dyDescent="0.2">
      <c r="A509" s="12"/>
      <c r="B509" s="11" t="s">
        <v>52</v>
      </c>
      <c r="C509" s="13"/>
      <c r="D509" s="12" t="s">
        <v>58</v>
      </c>
      <c r="F509" s="14"/>
      <c r="G509" s="15"/>
      <c r="I509" s="14" t="str">
        <f t="shared" si="7"/>
        <v/>
      </c>
      <c r="J509" s="14" t="e">
        <f>Tabla13[[#This Row],[Precio final en USD]]*$P$4</f>
        <v>#VALUE!</v>
      </c>
    </row>
    <row r="510" spans="1:10" x14ac:dyDescent="0.2">
      <c r="A510" s="12"/>
      <c r="B510" s="11" t="s">
        <v>52</v>
      </c>
      <c r="C510" s="13"/>
      <c r="D510" s="12" t="s">
        <v>58</v>
      </c>
      <c r="F510" s="14"/>
      <c r="G510" s="15"/>
      <c r="I510" s="14" t="str">
        <f t="shared" si="7"/>
        <v/>
      </c>
      <c r="J510" s="14" t="e">
        <f>Tabla13[[#This Row],[Precio final en USD]]*$P$4</f>
        <v>#VALUE!</v>
      </c>
    </row>
    <row r="511" spans="1:10" x14ac:dyDescent="0.2">
      <c r="A511" s="12"/>
      <c r="B511" s="11" t="s">
        <v>52</v>
      </c>
      <c r="C511" s="13"/>
      <c r="D511" s="12" t="s">
        <v>58</v>
      </c>
      <c r="F511" s="14"/>
      <c r="G511" s="15"/>
      <c r="I511" s="14" t="str">
        <f t="shared" si="7"/>
        <v/>
      </c>
      <c r="J511" s="14" t="e">
        <f>Tabla13[[#This Row],[Precio final en USD]]*$P$4</f>
        <v>#VALUE!</v>
      </c>
    </row>
    <row r="512" spans="1:10" x14ac:dyDescent="0.2">
      <c r="A512" s="12"/>
      <c r="B512" s="11" t="s">
        <v>52</v>
      </c>
      <c r="C512" s="13"/>
      <c r="D512" s="12" t="s">
        <v>58</v>
      </c>
      <c r="F512" s="14"/>
      <c r="G512" s="15"/>
      <c r="I512" s="14" t="str">
        <f t="shared" si="7"/>
        <v/>
      </c>
      <c r="J512" s="14" t="e">
        <f>Tabla13[[#This Row],[Precio final en USD]]*$P$4</f>
        <v>#VALUE!</v>
      </c>
    </row>
    <row r="513" spans="1:10" x14ac:dyDescent="0.2">
      <c r="A513" s="12"/>
      <c r="B513" s="11" t="s">
        <v>52</v>
      </c>
      <c r="C513" s="13"/>
      <c r="D513" s="12" t="s">
        <v>58</v>
      </c>
      <c r="F513" s="14"/>
      <c r="G513" s="15"/>
      <c r="I513" s="14" t="str">
        <f t="shared" si="7"/>
        <v/>
      </c>
      <c r="J513" s="14" t="e">
        <f>Tabla13[[#This Row],[Precio final en USD]]*$P$4</f>
        <v>#VALUE!</v>
      </c>
    </row>
    <row r="514" spans="1:10" x14ac:dyDescent="0.2">
      <c r="A514" s="12"/>
      <c r="B514" s="11" t="s">
        <v>52</v>
      </c>
      <c r="C514" s="13"/>
      <c r="D514" s="12" t="s">
        <v>58</v>
      </c>
      <c r="F514" s="14"/>
      <c r="G514" s="15"/>
      <c r="I514" s="14" t="str">
        <f t="shared" ref="I514:I556" si="8">IF(AND(F514="",G514="",H514=""),"",IF(F514&lt;&gt;"",F514,IF(G514&lt;&gt;"",G514/$O$1,IF(H514&lt;&gt;"",H514*$O$2,"ver"))))</f>
        <v/>
      </c>
      <c r="J514" s="14" t="e">
        <f>Tabla13[[#This Row],[Precio final en USD]]*$P$4</f>
        <v>#VALUE!</v>
      </c>
    </row>
    <row r="515" spans="1:10" x14ac:dyDescent="0.2">
      <c r="A515" s="12"/>
      <c r="B515" s="11" t="s">
        <v>52</v>
      </c>
      <c r="C515" s="13"/>
      <c r="D515" s="12" t="s">
        <v>58</v>
      </c>
      <c r="F515" s="14"/>
      <c r="G515" s="15"/>
      <c r="I515" s="14" t="str">
        <f t="shared" si="8"/>
        <v/>
      </c>
      <c r="J515" s="14" t="e">
        <f>Tabla13[[#This Row],[Precio final en USD]]*$P$4</f>
        <v>#VALUE!</v>
      </c>
    </row>
    <row r="516" spans="1:10" x14ac:dyDescent="0.2">
      <c r="A516" s="12"/>
      <c r="B516" s="11" t="s">
        <v>52</v>
      </c>
      <c r="C516" s="13"/>
      <c r="D516" s="12" t="s">
        <v>58</v>
      </c>
      <c r="F516" s="14"/>
      <c r="G516" s="15"/>
      <c r="I516" s="14" t="str">
        <f t="shared" si="8"/>
        <v/>
      </c>
      <c r="J516" s="14" t="e">
        <f>Tabla13[[#This Row],[Precio final en USD]]*$P$4</f>
        <v>#VALUE!</v>
      </c>
    </row>
    <row r="517" spans="1:10" x14ac:dyDescent="0.2">
      <c r="A517" s="12"/>
      <c r="B517" s="11" t="s">
        <v>52</v>
      </c>
      <c r="C517" s="13"/>
      <c r="D517" s="12" t="s">
        <v>58</v>
      </c>
      <c r="F517" s="14"/>
      <c r="G517" s="15"/>
      <c r="I517" s="14" t="str">
        <f t="shared" si="8"/>
        <v/>
      </c>
      <c r="J517" s="14" t="e">
        <f>Tabla13[[#This Row],[Precio final en USD]]*$P$4</f>
        <v>#VALUE!</v>
      </c>
    </row>
    <row r="518" spans="1:10" x14ac:dyDescent="0.2">
      <c r="A518" s="12"/>
      <c r="B518" s="11" t="s">
        <v>52</v>
      </c>
      <c r="C518" s="13"/>
      <c r="D518" s="12" t="s">
        <v>58</v>
      </c>
      <c r="F518" s="14"/>
      <c r="G518" s="15"/>
      <c r="I518" s="14" t="str">
        <f t="shared" si="8"/>
        <v/>
      </c>
      <c r="J518" s="14" t="e">
        <f>Tabla13[[#This Row],[Precio final en USD]]*$P$4</f>
        <v>#VALUE!</v>
      </c>
    </row>
    <row r="519" spans="1:10" x14ac:dyDescent="0.2">
      <c r="A519" s="12"/>
      <c r="B519" s="11" t="s">
        <v>52</v>
      </c>
      <c r="C519" s="13"/>
      <c r="D519" s="12" t="s">
        <v>58</v>
      </c>
      <c r="F519" s="14"/>
      <c r="G519" s="15"/>
      <c r="I519" s="14" t="str">
        <f t="shared" si="8"/>
        <v/>
      </c>
      <c r="J519" s="14" t="e">
        <f>Tabla13[[#This Row],[Precio final en USD]]*$P$4</f>
        <v>#VALUE!</v>
      </c>
    </row>
    <row r="520" spans="1:10" x14ac:dyDescent="0.2">
      <c r="A520" s="12"/>
      <c r="B520" s="11" t="s">
        <v>52</v>
      </c>
      <c r="C520" s="13"/>
      <c r="D520" s="12" t="s">
        <v>58</v>
      </c>
      <c r="F520" s="14"/>
      <c r="G520" s="15"/>
      <c r="I520" s="14" t="str">
        <f t="shared" si="8"/>
        <v/>
      </c>
      <c r="J520" s="14" t="e">
        <f>Tabla13[[#This Row],[Precio final en USD]]*$P$4</f>
        <v>#VALUE!</v>
      </c>
    </row>
    <row r="521" spans="1:10" x14ac:dyDescent="0.2">
      <c r="A521" s="12"/>
      <c r="B521" s="11" t="s">
        <v>52</v>
      </c>
      <c r="C521" s="13"/>
      <c r="D521" s="12" t="s">
        <v>58</v>
      </c>
      <c r="F521" s="14"/>
      <c r="G521" s="15"/>
      <c r="I521" s="14" t="str">
        <f t="shared" si="8"/>
        <v/>
      </c>
      <c r="J521" s="14" t="e">
        <f>Tabla13[[#This Row],[Precio final en USD]]*$P$4</f>
        <v>#VALUE!</v>
      </c>
    </row>
    <row r="522" spans="1:10" x14ac:dyDescent="0.2">
      <c r="A522" s="12"/>
      <c r="B522" s="11" t="s">
        <v>52</v>
      </c>
      <c r="C522" s="13"/>
      <c r="D522" s="12" t="s">
        <v>58</v>
      </c>
      <c r="F522" s="14"/>
      <c r="G522" s="15"/>
      <c r="I522" s="14" t="str">
        <f t="shared" si="8"/>
        <v/>
      </c>
      <c r="J522" s="14" t="e">
        <f>Tabla13[[#This Row],[Precio final en USD]]*$P$4</f>
        <v>#VALUE!</v>
      </c>
    </row>
    <row r="523" spans="1:10" x14ac:dyDescent="0.2">
      <c r="A523" s="12"/>
      <c r="B523" s="11" t="s">
        <v>52</v>
      </c>
      <c r="C523" s="13"/>
      <c r="D523" s="12" t="s">
        <v>58</v>
      </c>
      <c r="F523" s="14"/>
      <c r="G523" s="15"/>
      <c r="I523" s="14" t="str">
        <f t="shared" si="8"/>
        <v/>
      </c>
      <c r="J523" s="14" t="e">
        <f>Tabla13[[#This Row],[Precio final en USD]]*$P$4</f>
        <v>#VALUE!</v>
      </c>
    </row>
    <row r="524" spans="1:10" x14ac:dyDescent="0.2">
      <c r="A524" s="12"/>
      <c r="B524" s="11" t="s">
        <v>52</v>
      </c>
      <c r="C524" s="13"/>
      <c r="D524" s="12" t="s">
        <v>58</v>
      </c>
      <c r="F524" s="14"/>
      <c r="G524" s="15"/>
      <c r="I524" s="14" t="str">
        <f t="shared" si="8"/>
        <v/>
      </c>
      <c r="J524" s="14" t="e">
        <f>Tabla13[[#This Row],[Precio final en USD]]*$P$4</f>
        <v>#VALUE!</v>
      </c>
    </row>
    <row r="525" spans="1:10" x14ac:dyDescent="0.2">
      <c r="A525" s="12"/>
      <c r="B525" s="11" t="s">
        <v>52</v>
      </c>
      <c r="C525" s="13"/>
      <c r="D525" s="12" t="s">
        <v>58</v>
      </c>
      <c r="F525" s="14"/>
      <c r="G525" s="15"/>
      <c r="I525" s="14" t="str">
        <f t="shared" si="8"/>
        <v/>
      </c>
      <c r="J525" s="14" t="e">
        <f>Tabla13[[#This Row],[Precio final en USD]]*$P$4</f>
        <v>#VALUE!</v>
      </c>
    </row>
    <row r="526" spans="1:10" x14ac:dyDescent="0.2">
      <c r="A526" s="12"/>
      <c r="B526" s="11" t="s">
        <v>52</v>
      </c>
      <c r="C526" s="13"/>
      <c r="D526" s="12" t="s">
        <v>58</v>
      </c>
      <c r="F526" s="14"/>
      <c r="G526" s="15"/>
      <c r="I526" s="14" t="str">
        <f t="shared" si="8"/>
        <v/>
      </c>
      <c r="J526" s="14" t="e">
        <f>Tabla13[[#This Row],[Precio final en USD]]*$P$4</f>
        <v>#VALUE!</v>
      </c>
    </row>
    <row r="527" spans="1:10" x14ac:dyDescent="0.2">
      <c r="A527" s="12"/>
      <c r="B527" s="11" t="s">
        <v>52</v>
      </c>
      <c r="C527" s="13"/>
      <c r="D527" s="12" t="s">
        <v>58</v>
      </c>
      <c r="F527" s="14"/>
      <c r="G527" s="15"/>
      <c r="I527" s="14" t="str">
        <f t="shared" si="8"/>
        <v/>
      </c>
      <c r="J527" s="14" t="e">
        <f>Tabla13[[#This Row],[Precio final en USD]]*$P$4</f>
        <v>#VALUE!</v>
      </c>
    </row>
    <row r="528" spans="1:10" x14ac:dyDescent="0.2">
      <c r="A528" s="12"/>
      <c r="B528" s="11" t="s">
        <v>52</v>
      </c>
      <c r="C528" s="13"/>
      <c r="D528" s="12" t="s">
        <v>58</v>
      </c>
      <c r="F528" s="14"/>
      <c r="G528" s="15"/>
      <c r="I528" s="14" t="str">
        <f t="shared" si="8"/>
        <v/>
      </c>
      <c r="J528" s="14" t="e">
        <f>Tabla13[[#This Row],[Precio final en USD]]*$P$4</f>
        <v>#VALUE!</v>
      </c>
    </row>
    <row r="529" spans="1:10" x14ac:dyDescent="0.2">
      <c r="A529" s="12"/>
      <c r="B529" s="11" t="s">
        <v>52</v>
      </c>
      <c r="C529" s="13"/>
      <c r="D529" s="12" t="s">
        <v>58</v>
      </c>
      <c r="F529" s="14"/>
      <c r="G529" s="15"/>
      <c r="I529" s="14" t="str">
        <f t="shared" si="8"/>
        <v/>
      </c>
      <c r="J529" s="14" t="e">
        <f>Tabla13[[#This Row],[Precio final en USD]]*$P$4</f>
        <v>#VALUE!</v>
      </c>
    </row>
    <row r="530" spans="1:10" x14ac:dyDescent="0.2">
      <c r="A530" s="12"/>
      <c r="B530" s="11" t="s">
        <v>52</v>
      </c>
      <c r="C530" s="13"/>
      <c r="D530" s="12" t="s">
        <v>58</v>
      </c>
      <c r="F530" s="14"/>
      <c r="G530" s="15"/>
      <c r="I530" s="14" t="str">
        <f t="shared" si="8"/>
        <v/>
      </c>
      <c r="J530" s="14" t="e">
        <f>Tabla13[[#This Row],[Precio final en USD]]*$P$4</f>
        <v>#VALUE!</v>
      </c>
    </row>
    <row r="531" spans="1:10" x14ac:dyDescent="0.2">
      <c r="A531" s="12"/>
      <c r="B531" s="11" t="s">
        <v>52</v>
      </c>
      <c r="C531" s="13"/>
      <c r="D531" s="12" t="s">
        <v>58</v>
      </c>
      <c r="F531" s="14"/>
      <c r="G531" s="15"/>
      <c r="I531" s="14" t="str">
        <f t="shared" si="8"/>
        <v/>
      </c>
      <c r="J531" s="14" t="e">
        <f>Tabla13[[#This Row],[Precio final en USD]]*$P$4</f>
        <v>#VALUE!</v>
      </c>
    </row>
    <row r="532" spans="1:10" x14ac:dyDescent="0.2">
      <c r="A532" s="12"/>
      <c r="B532" s="11" t="s">
        <v>52</v>
      </c>
      <c r="C532" s="13"/>
      <c r="D532" s="12" t="s">
        <v>58</v>
      </c>
      <c r="F532" s="14"/>
      <c r="G532" s="15"/>
      <c r="I532" s="14" t="str">
        <f t="shared" si="8"/>
        <v/>
      </c>
      <c r="J532" s="14" t="e">
        <f>Tabla13[[#This Row],[Precio final en USD]]*$P$4</f>
        <v>#VALUE!</v>
      </c>
    </row>
    <row r="533" spans="1:10" x14ac:dyDescent="0.2">
      <c r="A533" s="12"/>
      <c r="B533" s="11" t="s">
        <v>52</v>
      </c>
      <c r="C533" s="13"/>
      <c r="D533" s="12" t="s">
        <v>58</v>
      </c>
      <c r="F533" s="14"/>
      <c r="G533" s="15"/>
      <c r="I533" s="14" t="str">
        <f t="shared" si="8"/>
        <v/>
      </c>
      <c r="J533" s="14" t="e">
        <f>Tabla13[[#This Row],[Precio final en USD]]*$P$4</f>
        <v>#VALUE!</v>
      </c>
    </row>
    <row r="534" spans="1:10" x14ac:dyDescent="0.2">
      <c r="A534" s="12"/>
      <c r="B534" s="11" t="s">
        <v>52</v>
      </c>
      <c r="C534" s="13"/>
      <c r="D534" s="12" t="s">
        <v>58</v>
      </c>
      <c r="F534" s="14"/>
      <c r="G534" s="15"/>
      <c r="I534" s="14" t="str">
        <f t="shared" si="8"/>
        <v/>
      </c>
      <c r="J534" s="14" t="e">
        <f>Tabla13[[#This Row],[Precio final en USD]]*$P$4</f>
        <v>#VALUE!</v>
      </c>
    </row>
    <row r="535" spans="1:10" x14ac:dyDescent="0.2">
      <c r="A535" s="12"/>
      <c r="B535" s="11" t="s">
        <v>52</v>
      </c>
      <c r="C535" s="13"/>
      <c r="D535" s="12" t="s">
        <v>58</v>
      </c>
      <c r="F535" s="14"/>
      <c r="G535" s="15"/>
      <c r="I535" s="14" t="str">
        <f t="shared" si="8"/>
        <v/>
      </c>
      <c r="J535" s="14" t="e">
        <f>Tabla13[[#This Row],[Precio final en USD]]*$P$4</f>
        <v>#VALUE!</v>
      </c>
    </row>
    <row r="536" spans="1:10" x14ac:dyDescent="0.2">
      <c r="A536" s="12"/>
      <c r="B536" s="11" t="s">
        <v>52</v>
      </c>
      <c r="C536" s="13"/>
      <c r="D536" s="12" t="s">
        <v>58</v>
      </c>
      <c r="F536" s="14"/>
      <c r="G536" s="15"/>
      <c r="I536" s="14" t="str">
        <f t="shared" si="8"/>
        <v/>
      </c>
      <c r="J536" s="14" t="e">
        <f>Tabla13[[#This Row],[Precio final en USD]]*$P$4</f>
        <v>#VALUE!</v>
      </c>
    </row>
    <row r="537" spans="1:10" x14ac:dyDescent="0.2">
      <c r="A537" s="12"/>
      <c r="B537" s="11" t="s">
        <v>52</v>
      </c>
      <c r="C537" s="13"/>
      <c r="D537" s="12" t="s">
        <v>58</v>
      </c>
      <c r="F537" s="14"/>
      <c r="G537" s="15"/>
      <c r="I537" s="14" t="str">
        <f t="shared" si="8"/>
        <v/>
      </c>
      <c r="J537" s="14" t="e">
        <f>Tabla13[[#This Row],[Precio final en USD]]*$P$4</f>
        <v>#VALUE!</v>
      </c>
    </row>
    <row r="538" spans="1:10" x14ac:dyDescent="0.2">
      <c r="A538" s="12"/>
      <c r="B538" s="11" t="s">
        <v>52</v>
      </c>
      <c r="C538" s="13"/>
      <c r="D538" s="12" t="s">
        <v>58</v>
      </c>
      <c r="F538" s="14"/>
      <c r="G538" s="15"/>
      <c r="I538" s="14" t="str">
        <f t="shared" si="8"/>
        <v/>
      </c>
      <c r="J538" s="14" t="e">
        <f>Tabla13[[#This Row],[Precio final en USD]]*$P$4</f>
        <v>#VALUE!</v>
      </c>
    </row>
    <row r="539" spans="1:10" x14ac:dyDescent="0.2">
      <c r="A539" s="12"/>
      <c r="B539" s="11" t="s">
        <v>52</v>
      </c>
      <c r="C539" s="13"/>
      <c r="D539" s="12" t="s">
        <v>58</v>
      </c>
      <c r="F539" s="14"/>
      <c r="G539" s="15"/>
      <c r="I539" s="14" t="str">
        <f t="shared" si="8"/>
        <v/>
      </c>
      <c r="J539" s="14" t="e">
        <f>Tabla13[[#This Row],[Precio final en USD]]*$P$4</f>
        <v>#VALUE!</v>
      </c>
    </row>
    <row r="540" spans="1:10" x14ac:dyDescent="0.2">
      <c r="A540" s="12"/>
      <c r="B540" s="11" t="s">
        <v>52</v>
      </c>
      <c r="C540" s="13"/>
      <c r="D540" s="12" t="s">
        <v>58</v>
      </c>
      <c r="F540" s="14"/>
      <c r="G540" s="15"/>
      <c r="I540" s="14" t="str">
        <f t="shared" si="8"/>
        <v/>
      </c>
      <c r="J540" s="14" t="e">
        <f>Tabla13[[#This Row],[Precio final en USD]]*$P$4</f>
        <v>#VALUE!</v>
      </c>
    </row>
    <row r="541" spans="1:10" x14ac:dyDescent="0.2">
      <c r="A541" s="12"/>
      <c r="B541" s="11" t="s">
        <v>52</v>
      </c>
      <c r="C541" s="13"/>
      <c r="D541" s="12" t="s">
        <v>58</v>
      </c>
      <c r="F541" s="14"/>
      <c r="G541" s="15"/>
      <c r="I541" s="14" t="str">
        <f t="shared" si="8"/>
        <v/>
      </c>
      <c r="J541" s="14" t="e">
        <f>Tabla13[[#This Row],[Precio final en USD]]*$P$4</f>
        <v>#VALUE!</v>
      </c>
    </row>
    <row r="542" spans="1:10" x14ac:dyDescent="0.2">
      <c r="A542" s="12"/>
      <c r="B542" s="11" t="s">
        <v>52</v>
      </c>
      <c r="C542" s="13"/>
      <c r="D542" s="12" t="s">
        <v>58</v>
      </c>
      <c r="F542" s="14"/>
      <c r="G542" s="15"/>
      <c r="I542" s="14" t="str">
        <f t="shared" si="8"/>
        <v/>
      </c>
      <c r="J542" s="14" t="e">
        <f>Tabla13[[#This Row],[Precio final en USD]]*$P$4</f>
        <v>#VALUE!</v>
      </c>
    </row>
    <row r="543" spans="1:10" x14ac:dyDescent="0.2">
      <c r="A543" s="12"/>
      <c r="B543" s="11" t="s">
        <v>52</v>
      </c>
      <c r="C543" s="13"/>
      <c r="D543" s="12" t="s">
        <v>58</v>
      </c>
      <c r="F543" s="14"/>
      <c r="G543" s="15"/>
      <c r="I543" s="14" t="str">
        <f t="shared" si="8"/>
        <v/>
      </c>
      <c r="J543" s="14" t="e">
        <f>Tabla13[[#This Row],[Precio final en USD]]*$P$4</f>
        <v>#VALUE!</v>
      </c>
    </row>
    <row r="544" spans="1:10" x14ac:dyDescent="0.2">
      <c r="A544" s="12"/>
      <c r="B544" s="11" t="s">
        <v>52</v>
      </c>
      <c r="C544" s="13"/>
      <c r="D544" s="12" t="s">
        <v>58</v>
      </c>
      <c r="F544" s="14"/>
      <c r="G544" s="15"/>
      <c r="I544" s="14" t="str">
        <f t="shared" si="8"/>
        <v/>
      </c>
      <c r="J544" s="14" t="e">
        <f>Tabla13[[#This Row],[Precio final en USD]]*$P$4</f>
        <v>#VALUE!</v>
      </c>
    </row>
    <row r="545" spans="1:12" x14ac:dyDescent="0.2">
      <c r="A545" s="12"/>
      <c r="B545" s="11" t="s">
        <v>52</v>
      </c>
      <c r="C545" s="13"/>
      <c r="D545" s="12" t="s">
        <v>58</v>
      </c>
      <c r="F545" s="14"/>
      <c r="G545" s="15"/>
      <c r="I545" s="14" t="str">
        <f t="shared" si="8"/>
        <v/>
      </c>
      <c r="J545" s="14" t="e">
        <f>Tabla13[[#This Row],[Precio final en USD]]*$P$4</f>
        <v>#VALUE!</v>
      </c>
    </row>
    <row r="546" spans="1:12" x14ac:dyDescent="0.2">
      <c r="A546" s="12"/>
      <c r="B546" s="11" t="s">
        <v>52</v>
      </c>
      <c r="C546" s="13"/>
      <c r="D546" s="12"/>
      <c r="F546" s="14"/>
      <c r="G546" s="15"/>
      <c r="I546" s="14" t="str">
        <f t="shared" si="8"/>
        <v/>
      </c>
      <c r="J546" s="14" t="e">
        <f>Tabla13[[#This Row],[Precio final en USD]]*$P$4</f>
        <v>#VALUE!</v>
      </c>
    </row>
    <row r="547" spans="1:12" x14ac:dyDescent="0.2">
      <c r="A547" s="12"/>
      <c r="B547" s="11" t="s">
        <v>52</v>
      </c>
      <c r="C547" s="13"/>
      <c r="D547" s="12"/>
      <c r="F547" s="14"/>
      <c r="G547" s="15"/>
      <c r="I547" s="14" t="str">
        <f t="shared" si="8"/>
        <v/>
      </c>
      <c r="J547" s="14" t="e">
        <f>Tabla13[[#This Row],[Precio final en USD]]*$P$4</f>
        <v>#VALUE!</v>
      </c>
    </row>
    <row r="548" spans="1:12" x14ac:dyDescent="0.2">
      <c r="A548" s="12"/>
      <c r="B548" s="11"/>
      <c r="C548" s="13"/>
      <c r="D548" s="12"/>
      <c r="F548" s="14"/>
      <c r="G548" s="15"/>
      <c r="I548" s="14" t="str">
        <f t="shared" si="8"/>
        <v/>
      </c>
      <c r="J548" s="14" t="e">
        <f>Tabla13[[#This Row],[Precio final en USD]]*$P$4</f>
        <v>#VALUE!</v>
      </c>
    </row>
    <row r="549" spans="1:12" x14ac:dyDescent="0.2">
      <c r="A549" s="12"/>
      <c r="B549" s="11"/>
      <c r="C549" s="13"/>
      <c r="D549" s="12"/>
      <c r="F549" s="14"/>
      <c r="G549" s="15"/>
      <c r="I549" s="14" t="str">
        <f t="shared" si="8"/>
        <v/>
      </c>
      <c r="J549" s="14" t="e">
        <f>Tabla13[[#This Row],[Precio final en USD]]*$P$4</f>
        <v>#VALUE!</v>
      </c>
    </row>
    <row r="550" spans="1:12" x14ac:dyDescent="0.2">
      <c r="A550" s="12"/>
      <c r="B550" s="11"/>
      <c r="C550" s="13"/>
      <c r="D550" s="12"/>
      <c r="F550" s="14"/>
      <c r="G550" s="15"/>
      <c r="I550" s="14" t="str">
        <f t="shared" si="8"/>
        <v/>
      </c>
      <c r="J550" s="14" t="e">
        <f>Tabla13[[#This Row],[Precio final en USD]]*$P$4</f>
        <v>#VALUE!</v>
      </c>
    </row>
    <row r="551" spans="1:12" x14ac:dyDescent="0.2">
      <c r="A551" s="12"/>
      <c r="B551" s="11"/>
      <c r="C551" s="13"/>
      <c r="D551" s="12"/>
      <c r="F551" s="14"/>
      <c r="G551" s="15"/>
      <c r="I551" s="14" t="str">
        <f t="shared" si="8"/>
        <v/>
      </c>
      <c r="J551" s="14" t="e">
        <f>Tabla13[[#This Row],[Precio final en USD]]*$P$4</f>
        <v>#VALUE!</v>
      </c>
    </row>
    <row r="552" spans="1:12" x14ac:dyDescent="0.2">
      <c r="A552" s="12"/>
      <c r="B552" s="11"/>
      <c r="C552" s="13"/>
      <c r="D552" s="12"/>
      <c r="F552" s="14"/>
      <c r="G552" s="15"/>
      <c r="I552" s="14" t="str">
        <f t="shared" si="8"/>
        <v/>
      </c>
      <c r="J552" s="14" t="e">
        <f>Tabla13[[#This Row],[Precio final en USD]]*$P$4</f>
        <v>#VALUE!</v>
      </c>
    </row>
    <row r="553" spans="1:12" x14ac:dyDescent="0.2">
      <c r="A553" s="12"/>
      <c r="B553" s="11"/>
      <c r="C553" s="13"/>
      <c r="D553" s="12"/>
      <c r="F553" s="14"/>
      <c r="G553" s="15"/>
      <c r="I553" s="14" t="str">
        <f t="shared" si="8"/>
        <v/>
      </c>
      <c r="J553" s="14" t="e">
        <f>Tabla13[[#This Row],[Precio final en USD]]*$P$4</f>
        <v>#VALUE!</v>
      </c>
    </row>
    <row r="554" spans="1:12" x14ac:dyDescent="0.2">
      <c r="A554" s="12"/>
      <c r="B554" s="11"/>
      <c r="C554" s="13"/>
      <c r="D554" s="12"/>
      <c r="F554" s="14"/>
      <c r="G554" s="15"/>
      <c r="I554" s="14" t="str">
        <f t="shared" si="8"/>
        <v/>
      </c>
      <c r="J554" s="14" t="e">
        <f>Tabla13[[#This Row],[Precio final en USD]]*$P$4</f>
        <v>#VALUE!</v>
      </c>
    </row>
    <row r="555" spans="1:12" x14ac:dyDescent="0.2">
      <c r="A555" s="12"/>
      <c r="B555" s="11"/>
      <c r="C555" s="13"/>
      <c r="D555" s="12"/>
      <c r="F555" s="14"/>
      <c r="G555" s="15"/>
      <c r="I555" s="14" t="str">
        <f t="shared" si="8"/>
        <v/>
      </c>
      <c r="J555" s="14" t="e">
        <f>Tabla13[[#This Row],[Precio final en USD]]*$P$4</f>
        <v>#VALUE!</v>
      </c>
    </row>
    <row r="556" spans="1:12" x14ac:dyDescent="0.2">
      <c r="A556" s="12"/>
      <c r="B556" s="11"/>
      <c r="C556" s="13"/>
      <c r="D556" s="12"/>
      <c r="F556" s="14"/>
      <c r="G556" s="15"/>
      <c r="I556" s="14" t="str">
        <f t="shared" si="8"/>
        <v/>
      </c>
      <c r="J556" s="14" t="e">
        <f>Tabla13[[#This Row],[Precio final en USD]]*$P$4</f>
        <v>#VALUE!</v>
      </c>
    </row>
    <row r="557" spans="1:12" x14ac:dyDescent="0.2">
      <c r="A557" s="34"/>
      <c r="B557" s="35"/>
      <c r="C557" s="36"/>
      <c r="D557" s="37"/>
      <c r="E557" s="33"/>
      <c r="F557" s="38"/>
      <c r="G557" s="39"/>
      <c r="H557" s="33"/>
      <c r="I557" s="38"/>
      <c r="J557" s="38"/>
      <c r="K557" s="33"/>
      <c r="L557" s="33"/>
    </row>
  </sheetData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Margen de ganancia</vt:lpstr>
      <vt:lpstr>REPUESTOS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Maximiliano Ezcurra</dc:creator>
  <cp:lastModifiedBy>Cristian Merlo</cp:lastModifiedBy>
  <dcterms:created xsi:type="dcterms:W3CDTF">2025-12-19T12:38:40Z</dcterms:created>
  <dcterms:modified xsi:type="dcterms:W3CDTF">2026-03-11T19:08:18Z</dcterms:modified>
</cp:coreProperties>
</file>