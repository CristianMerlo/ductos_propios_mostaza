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cuments/Repositorios GitHub/Franquicias/CALCULO DE HORAS/2026/"/>
    </mc:Choice>
  </mc:AlternateContent>
  <xr:revisionPtr revIDLastSave="0" documentId="13_ncr:1_{CC02FE78-94EC-064C-9DE9-940F5DFA6B9B}" xr6:coauthVersionLast="47" xr6:coauthVersionMax="47" xr10:uidLastSave="{00000000-0000-0000-0000-000000000000}"/>
  <bookViews>
    <workbookView xWindow="0" yWindow="500" windowWidth="28800" windowHeight="16540" xr2:uid="{00000000-000D-0000-FFFF-FFFF00000000}"/>
  </bookViews>
  <sheets>
    <sheet name="Auditoria"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35" i="1" l="1"/>
  <c r="AA134" i="1"/>
  <c r="AA133" i="1"/>
  <c r="AA135" i="1" l="1"/>
  <c r="Z131" i="1"/>
  <c r="Z139" i="1" s="1"/>
  <c r="AA130" i="1"/>
  <c r="AA129" i="1"/>
  <c r="AA128" i="1"/>
  <c r="AA127" i="1"/>
  <c r="AA126" i="1"/>
  <c r="AA125" i="1"/>
  <c r="AA124" i="1"/>
  <c r="AA123" i="1"/>
  <c r="AA122" i="1"/>
  <c r="AA121"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4" i="1"/>
  <c r="AA3" i="1"/>
  <c r="AA2" i="1"/>
  <c r="AA131" i="1" l="1"/>
  <c r="AA137" i="1" l="1"/>
  <c r="AA143" i="1"/>
</calcChain>
</file>

<file path=xl/sharedStrings.xml><?xml version="1.0" encoding="utf-8"?>
<sst xmlns="http://schemas.openxmlformats.org/spreadsheetml/2006/main" count="2085" uniqueCount="631">
  <si>
    <t>Código</t>
  </si>
  <si>
    <t>Incidencia</t>
  </si>
  <si>
    <t>Descripción</t>
  </si>
  <si>
    <t>Prioridad</t>
  </si>
  <si>
    <t>Última Respuesta</t>
  </si>
  <si>
    <t>Responde</t>
  </si>
  <si>
    <t>Fecha Respuesta</t>
  </si>
  <si>
    <t>Cód. de Sucursal</t>
  </si>
  <si>
    <t>Sucursal</t>
  </si>
  <si>
    <t>Técnico Asignado</t>
  </si>
  <si>
    <t>Estado</t>
  </si>
  <si>
    <t>Última Actualización</t>
  </si>
  <si>
    <t>Resuelto por</t>
  </si>
  <si>
    <t>Fecha de Resolución</t>
  </si>
  <si>
    <t>Mensaje de Resolución</t>
  </si>
  <si>
    <t>Categoría</t>
  </si>
  <si>
    <t>Zona</t>
  </si>
  <si>
    <t>Km</t>
  </si>
  <si>
    <t>Valor Hora (USD)</t>
  </si>
  <si>
    <t>Hs Mínimas</t>
  </si>
  <si>
    <t>HS_Tecnica</t>
  </si>
  <si>
    <t>HS_Chat</t>
  </si>
  <si>
    <t>HS_PDF</t>
  </si>
  <si>
    <t>base tecnicos</t>
  </si>
  <si>
    <t>HS_Resolucion</t>
  </si>
  <si>
    <t>HS_Final</t>
  </si>
  <si>
    <t>USD</t>
  </si>
  <si>
    <t>Observaciones_Audit</t>
  </si>
  <si>
    <t>Check</t>
  </si>
  <si>
    <t>Sucursal.1</t>
  </si>
  <si>
    <t>ER 033 y 034 - Falla de válvula, revisar según error</t>
  </si>
  <si>
    <t>Buen día! Contamos en el local con los repuestos para la reparación de la cafetera, las válvulas y sensores que se detallaron en diferentes tk. Para su pronta reparación. Gracias</t>
  </si>
  <si>
    <t>Urgente</t>
  </si>
  <si>
    <t>FAVE</t>
  </si>
  <si>
    <t>Avellaneda</t>
  </si>
  <si>
    <t>Cerrado</t>
  </si>
  <si>
    <t>2026-02-12 01:00:05</t>
  </si>
  <si>
    <t>Bruno Leyes</t>
  </si>
  <si>
    <t>2026-02-07 20:17:09</t>
  </si>
  <si>
    <t>Tiempo de servicio: 5 hrs
Se cambió valvula de sobrepresion con el capuchón, elf3 y kit de oring superior e inferior. También se dejó calibrada  y se ajusto y enderezó la barredora de pastillas. Se le hizo una limpieza especifica al grupo por fuera y por dentro</t>
  </si>
  <si>
    <t>EQUIPOS;CAFETERAS CIMBALI</t>
  </si>
  <si>
    <t>Zona 1 — CABA / GBA Cercano (≤30 km)</t>
  </si>
  <si>
    <t>Skill: Resolución | Skill: Reglas Técnicas</t>
  </si>
  <si>
    <t>ER 008 - Timeout manipulación grupo, falla en bloque mecanico</t>
  </si>
  <si>
    <t>No sale cafe</t>
  </si>
  <si>
    <t>2026-02-14 01:00:06</t>
  </si>
  <si>
    <t>2026-02-09 11:39:12</t>
  </si>
  <si>
    <t>Tiempo de servicio: 1hr
El grupo de la cafetera se encontraba bloqueado por lo q no permitía sacar café,, se saco el grupo y se limpiaron sensores para descartar que haya alguno averiado. Se coloco y activaron los 4 sensores por lo que la cafetera quedo operando correctamente</t>
  </si>
  <si>
    <t>Se compró el repuesto que se solicitó tienen que venir a cambiarlo urgente gracias</t>
  </si>
  <si>
    <t>2026-02-19 01:00:04</t>
  </si>
  <si>
    <t>Lucas Ale</t>
  </si>
  <si>
    <t>2026-02-14 13:57:19</t>
  </si>
  <si>
    <t>Cafetera Avellaneda 
Ticket número :111676
Serie número:1977238
Hora de servicio: 1h
Se realizó el recambio de la resistencia (error 55).
Cafetera operando.</t>
  </si>
  <si>
    <t>Skill: Reglas Técnicas</t>
  </si>
  <si>
    <t>Otros trabajos, detallar en comentarios</t>
  </si>
  <si>
    <t>Puerta automática no funciona no abre ni cierra solo manual hace un mes .</t>
  </si>
  <si>
    <t>Baja</t>
  </si>
  <si>
    <t>Buen día! Hay novedades de este tk??? Gracias</t>
  </si>
  <si>
    <t>Sucursal AVELLANEDA</t>
  </si>
  <si>
    <t>2026-01-30 20:08:01</t>
  </si>
  <si>
    <t>2026-02-25 01:00:04</t>
  </si>
  <si>
    <t>Nahuel Loubiere</t>
  </si>
  <si>
    <t>2026-02-20 19:27:51</t>
  </si>
  <si>
    <t>Estimados, 
Se hablo con Aylen y por el elevado costo, se vera de otras opciones.
Se cierra tk.
Saludos</t>
  </si>
  <si>
    <t>;OTROS</t>
  </si>
  <si>
    <t>ER 025 a 032 - Cableado defectuoso, revisar según error</t>
  </si>
  <si>
    <t>Buen día la cafetera hoy falló y el tobogán se llenó de café húmedo. El dia sábado 14/2 se cambia este repuesto que adjunto para que no suceda este problema y hoy dos semanas después lo volvemos a tener.</t>
  </si>
  <si>
    <t>Fotos</t>
  </si>
  <si>
    <t>2026-02-25 11:47:54</t>
  </si>
  <si>
    <t>2026-03-02 01:00:05</t>
  </si>
  <si>
    <t>2026-02-25 11:48:06</t>
  </si>
  <si>
    <t>Cafetera Avellaneda
Número de ticket:112916
Número de serie:1977238
Hora de servicio: 1h50m
Se encontró con el tobogán lleno de café obstruyendo el paso y eso provocada a que en ves de café salga agua.
Se hizo una profunda limpieza del grupo tanto como el pistón superior e inferior y toda su base.
Se realizó puesta 0 y calibración de las moliendas mm1 y mm2.
Pastillas bien formadas y caen directo al cajón de pozos correctamente.
Se realizó destapacion del matcha.
Observaciones:
-error 54 sensor de temperatura de grupo(no influye su funcionamiento)
-sin filtro en la lanza de té( hace que tire agua caliente por todos lados)
-no cuentan en el kit de limpieza el cepillo para poder limpiar el embudo de la pastilla de lavado y tobogán.
Cafetera operando.
*La última visita se cambió el repuesto del error 55(resistencia de grupo) fue un problema distinto a lo ocurrido de la visita de hoy 25/2 (error 54 actualmente). A lo mismo que el tobogán tapado fueron otro problema.</t>
  </si>
  <si>
    <t>Buenas no sale café en ninguna molienda.</t>
  </si>
  <si>
    <t>FMBOE</t>
  </si>
  <si>
    <t>Boedo</t>
  </si>
  <si>
    <t>2026-02-07 01:00:05</t>
  </si>
  <si>
    <t>2026-02-02 13:19:00</t>
  </si>
  <si>
    <t>Estimados,
Se encuentra el tobogan roto. Se envia cotizacion por el mismo.
Una vez que tengan el repuesto, por favor generar un nuevo tk.
Saludos.</t>
  </si>
  <si>
    <t>Buenas, tobogan roto y barredora doblada</t>
  </si>
  <si>
    <t>2026-02-09 01:00:05</t>
  </si>
  <si>
    <t>Nicolas Franco</t>
  </si>
  <si>
    <t>2026-02-04 18:39:50</t>
  </si>
  <si>
    <t>Cafetera boedo ( 2 horas de trabajo)
Cimbali 1860967
Tiket#110651
Se cambió tobogán y barredor de porra de café , se lubrico sistema de barredora, se armó todo y se realizó todos los lavados pendientes, lam máquina quedó operando</t>
  </si>
  <si>
    <t>Skill: Base Técnicos | Skill: Resolución | Skill: Chat | Skill: Reglas Técnicas</t>
  </si>
  <si>
    <t>Equipo salta el disyuntor o térmica</t>
  </si>
  <si>
    <t>Buen día salta la térmica de la cafetera</t>
  </si>
  <si>
    <t>2026-02-09 14:20:31</t>
  </si>
  <si>
    <t>Tiempo de servicio: 1:30hrs
A la hora de realizar el lavado la cafetera hacia saltar el disyuntor, ya que tenía la valvula de sobrepresion abierta y la salida hacia el desagüe tapado por lo que condensaba el vapor dentro de la cafetera y mojaba cables terminales y resistencias, también se observo fuga de vapor por las boquillas de los acoples de la caldera y la rosca. Se destapó la manguera obstruida de la valvula de sobrepresion se recorto la manguera del acople de la caldera por lo que ya no pierde al moverlo pero si por la rosca de la caldera.
Repuestos a solicitar:
•valvula de sobrepresion
•acople superior de caldera con boquilla de 6mm
•embudo de pastilla de lavado</t>
  </si>
  <si>
    <t xml:space="preserve">ER 066 y 067 - Falta de agua </t>
  </si>
  <si>
    <t>No corta el agua. Error 66</t>
  </si>
  <si>
    <t>2026-02-15 01:00:04</t>
  </si>
  <si>
    <t>2026-02-10 12:10:53</t>
  </si>
  <si>
    <t>Estimados, 
Café n: 1860967
Días de uso 1236
Solicitar volumetrico por falla, se le enseño al local a calibrar volumetrico en caso que falle pero es esporádica la falla.
Se usó limpia contacto y mostró mejoría pero aún persiste la falla.
Cafetera operando
Repuesto volumetrico: 10190
Saludos</t>
  </si>
  <si>
    <t>Buen día, salta la térmica cuando prendo la cafetera.</t>
  </si>
  <si>
    <t>2026-02-21 01:00:04</t>
  </si>
  <si>
    <t>2026-02-16 14:26:07</t>
  </si>
  <si>
    <t>Cafetera boedo
Ticket número: 111940
Serie número:1860967
Hora de servicio: 30m
Se revisó cafetera y se encontró pérdida de vapor por la válvula de seguridad que está abierta por lo tanto va seguir perdiendo vapor seguir condensando el agua y haga saltar diyuntor.
Repuestos: 
-válvula de sobrepresion
-acople superior de caldera con boquilla de 6mm
-embudo de pastilla de lavado
Cafetera inoperativa.</t>
  </si>
  <si>
    <t>FMBLV</t>
  </si>
  <si>
    <t>Bolivar</t>
  </si>
  <si>
    <t>2026-02-25 09:28:02</t>
  </si>
  <si>
    <t>Tk duplicado</t>
  </si>
  <si>
    <t>Zona 3+ — GBA Lejano / Interior (&gt;60 km)</t>
  </si>
  <si>
    <t>Ticket Repetido/Duplicado</t>
  </si>
  <si>
    <t>2026-02-04 19:35:03</t>
  </si>
  <si>
    <t>FCABI</t>
  </si>
  <si>
    <t>Cabildo</t>
  </si>
  <si>
    <t>2026-02-04 19:35:12</t>
  </si>
  <si>
    <t>Cafetera  Cabildo 
Tk n:110586
Hora de servicio: 2h
Se encontró con la cafetera apagada.
Se realizó cambio de válvula de seguridad y se hizo los lavados requeridos.
Se realizó una limpieza profunda muelas y grupo.
Se realizó puesta 0 y calibración de las dos moliendas.
Se calibró leche y espuma.
Observaciones: cafetera en muy mal estado con óxido debido al tanto tiempo parada la cafetera
Se recomienda conseguir filtro de leche para evitar futuros problemas con la bomba / circuito de leche.
Cafetera 2 
Se destapó manguera de matcha
Cafetera operando.</t>
  </si>
  <si>
    <t>Skill: Base Técnicos | Skill: Reglas Técnicas</t>
  </si>
  <si>
    <t>ER 021  y 022 - Anomalía en movimiento de las muelas</t>
  </si>
  <si>
    <t>No sale cafe y está húmedo por dentro</t>
  </si>
  <si>
    <t>2026-02-10 01:00:06</t>
  </si>
  <si>
    <t>2026-02-05 19:40:39</t>
  </si>
  <si>
    <t>Tiempo de servicio: 4;00 hrs
Se le coloco el oring de la valvula de sobrepresion cambiada a la nueva que estaba colocada ya que tenía una pequeña fuga de vapor y humedeció todo el cafe y la maquina, también se destrabo y calibro las muelas en donde se encontró café molido en mal estado obstruyendo la salida. El filtro de la bomba estaba tapado con caucho del mismo flexible por lo cual se lo purgo para que expulse todos los restos qué le quedaban por el momento.
Repuestos a solicitar:
•pico de café
•flexible de bomba de agua 
•sensor de temperatura
•se recomienda cambiar el filtro del agua</t>
  </si>
  <si>
    <t>Skill: Base Técnicos | Skill: Resolución | Skill: Reglas Técnicas</t>
  </si>
  <si>
    <t>Se tapa la cafetera</t>
  </si>
  <si>
    <t>2026-02-05 19:45:06</t>
  </si>
  <si>
    <t>Tiempo de servicio: 4;00 hrs
Se destapó la salida de la cafetera, se calibro.
 Ya quedo operando correctamente ambas cafeteras</t>
  </si>
  <si>
    <t>Hola, buen dia. Una de las cafeteras no se encuentra funcionando correctamente. No sale cafe</t>
  </si>
  <si>
    <t>2026-02-07 15:15:58</t>
  </si>
  <si>
    <t>2026-02-07 15:16:08</t>
  </si>
  <si>
    <t>Cafetera Cabildo 
Tk n: 110888
Serie n 1840650
Hora de servicio 2h
Se encontraron con las cafeteras sin que anden las moliendas.
Se notó que algunas de las tolvas estaban mal colocadas de igual manera se hizo una puesta 0 y calibración ya que la otra molienda estaba mal calibrada.
Se limpió y sacó óxido de la cafetera.
Se repuso tornillo faltante en la rueda dentada ya que no lo tenía.
Observaciones: difusor de café roto 
Cafetera operando.
Cafetera 2 
Se encontró  la cafetera sin que anden las moliendas y fue tambien por mala colocación de tolva mm2.
Se realizó de igual manera puesta 0 y calibración de moliendas ya que el café estaba aguado.
Se destapó matcha lleno de granos de café .
Cafetera operando
(Reveer las recetas de las 2 cafeteras ya que una tiene mucha dosis de café y la otra muy baja)</t>
  </si>
  <si>
    <t>Shake no funciona!</t>
  </si>
  <si>
    <t>2026-02-07 17:06:45</t>
  </si>
  <si>
    <t>Resuelto</t>
  </si>
  <si>
    <t>Muelas de cafetera 2 trabadas más especifico mm1
Cafetera 1 no sale latte ni expreso corto</t>
  </si>
  <si>
    <t>2026-02-14 15:41:39</t>
  </si>
  <si>
    <t>Estimados,
Por favor no duplicar los tk
Saludos</t>
  </si>
  <si>
    <t>Ambas cafeteras se encuentran con una de las moliendas trabadas. Por ejemplo: Cafetera 1: solo sale café con capu/cortado. Cafetera 2: Solo con latte y expreso.</t>
  </si>
  <si>
    <t>2026-02-14 18:47:11</t>
  </si>
  <si>
    <t>Tiempo de servicio: 2:10 hrs
La cafetera se encontraba trabada por pedazo de plástico, se dejó calibrada.
Observaciones: tiene una fuga de vapor en un acople. Pistón superior y kit de oring desgastados, elf 3 faltante 
Repuestos a solicitar:
•acople "T" 1/4 con boquillas de 6mm(racor 1/4)
•elf 3
•pistón superior D.44
•kit de oring de grupo</t>
  </si>
  <si>
    <t>Hola la cafetera esta pidiendo lavado constantemente ,no sale agua ni café, tira el error 8  ,esta así desde las 6am</t>
  </si>
  <si>
    <t>FMCAN</t>
  </si>
  <si>
    <t>Canning</t>
  </si>
  <si>
    <t>2026-02-28 01:00:04</t>
  </si>
  <si>
    <t>Cristian Merlo</t>
  </si>
  <si>
    <t>2026-02-23 16:42:31</t>
  </si>
  <si>
    <t>3 horas de trabajo bajo el concepto de "Mantenimiento Profundo/Desarme", dado que la extracción de sólidos acumulados suele implicar desarmar partes del chasis o el grupo para acceder a zonas críticas.
INFORME DE SERVICIO TÉCNICO
1. DATOS DE LA INTERVENCIÓN
Tiempo de Labor: 03:00 hs.
2. ESTADO DEL EQUIPO
Estado Final: 🟢 OPERATIVA
3. DETALLE TÉCNICO DE LA INTERVENCIÓN
Mantenimiento Correctivo Integral:
Incidencia: El equipo presentaba acumulación severa de residuos que afectaba el funcionamiento de los componentes electromecánicos.
Trabajos Realizados:
Grupo Erogador: Desarme y limpieza profunda del mecanismo del grupo.
Sensores: Limpieza técnica de los sensores (de posición/presencia) para restablecer la lectura correcta y evitar fallas de ciclo.
Chasis/Habitáculo: Se procedió a la extracción manual de residuos sólidos (café compactado/restos) acumulados en el interior del gabinete y zonas de difícil acceso.
4. OBSERVACIONES
El equipo queda limpio y funcionando correctamente tras la intervención.
Repuestos utilizados: Ninguno (Solo mano de obra y limpieza técnica).
Técnico:
Fernando Soria</t>
  </si>
  <si>
    <t>Zona 2 — GBA Medio (30-60 km)</t>
  </si>
  <si>
    <t>ER 003 - Cámara fuera de posición, maquina bloqueada</t>
  </si>
  <si>
    <t>Buenos dias! La cafetera tira error 58 y pide el lavado reiteradas veces. No pertime realizar el lavado</t>
  </si>
  <si>
    <t>FCFQU</t>
  </si>
  <si>
    <t>Carr Quilmes</t>
  </si>
  <si>
    <t>2026-03-01 01:00:04</t>
  </si>
  <si>
    <t>2026-02-24 12:48:02</t>
  </si>
  <si>
    <t>Tiempo de servicio: 3hrs
Cafetera no levantaba temperatura y no permitía hacer lavado. Se limpio circuito de leche la cual estaba lleno de leche condensada por falta del uso de líquido de lavado, se limpio elf3, bomba de leche y esm. Se encontró térmico partido, se tuvo que puentear los terminales hasta que consigan el repuesto. También se observo que la lanza de te no tenía buena salida de agua y la misma salia fría por lo que se procedió a sacar el pescador el cual se encontraba tapado. 
Observaciones: valvula de sobrepresion abierta. ablandador no se encuentra operando, tiene un sistema de filtrado antisarro no muy efectivo.
Repuestos a solicitar:
• Valvula de sobrepresion
•térmico lateral</t>
  </si>
  <si>
    <t>ER 056 - Falla en sensor de temperatura</t>
  </si>
  <si>
    <t>Buenas,al día de la fecha la cafetera no logra realizar el lavado de leche,haciendo que no la podamos utilizar.
Aguardo respuesta, muchas gracias</t>
  </si>
  <si>
    <t>Normal</t>
  </si>
  <si>
    <t>2026-02-06 17:42:15</t>
  </si>
  <si>
    <t>FEZEA</t>
  </si>
  <si>
    <t>Ezeiza</t>
  </si>
  <si>
    <t>2026-02-11 01:00:06</t>
  </si>
  <si>
    <t>2026-02-06 17:42:34</t>
  </si>
  <si>
    <t>Cafetera Ezeiza 
Tk n:110774
Serie n:1980865
Hora de servicio: 3h
Se encontró con la cafetera sin poder hacer lavados.
Se limpió el pescador de la caldera llena de sarro.
Se purgó flexible de agua
Se calibró leche y espuma
Observaciones: error 54 sensor de temperatura de grupo no influye el funcionamiento.
Sin filtro de leche
Revisar filtros o poner nuevos para evitar el sarro. El agua de dureza da 396 👎🏻
No cuentan con la válvula elf3
Repuestos :
Elf3 
Filtro de leche
Cafetera operativa.</t>
  </si>
  <si>
    <t>ER 062 a 065 - Calibrar equipo, filtros obstruidos o falla sensor, según error</t>
  </si>
  <si>
    <t>?</t>
  </si>
  <si>
    <t>2026-02-19 17:53:27</t>
  </si>
  <si>
    <t>FFLOR</t>
  </si>
  <si>
    <t>Flores</t>
  </si>
  <si>
    <t>2026-02-27 01:00:05</t>
  </si>
  <si>
    <t>2026-02-22 16:49:56</t>
  </si>
  <si>
    <t>Sin repuesta del local</t>
  </si>
  <si>
    <t>Buenos días. El día sábado le cambiaron repuestos al equipo y al día de hoy seguimos sin poder sacar café, el técnico que vino el sábado dijo que ayer domingo iba a venir otro técnico pero no vino nadie. Va una semana sin vender café, es realmente urgente.</t>
  </si>
  <si>
    <t>FGRBG</t>
  </si>
  <si>
    <t>Grand Bourg</t>
  </si>
  <si>
    <t>2026-02-04 08:19:05</t>
  </si>
  <si>
    <t>Cafetera grand Burg (10 horas de trabajo) 
Cimbali 1859984
Tiket#1010347
Se encuentra equipo con problemas de circulación de agua continua en el esquipo, haciendo q levanté presión a la hora de realizar el lavado, llegando a 2.1 de presión de caldera, a su vez no salta la válvula de sobre presión (no es normal), por otro lado la cafetera levanta presión antes de calentar lo cual debería ser al revéz, se  trajo cafetera para probar repuesto y sigue sin cambios , se reviso el agua y se notan algunas partículas blanquecinas en el mismo, se dio aviso al gerencial la turno, se purgo flexible reduciendo un poco la presencia del mismo,se tomó la desición de hacer cambio de grupo entre cafetera y dejar de modo temporal máquina de backup , en caso de presentar las mismas fallas se debe a las impurezas del agua q de forma gradual fueron obstruyendo el circuito completo de agua de la cafetera, a la cafetera operando se le puso la cual tiene acople de bomba de agua, grupo completo, tolvas de café, y bandeja de  desagüe de la máquina sin operar, se realizó calibración y puesta cero, se calibro leche y espuma, local vendiendo café.</t>
  </si>
  <si>
    <t>Buenos dias, antes de ayer nos dejaron una cafetera de prestamo, ayer teniamos problema con los cafes ya que salian frios y hoy al intentar prenderla me hizo saltar en varias ocasiones el diyuntor, necesito una solución urgente ya que hace dias venimos con problemas en la cafetera</t>
  </si>
  <si>
    <t>2026-02-05 19:53:07</t>
  </si>
  <si>
    <t>Cafetera grand Burg (2 horas de trabajo)
Cimbali 1842013(cafetera de depo)
Tiket#110729
Equipo con válvula gsol en falso contacto por eso saltaba el disyuntor,se legalizó todos los lavados pendientes y no volvió a saltar el mismo, con respecto a la leche se calibro para q salga más caliente llegando a los 63°,equipo quedó operando</t>
  </si>
  <si>
    <t>ER 055 - Elemento calentador averiado</t>
  </si>
  <si>
    <t>Buenas tardes, el día de ayer nos dejaron una cafetera de préstamo, estaba todo funcionando correctamente hasta el día de hoy que el latte, lágrima y capuchino empezaron a salir fríos, también la cafetera empezó a pedir el lavado de leche a cada 15 minutos aproximadamente. Me podrían dar alguna solucion?</t>
  </si>
  <si>
    <t>2026-02-05 20:11:03</t>
  </si>
  <si>
    <t>Estimados,
Esto fue resuelto por Nicolas Franco
Saludos.</t>
  </si>
  <si>
    <t>Buen dia, ayer realizamos un ticket ya que saltaba el diyuntor al ensender la cafetera, vinieron a verla, supuestamente habia quedado ok y hoy devuelta estoy teniendo el mismo problema, necesito alguna solución urgente</t>
  </si>
  <si>
    <t>2026-02-06 20:59:45</t>
  </si>
  <si>
    <t>Cafetera grand Burg (1 hora de trabajo)
Cimbali de depo (1840208)
Tiket#110853
Cafetera saltaba el disyuntor se testeo  con tierra suelto dando 91v de pérdida, se reviso y era la caldera q quedó en corto por falta de agua, máquina sin operar, se recomienda poner filtros ya q es la segunda cafetera afectada por este tema, de midió dureza de agua dando arriba de los 600.</t>
  </si>
  <si>
    <t>Skill: Resolución | Skill: Chat | Skill: Reglas Técnicas</t>
  </si>
  <si>
    <t>ER 037 y 038 - Falla en sensor, revisar según error</t>
  </si>
  <si>
    <t>Corresponde a la acarameladora que falla y no puede girar</t>
  </si>
  <si>
    <t>FMGUA</t>
  </si>
  <si>
    <t>Gualeguaychú</t>
  </si>
  <si>
    <t>2026-02-14 14:48:25</t>
  </si>
  <si>
    <t>Estimados,
Se reemplaza el equipo por garantia.
Saludos.</t>
  </si>
  <si>
    <t>Pierde agua y salta térmica</t>
  </si>
  <si>
    <t>FGUE</t>
  </si>
  <si>
    <t>Guemes</t>
  </si>
  <si>
    <t>2026-02-06 10:37:24</t>
  </si>
  <si>
    <t>Cafetera guemes
Tk n:110870
Serie n:1977235
Hora de servicio: 1h
Se encontró con la cafetera con perdida de agua.
Se encontró una fuga de vapor por la misma válvula de seguridad que se encuentra abierta.
En consecuencia de eso hace que condense y haya una pérdida de agua por debajo de la cafetera y también salte el diyuntor.
Observaciones: ausencia de puerta trasera y sin filtro de leche
Repuestos: 
-válvula de seguridad
-Puerta trasera
Cafetera inoperativa.</t>
  </si>
  <si>
    <t>Se detalla la supervisora iris con equipo mtm manda fotos y videos respeto a la perdida de agua , cafetera 2 lado catta</t>
  </si>
  <si>
    <t>2026-02-19 17:52:00</t>
  </si>
  <si>
    <t>2026-02-24 01:00:05</t>
  </si>
  <si>
    <t>2026-02-19 17:52:06</t>
  </si>
  <si>
    <t>Cafetera guemes
Ticket número:112232
Serie número:1976012
Hora de servicio 2h:30
Se encontró la cafetera con que saltaba el diyuntor se observó que perdía por el acople rápido de arriba del pistón superior.
El local ya contaba con el repuesto asi que se intercambió por el mismo.
Se sustrajo pistón superior y se limpió ya que estaba tapado.
Se hizo una limpieza en profundidad del grupo.
Se realizó una puesta cero y calibración de las moliendas mm1 y mm2 quedaron en tiempo y calibrado.
Observaciones: 
-cafetera lado izquierdo se encontró apagada por el faltante de repuestos aún.
Cafetera operando.</t>
  </si>
  <si>
    <t>Estimados, buenas tardes.
Solicito la visita de un técnico debido a una falla en el funcionamiento de la molienda 1 de la cafetera. 
Quedamos a la espera de una respuesta.
Desde ya, muchas gracias.</t>
  </si>
  <si>
    <t>Confirmando las condiciones de servicio.</t>
  </si>
  <si>
    <t>2026-02-16 15:12:23</t>
  </si>
  <si>
    <t>FMJCP</t>
  </si>
  <si>
    <t>Jose C paz</t>
  </si>
  <si>
    <t>2026-02-23 17:19:39</t>
  </si>
  <si>
    <t>Buenas tardes, nos confirman que lo siguen con personal propio.
Se cierra el ticket.</t>
  </si>
  <si>
    <t>No contamos con la segunda línea ya que la Pc no funciona la conexión de red</t>
  </si>
  <si>
    <t>FMP3</t>
  </si>
  <si>
    <t>La Perla</t>
  </si>
  <si>
    <t>2026-02-07 21:14:06</t>
  </si>
  <si>
    <t>Estimados,
Esto no corresponde a mantenimiento. Ver con sistemas.
Saludos.</t>
  </si>
  <si>
    <t>Buenas tardes, el café sale corto y aguado. No sale la espuma correspondiente y a su vez no contamos con el filtro de la leche</t>
  </si>
  <si>
    <t>2026-02-10 15:59:29</t>
  </si>
  <si>
    <t>2026-02-10 15:59:38</t>
  </si>
  <si>
    <t>Cafetera La Perla
Ticket número: 111046
Serie número: 1970905
Hora de servicios: 2h
Se encontró la cafetera con los cafés aguados.
Se realizó una puesta cero y calibración de las moliendas mm1 y mm2. Cafés cálidad y espumoso.
Se revisó todo lo que es el circuito de la espuma y se encontró el chicler hacia la bomba de leche al revés, se sustrajo,se limpió y colocó correctamente.
Se limpió matcha(manguera tapada y colocada incorrectamente) ya okey.
Deslizador y resorte roto no cae bien las pastillas al pozo y eso provoca que caiga café por toda la cafetera y perjudique al equipo.
Observaciones: 
-Se observó deslizador y resorte roto hacia el cajón de pozos (cambiarlo)
-Sin filtro de leche(eso afecta a la vida útil de la bomba de leche)se recomienda conseguirlo.
-tolvas mm1 y mm2 rotas se recomiendan conseguirlas nuevas.
-moliendas mm1,mm2 inferior y superior gastadas se recomienda cambiarlo. 
Repuestos: 
-Filtro de leche
-kit de moliendas
-deslizante y resorte hacia cajón de pozos 
-tolvas mm1 y Mm2
-elf2
Cafetera operando.</t>
  </si>
  <si>
    <t>Salta la termica porque el agua pierde y sale por otro lado y no hace ningun cafe</t>
  </si>
  <si>
    <t>FLPCA</t>
  </si>
  <si>
    <t>La Plata 2</t>
  </si>
  <si>
    <t>2026-02-23 21:57:17</t>
  </si>
  <si>
    <t>Estimados,
Esto fue resuelto por el local
Saludos.</t>
  </si>
  <si>
    <t>Resuelto por el Local (0 HS)</t>
  </si>
  <si>
    <t>Buenass se nos traban las moliendas y la cafetera dice error 55</t>
  </si>
  <si>
    <t>FLPC4</t>
  </si>
  <si>
    <t>La Plata 4</t>
  </si>
  <si>
    <t>2026-02-05 01:00:04</t>
  </si>
  <si>
    <t>2026-02-01 00:38:31</t>
  </si>
  <si>
    <t>Se destrabo moliendas y se reviso la valvula de seguridad de la caldera por pérdida de vapor. También se observo que tira error 55 que se debe a la falla en la resistencia del grupo lo que no permite levantar temperatura en el grupo de la cafetera  y tenía perdida de agua en un costado, ocasionado por el embudo del matcha tapado
Solicitar repuestos:
•resistencia de grupo
•valvula de sobrepresion 
•capuchón de valvula de sobrepresion</t>
  </si>
  <si>
    <t>Hola!! Las molienda siguen trabándose mucho. Las muelas son nuevas .</t>
  </si>
  <si>
    <t>2026-02-08 13:46:10</t>
  </si>
  <si>
    <t>2026-02-13 01:00:05</t>
  </si>
  <si>
    <t>2026-02-08 13:46:17</t>
  </si>
  <si>
    <t>Cafetera la plata 4
Tk n:111049/110923
Serie n:1856450
Hora de servicio: 3h30m
Se encontró con la cafetera destrabada.
De igual manera se hizo una puesta cero y calibración de las dos moliendas.
Pastillas salian muy grueso ya ok
Se observó una fuga de vapor sobre la válvula de seguridad y capuchón en mal estado.
Leche no llena la cantidad correcta.
Se limpió bomba de leche, válvula esm, embudo , chicler se hizo un lavado de todo el circuito de leche se recomienda cambiar la bomba de leche.
Matcha tapado eso hacía que en cada lavado de soluble, rebalse,filtre por la cafetera y pierda agua por debajo.
Observaciones: sin filtro de leche  eso influye a la vida útil de la bomba de leche, se recomienda conseguirlo
Error 55 resistencia de grupo en falla(no influye su funcionamiento)
No tiene la tapa trasera
Repuestos:
bomba de leche
válvula de seguridad 
Capuchón 
Filtro de leche
Resistencia de grupo 
Cafetera operando.</t>
  </si>
  <si>
    <t>ER 059 a 061 - Problemas con el suministro de agua del equipo</t>
  </si>
  <si>
    <t>Buen día! La cafetera pierde agua por la parte de abajo. Y salta la térmica. Por favor solicito revisión</t>
  </si>
  <si>
    <t>2026-02-08 13:46:30</t>
  </si>
  <si>
    <t>Buenos días, generamos tk para la revisión y colocación de los filmsback luminosos. Gracias</t>
  </si>
  <si>
    <t>2026-02-08 17:04:56</t>
  </si>
  <si>
    <t>Buen día, además del error sigue saliendo agua por abajo de la cafetera derramando café</t>
  </si>
  <si>
    <t>Estimados, 
Esto fue resuelto?
Saludos.</t>
  </si>
  <si>
    <t>2026-02-16 13:15:26</t>
  </si>
  <si>
    <t>2026-02-23 08:37:43</t>
  </si>
  <si>
    <t>Se cierra tk por falta de comunicacion
Saludos</t>
  </si>
  <si>
    <t>Buenas tardes, solicito a la brevedad una visita ya que la molienda se encuentra trabada y no sale el café</t>
  </si>
  <si>
    <t>FLF2</t>
  </si>
  <si>
    <t>Laferrere 2</t>
  </si>
  <si>
    <t>2026-02-08 01:00:04</t>
  </si>
  <si>
    <t>2026-02-03 17:48:21</t>
  </si>
  <si>
    <t>Cafetera laferrere
Tk n: 110413
Serie n: 1970907
hora de servicio: 1h:30m
Cafetera se encontró con tolva mm2 trabada y leche fría.
Se realizo puesta 0 y calibración de dicha molienda.
Se realizó un lavado de todo el circuito de leche 
Observaciones: 
Tolva mm2 rota
barredor doblado
Cafetera operando.</t>
  </si>
  <si>
    <t>Buenos días, pierde agua por debajo no sale café y salta la térmica</t>
  </si>
  <si>
    <t>FMLAC</t>
  </si>
  <si>
    <t>Lanus 2</t>
  </si>
  <si>
    <t>2026-02-05 14:36:11</t>
  </si>
  <si>
    <t>Estimados,
Se cambia racor de cámara de grupo. También se destraba molienda mm1
Saludos</t>
  </si>
  <si>
    <t>No sale leche</t>
  </si>
  <si>
    <t>2026-02-22 16:48:56</t>
  </si>
  <si>
    <t>Cafetera Lanús 
Número de ticket:112540
Número de serie:1856434
Hora de servicio:40m
Se encontró la cafetera con que salía leche.(solucionado por el local)
Se calibró leche y espuma.
Se realizó calibración de la molienda mm1 ya que no salía en tiempo y pastillas rotas.
Observaciones:
-se encontró pérdida de agua por pinchadura de la manguera de desagote azul, se le colocó algo provisorio para que pierda lo menos posible hasta conseguir la manguera.
-sin filtro de leche se recomienda conseguirlo ya que influye en la vida útil de la bomba de leche.
-tapa de embudo de pastilla de lavado rota.
Repuestos: manguera de Desagote azul
Cafetera operando.</t>
  </si>
  <si>
    <t>Pieza perdida o rota</t>
  </si>
  <si>
    <t>Buenas noches, 
La cafetera pierde agua. 
Repuesto pedido anteriormente: Manguera de desagote azul ya presente en el local.</t>
  </si>
  <si>
    <t>2026-02-28 14:17:16</t>
  </si>
  <si>
    <t>Cafetera lanus (2 horas de trabajo)
Tiket#113030
Se realizó cambio de manguera azul, se realizó todos los lavados para verificar , no pierda y se calibro leche, falta filtro de leche al equipo,equipo operando con normalidad</t>
  </si>
  <si>
    <t>Ambas moliendas trabadas</t>
  </si>
  <si>
    <t>Las moliendas siguen las dos trabadas</t>
  </si>
  <si>
    <t>Sucursal Liniers</t>
  </si>
  <si>
    <t>2026-02-04 10:57:44</t>
  </si>
  <si>
    <t>FLINR</t>
  </si>
  <si>
    <t>Liniers</t>
  </si>
  <si>
    <t>2026-02-05 19:47:03</t>
  </si>
  <si>
    <t>Cafetera Liniers (2 horas de trabajo)
Cimbali 1842009
Tiket#110518
Se encontró mm1 trabada con café viejo y duro se realizó calibración y puesta cero, se encontró grupo con exceso de café tanto arriba como abajo, vaciar el cajón cuando el equipo lo pida, equipo opersndo</t>
  </si>
  <si>
    <t>No sale café de ninguna de las dos moliendas.</t>
  </si>
  <si>
    <t>2026-02-10 15:51:54</t>
  </si>
  <si>
    <t>Estimados,
Se destraban moliendas. Se recomienda cambio de lo siguiente: Cambio de kit pistón y grupo.
Cambio de coolers ( debido a que el equipo sobrecalienta mucho causando condensación). 
Cambio de spot (lanzador) de leche. 
Saludos,</t>
  </si>
  <si>
    <t>Buenas tardes, se traban las moliendas a cada rato.</t>
  </si>
  <si>
    <t>2026-02-17 01:00:05</t>
  </si>
  <si>
    <t>2026-02-12 18:55:20</t>
  </si>
  <si>
    <t>Tiempo de servicio: 1 hr
Se destrabaron moliendas, se limpio y se calibraron ambas. En espera de repuestos para cerrar el tema</t>
  </si>
  <si>
    <t>Buenas noches, la cafetera esta haciendo saltar un disyuntor</t>
  </si>
  <si>
    <t>2026-02-20 14:58:11</t>
  </si>
  <si>
    <t>2026-02-20 14:58:23</t>
  </si>
  <si>
    <t>Cafetera Liniers
Ticket número:112385
Serie número:1842009
Hora de servicio: 2h:40m
Se encontró con la cafetera donde saltaba el diyuntor.
Se encontró cables empalmados del protector térmico de la caldera grande costado derecho quemado.
Conector molex 4 pines quemado 
Se intercambió con algo provisorio y duradero , se recomienda conseguir el repuesto.
Moliendas mm1 y mm2 ok.
Leche ok
Observaciones:
Se observó que no tienen el líquido azul ginza.
Se recomienda conseguirle ya que ayuda a mantener vida útil de todo el circuito de leche(bomba, válvulas, etc).
-poco caudal de agua y tibio por la lanza de té (caldera con sarro)
Se recomienda coordinar una visita y limpiar el pescador ya que va llegar un momento que la máquina se va bloquear y no va dejar hacer lavado.
Repuestos: 
-protector térmico 
-conector molex 4pines
Cafetera operando.</t>
  </si>
  <si>
    <t>Hace 2 dias cambiaron varios repuestos,  no anda la mm1 y encima quedó como desconectada la vaporera de la leche y sale vapor por cualquier lado. Lo arreglaron a medias</t>
  </si>
  <si>
    <t>2026-02-28 13:41:21</t>
  </si>
  <si>
    <t>Tiempo de servicio: 3 hrs
Se encontró mangueras sueltas del barometro y lanza de vapor, se limpio todo el exceso de café en toda la cafetera. Se destrabo moliendas, se le realizo puesta a 0 y se calibraron. Se le reguló cantidad de café y presión de la bomba de agua
Observaciones: térmico lateral puenteado y valvula em estaba teniendo una pérdida de agua ya que estaba demasiado tirante la manguera.
Repuestos a solicitar:
•térmico lateral</t>
  </si>
  <si>
    <t>Están los repuestos para cambiar.</t>
  </si>
  <si>
    <t>2026-02-28 14:09:15</t>
  </si>
  <si>
    <t>Cafetera Liniers (5 horas de trabajo)
Tiket#113021
Cambio de kit de grupo completo y cooler, se calibro leche y quedó operando</t>
  </si>
  <si>
    <t>Estimados, solicitamos la colocación del cuadro luminoso en la parte frontal del local Lomas Auto 
 Quedo a disposición.</t>
  </si>
  <si>
    <t>FLOA</t>
  </si>
  <si>
    <t>Lomas Auto</t>
  </si>
  <si>
    <t>2026-02-04 21:39:59</t>
  </si>
  <si>
    <t>Cartel colocado.
Saludos.</t>
  </si>
  <si>
    <t>No se llenan los cafés , la leche sale sin espuma</t>
  </si>
  <si>
    <t>2026-02-10 23:42:12</t>
  </si>
  <si>
    <t>FMDQG</t>
  </si>
  <si>
    <t>Los Gallegos</t>
  </si>
  <si>
    <t>2026-02-10 23:42:46</t>
  </si>
  <si>
    <t>Cafetera Los Gallegos
Ticket número: 111057
Serie número: 2037121 / 2037121
Hora de servicio: 3h 20m
Cafetera 1
Se encontro la cafetera aguados, sin llenar los cafés y sin espuma.
Se hizo una puesta 0 y calibración de las moliendas mm1 y mm2. Cafés de calidad y espumoso
Se calibró todos las recetas de los café.
Se reguló ,calibró leche y espuma
Pastillas ya no salen partidas
Observaciones:
-base de matcha roto 
-vidrio de sensores de la tolva roto
Repuestos:
-protector térmico 
Cafetera operando.
Cafetera 2
Se hizo una puesta 0 y calibración de las moliendas mm1 y mm2. Cafés de calidad y espumoso.
Se calibró leche y espuma.
Se calibraron recetas de café bajo autorización de supervisores ya que salían cortos.
Observaciones:
Se recomienda conseguir filtro en la lanza de te
Cafetera operando.</t>
  </si>
  <si>
    <t>Buenas nesesito que vengan a ver la cafetera 
Pierde agua y se traban muccho las miliendas</t>
  </si>
  <si>
    <t>2026-02-24 16:31:30</t>
  </si>
  <si>
    <t>FLUJA</t>
  </si>
  <si>
    <t>Lujan</t>
  </si>
  <si>
    <t>2026-02-24 16:31:38</t>
  </si>
  <si>
    <t>Cafetera Luján 
Número de ticket:111762
Número de serie:no tiene
Hora de servicio: 2h30m
Se realizó una puesta 0 y calibración de las moliendas mm1 y mm2.
Se revisó posible pérdida de agua y se encontró la manguera de cristal de desagote suelta mojando todo por debajo de la cafetera.
Se realizó calibración de leche y espuma ya que estaban por debajo de lo que tiene que ir.
Observaciones: moliendas -inferior como superior desgastadas.
-Elf 3 en desuso
-protector térmico partido de la caldera chica, cables empalmado.
-sin filtro en la lanza de té (salpica el agua caliente por todos lados)
-sin tapa trasera (se recomienda que la encuentre o consigan la tapa)
Repuestos:
-protector térmico 
-kit de moliendas
Cafetera operando.</t>
  </si>
  <si>
    <t>Buenas tardes.
Solicito el adaptador de carnes junior para broiler JF64.
Muchas gracias</t>
  </si>
  <si>
    <t>FMDQ4</t>
  </si>
  <si>
    <t>Mar del plata peatonal</t>
  </si>
  <si>
    <t>2026-02-10 23:37:59</t>
  </si>
  <si>
    <t>Resuelto por el local</t>
  </si>
  <si>
    <t>Otras fallas, indicar número de falla</t>
  </si>
  <si>
    <t>Marca error 8</t>
  </si>
  <si>
    <t>2026-02-14 15:45:48</t>
  </si>
  <si>
    <t>Resuelto atraves de ayudan remot</t>
  </si>
  <si>
    <t>FMMSM</t>
  </si>
  <si>
    <t>Mendoza Centro</t>
  </si>
  <si>
    <t>2026-02-01 00:35:35</t>
  </si>
  <si>
    <t>Se cierra tk ya que se encuentra triplicado. Saludos.</t>
  </si>
  <si>
    <t>ER 058 - Falla en sonda de nivel</t>
  </si>
  <si>
    <t>2026-02-01 00:35:47</t>
  </si>
  <si>
    <t>Paso el tecnico de Propios por el local y lo estaban viendo con Advance.
Saludos,</t>
  </si>
  <si>
    <t>2026-02-24 07:46:04</t>
  </si>
  <si>
    <t>2026-02-24 07:46:07</t>
  </si>
  <si>
    <t>Buenas tardes, solicito un técnico para ver los siguientes inconvenientes de ambas cafeteras: 
Cafetera 1: falta el pastico de ajustes de los recipientes, Limpieza interna 
Temperatura de agua y leche 
Mm 1 Est trabada cafetera derecha
Cafetera 2 temperatura de agua y leche, espuma de leche. 
Aguardo respuesta, gracias.</t>
  </si>
  <si>
    <t>2026-02-13 19:38:37</t>
  </si>
  <si>
    <t>FMERL</t>
  </si>
  <si>
    <t>Merlo</t>
  </si>
  <si>
    <t>2026-02-18 01:00:05</t>
  </si>
  <si>
    <t>2026-02-13 19:39:02</t>
  </si>
  <si>
    <t>Cafetera Merlo
Ticket número:111623
Serie número: 1851681/ 1969719
Hora de servicio: 10h
Se hizo limpieza de las dos calderas, pescador lleno de sarro.
Se hizo puesta cero y calibración de las moliendas mm1 y mm2 en las dos cafeteras.
Se hizo una limpieza en lo que es el circuito de leche.
Se purgó flexible de la cafetera 2(frente Taylor) se recomienda cambiarlo.
Se tuvo que puentear un protector térmico de la caldera chica
Se tomó la dureza del agua 75 ppm (buen estado👍🏻)
Se limpió filtro de bomba lleno de caucho.
Se hizo limpieza en profundidad de grupo de las dos cafeteras.
Observaciones:
-se encontró una fuga por el tapón de la caldera grande, se sustrajo se colocó el orring correctamente y se agregó teflon.
-moliendas de las 2 cafeteras desgastadas tanto como la inferior como la superior se recomiendan pedir dos kit de moliendas.
-bomba de leche sin fuerza
-elf 3 en desuso
Repuestos:
-bomba de leche
-elf3 (x2)
-esm
-kit de moliendas (2kit)
-protector térmico x1
-puerta tolva izquierda y derecha
-flexible para la cafetera 2(frente Taylor 
REVEER RECETAS
Cafeteras operando.</t>
  </si>
  <si>
    <t>Buenos días, genero tk ya que tengo ambas cimballis inoperativas, una esta fría, no calienta, no sale leche ni café. La otra no sale leche, necesito mto urgente por favor</t>
  </si>
  <si>
    <t>2026-02-21 12:03:12</t>
  </si>
  <si>
    <t>2026-02-26 01:00:07</t>
  </si>
  <si>
    <t>2026-02-21 12:03:19</t>
  </si>
  <si>
    <t>Cafetera Merlo
Ticket número:112537
Serie número:1969719/1851681
Hora de servicio: 2h30m
Se encontró con una cafetera sin temperatura y la otra sin que salga leche.
Cafetera 1
Se reinició protector térmico de la caldera grande (ya pedido el repuesto)
Cafetera operando.
Cafetera 2
Se desarmó bomba de leche ya que se encontraba tapado se recomienda colocar el líquido azul ginza en todos los lavados del circuito de leche.
Se realizó lavado completo de circuito de leche.
Cafetera operando.
Repuestos pendientes:
-bomba de leche
-elf3 x2
-esm
-kit de moliendas(2kit)
-protector térmico x1
-puerta tolva izquierda y derecha
-flexible para la cafetera 2(frente Taylor)</t>
  </si>
  <si>
    <t>Hola buena, genero tk para que puedan venir a colocar la caterlera de luz !</t>
  </si>
  <si>
    <t>2026-02-26 15:09:48</t>
  </si>
  <si>
    <t>Buenas tardes, nos confirman que no esta disponible el cartel luminoso, si lo reciben vuelvan a generar un nuevo ticket. Saludos,</t>
  </si>
  <si>
    <t>falla a la hora de salir café</t>
  </si>
  <si>
    <t>2026-02-26 17:08:11</t>
  </si>
  <si>
    <t>2026-02-26 17:08:18</t>
  </si>
  <si>
    <t>Cafetera Merlo
Número de ticket:112874
Número de serie:1969719/1851681
Hora de servicio:6h
Cafetera 1:
Se cambiaron repuestos:
ELF1
EM se intercambió por la EV
Flexible red de agua
Protector térmico 
Repuestos:
-kit de moliendas
Cafetera operando.
Cafetera 2:
Se realizó cambio de moliendas mm1 y mm2 tanto inferior como superior.
Se realizó puesta 0 y calibración de las moliendas.
Se colocó ELF3
Cafetera operando</t>
  </si>
  <si>
    <t>Se engachó o no gira la cadena del unico equipo del local, sin equipos operativos</t>
  </si>
  <si>
    <t>Hola buenos dias, la acarameladora me quema los panes, tienen los botones reguladores falseados!</t>
  </si>
  <si>
    <t>Hola me pueden brindar algun número para comunicarme o decirme si fue resuelto por el local? Gracias</t>
  </si>
  <si>
    <t>2026-02-20 14:23:51</t>
  </si>
  <si>
    <t>2026-02-28 15:01:07</t>
  </si>
  <si>
    <t>Estimados,
Se cierra tk.
Saludos.</t>
  </si>
  <si>
    <t>EQUIPOS;BROILER</t>
  </si>
  <si>
    <t>Hola, buenos días.
Informamos inconveniente con la cafetera Cimbali. El equipo no llega a la temperatura necesaria, por lo que no se pueden realizar cafés ni utilizar la cafetera de ninguna forma.
Este problema ya fue revisado en una visita anterior y quedó pendiente la revisión de la caldera.
Solicitamos una visita urgente para poder solucionar el inconveniente y restablecer el funcionamiento del equipo.
Desde ya, muchas gracias.</t>
  </si>
  <si>
    <t>2026-02-04 15:25:44</t>
  </si>
  <si>
    <t>FMGRA</t>
  </si>
  <si>
    <t>Monte Grande</t>
  </si>
  <si>
    <t>2026-02-04 15:30:06</t>
  </si>
  <si>
    <t>Cafetera monte grande
Tk n:110366
Hora de servicio: 4h
Se encontró con la cafetera no levantaba temperatura y tenía poco caudal de agua.
se limpió la caldera grande lleno de sarro.
Se limpiaron 3 chicler de las válvulas evc y circuito de agua.
Se calibró leche ya que salía mal.
Cafetera operando.</t>
  </si>
  <si>
    <t>Hola buen dia! El dia 4/2 #110366 recibimos la visita técnica y el dia de hoy la máquina pide lavado y sale agua por debajo,a su vez una manguera se encuentra salida,salta la termina y se encuentra en corto,solicito una visita técnica y de ser posible no enviar al mismo técnico,gracias</t>
  </si>
  <si>
    <t>2026-02-12 15:43:48</t>
  </si>
  <si>
    <t>Tiempo de servicio: 11 hrs
Se reviso caldera, resistencia, valvula evc y se reviso cableado. Tenía una fase sulfatada y cortada dentro del toma corrientes lo que no permitía activar el llenado de la caldera y la resistencia se coloco el térmico superior ya que estaba en buen estado, pero el térmico lateral estaba clavado y se quebró.
Repuestos a solicitar:
• 2 sensores de temperatura 
• 2 pistones superiores de grupo
• kit de oring de grupo
• protector térmico lateral
•filtro de lanza de te</t>
  </si>
  <si>
    <t>Hola buenas noches,el día de hoy nos encontramos utilizando una cafetera ya que la otra tiene problemas con el suministro de agua nuevamente,ya vinieron a verla anteriormente y seguimos con el mismo problema</t>
  </si>
  <si>
    <t>2026-02-23 17:12:06</t>
  </si>
  <si>
    <t>El informe del 4 de febrero (Ticket #110366) para Monte Grande indica que se resolvieron los problemas de poco caudal de agua y la cafetera quedó "operando". Posteriormente, el 10 de febrero (#111205), se ratifica que las cafeteras de ese local quedaron calibradas y operando correctamente.</t>
  </si>
  <si>
    <t>Hola buenas tardes,una de las cafeteras no tuene temperatura del 18/2 hasta el momento ya realice un tik anteriormente #112256</t>
  </si>
  <si>
    <t>2026-02-25 13:25:20</t>
  </si>
  <si>
    <t>Cafetera monte grande (3 horas de trabajo)
Cimbali 1970908
Tiket#113985
Se reviso equipo q no levantaba presión de caldera y según el local el equipo daba descargas, se fijó bien el cable a tierra, se conecto terminal suelto en parte inferior de la caldera de vapor, y se aislaron cables del protector termico superior q estaban todos abiertos, protector termico lateral se encontró puenteado se recomienda colocar uno para evitar daño de la caldera a futuro, se prendió y levantó temperatura y presión correctamente, se realizó todos los lavados pendientes, se midió fuga y el equipo fugaba 0,15 v, quedando óptima para operar sin riesgo de descarga, se realizó puesta cero y se encontró con muelas muy gastadas, se reviso el grupo y la pastilla salía toda mojada y desarmada, el equipo requiere cambio de orings completo ya q esto afecta al producto final, por otro lado se encontró vitrina mostrador dando descargas de 40v requiere revisión ya q si se manipula la cafetera mientras tocan la vitrina puede generar una descarga eléctrica 
Repuestos a cotizar:
Protector termico lateral
Kit E1
KitB
Kit de muelas</t>
  </si>
  <si>
    <t>No sale café</t>
  </si>
  <si>
    <t>FMONC</t>
  </si>
  <si>
    <t>Once</t>
  </si>
  <si>
    <t>2026-02-06 01:00:04</t>
  </si>
  <si>
    <t>2026-02-01 08:40:08</t>
  </si>
  <si>
    <t>Cafetera once (2horas de trabajo)
Cimbali 1969712
Tiket#110153
Se encontro cafetera con mucha humedad en tolvas y tapa superior, tobogán tapado y obstruido por café húmedo, se realizó una limpieza, puesta cero y calibración del equipo, encontrando muelas muy gastadas al punto de dejarlas casi en cero para poder hacer q muelan de calidad, se regulo leche y espuma, equipo operando
Recomendaciones: cambiar válvula de sobre presión ya q la misma es la q está largando vapor hacia el interior de la máquina, cambiar muelas ya q las usadas actualmente están muy gastadas sumado al tema del vapor de la válvula de seguridad se llene el grupo de humedad tapando todo el grupo evitando operar con normalidad 
Repuestos: 
válvula de sobre presión 
Kit de muelas</t>
  </si>
  <si>
    <t>Hola buen día, el café no sale espuma sale mira agua</t>
  </si>
  <si>
    <t>2026-02-07 13:40:30</t>
  </si>
  <si>
    <t>No sale leche, solo vapor</t>
  </si>
  <si>
    <t>2026-02-14 14:19:11</t>
  </si>
  <si>
    <t>Estimados, 
Ya se encuentra realizado un tk por el mismo tema. Por favor no duplicarlos y hacerlos en la categoria correspondiente.
Saludos,</t>
  </si>
  <si>
    <t>No sale leche, solo sale vapor</t>
  </si>
  <si>
    <t>2026-02-14 14:20:07</t>
  </si>
  <si>
    <t>Estimados,
Se cierra tk ya que se encuentra triplicado.
Saludos.</t>
  </si>
  <si>
    <t>2026-02-14 15:41:29</t>
  </si>
  <si>
    <t>Cafetera once
Ticket número:111777
Serie número:1969712
Hora de servicio: 1h
Se hizo un lavado de todo el circuito de leche.
Se calibró espuma y leche.
Observaciones: 
-elf 3 en desuso
-Sin filtro de leche al momento de llegar
Repuesto:
-Elf3
Cafetera operando</t>
  </si>
  <si>
    <t>Buenas tardes en el equipo no dale café,ponemos la opción y no sale agua tampoco 
,</t>
  </si>
  <si>
    <t>2026-02-22 15:44:13</t>
  </si>
  <si>
    <t>2026-02-22 15:44:19</t>
  </si>
  <si>
    <t>Cafetera once
Número de ticket:112622
Número de serie:1969712
Hora de servicio: 3h
Se encontró el pistón inferior todo desarmado, se sustrajo grupo y se intentó armar nuevamente pero hace falta prisionero para que trabe y pueda bajar y subir el grupo correctamente.
Se fue a comprar al easy para dejarla momentáneamente funcionando hasta que se consiga el repuesto pero no quedó ok.
Repuestos: pistón inferior 
Cafetera inoperativa.</t>
  </si>
  <si>
    <t>Horno de práctica,  no tuesta bien el pan. Tarda mucho y sale un error de magnetron</t>
  </si>
  <si>
    <t>2026-02-22 16:51:31</t>
  </si>
  <si>
    <t>Solucionado por el coordinador de mantenimiento Nahuel .</t>
  </si>
  <si>
    <t>Cambiar repuesto ya se encuentra en el local</t>
  </si>
  <si>
    <t>2026-02-24 13:05:44</t>
  </si>
  <si>
    <t>Cafetera Once
Número de ticket:112834
Número de serie:1969712
Hora de servicio:2h
Se intercambio repuesto pistón inferior, orrings y se colocó correctamente el prisionero.
Se revisó circuito de leche ya que no salía.
Válvula ED estaba desconectados los cables.
No salia café.
Manguera cristal toda llena de café, se limpió y sale ahora correctamente.
Se hizo los lavados correspondientes.
Cafetera operando.</t>
  </si>
  <si>
    <t>Dos microondas sin calentar</t>
  </si>
  <si>
    <t>FPMPI</t>
  </si>
  <si>
    <t>Palmas del Pilar</t>
  </si>
  <si>
    <t>2026-02-02 12:39:49</t>
  </si>
  <si>
    <t>Estimados,
Esto fue resuelto por Service Partner
Saludos.</t>
  </si>
  <si>
    <t>Hola! No me funciona el horno. Prende pero el motor no arranca.</t>
  </si>
  <si>
    <t>Buenos días,
Nos podrán brindar un número de contacto por favor?
Muchas gracias</t>
  </si>
  <si>
    <t>2026-02-14 13:13:20</t>
  </si>
  <si>
    <t>2026-02-14 14:46:28</t>
  </si>
  <si>
    <t>Estimados,
Se habla con Raul y comenta que esto fue resuelto.
Saludos.</t>
  </si>
  <si>
    <t>Buenas tardes! Las moliendas no muelan el café!</t>
  </si>
  <si>
    <t>Voy a necesitar por favor si se puede acercar un técnico al local. Mi asistente está operando y se le complica ponerse a arreglar la cafetera.... gracias</t>
  </si>
  <si>
    <t>Sucursal PALMAS PILAR</t>
  </si>
  <si>
    <t>2026-02-25 14:38:13</t>
  </si>
  <si>
    <t>2026-02-25 18:54:48</t>
  </si>
  <si>
    <t>Cafetera Palmas del Pilar
Número de ticket:112975
Número de serie:1842014
Horario de servicio:30m
Se realizó puesta 0 y calibración de las moliendas mm1 y mm2.
Se hizo limpieza del grupo pistón superior como inferior.
Cafetera operando.</t>
  </si>
  <si>
    <t>Ambas cafeteras dejan los cafés sin rellenar.
Pastillas de café salen incompletas y rotas.
Suele saltar la térmica de la cafetera izquierda</t>
  </si>
  <si>
    <t>2026-02-11 18:23:12</t>
  </si>
  <si>
    <t>FMDQ2</t>
  </si>
  <si>
    <t>Paseo Aldrey</t>
  </si>
  <si>
    <t>2026-02-16 01:00:05</t>
  </si>
  <si>
    <t>2026-02-11 18:23:19</t>
  </si>
  <si>
    <t>Cafetera Paseo Aldrey
Ticket número:111049
Serie número:1841653
Hora de servicio: 6h
Realizando la puesta 0 y calibración de la molienda mm1 y molienda mm2 , saltó el diyuntor por un mal empalme de que ya tenía e hizo maza con la tapa.
Se empalmó correctamente el cable y quedó la tapa y el conector de la mm1 OK.(se recomienda cambio)
Al colocar todo nuevamente prender el equipo pasaba que empezaba a moler la mm1 apenas de prender el equipo.
Se realizó descartes sacándole repuestos de la otra cafetera y resuelta que no está funcionando del todo bien la triac.
Se intercambió la triac del otro equipo y quedó funcionando correctamente.
Se armó nuevamente el otro equipo con sus respectivas repuestos y dejarla tal cual como estaba, ya sabiendo cuál era el problema.
Quedan con una cafetera hasta conseguir los repuestos.
Al único equipó operativo se realizó puesta 0 y calibración de las moliendas mm1 y mm2.
Se calibraron todos los cafés y también la espuma.
Repuestos: 
-triac
-cable mm1 con sus respectivos switch 
Observaciones:
-tolva de café rota
Local paseo aldrey operando con 1 sola cafetera.</t>
  </si>
  <si>
    <t>- Bases de carteles lijar y pintar , atornillar los nuevos🔴
- ⁠Arreglar enchufes de cocina🔴
- ⁠Arreglar durlok de escalera🔴
- ⁠Arreglar techo de luces de cocina🔴
- ⁠Pintar columnas 
- ⁠Cambiar portafoco de bin de papas y asegurar luces🔴
- ⁠Colocar carteles luminosos🔴
- ⁠Pintar estante d pedidos dely
- ⁠Poner gomas antideslizantes en escalera de Pepsi🔴
- ⁠regular cierre de la puerta de heladera de cocina🔴
- ⁠Cerrar abertura en el frezer de papas
- ⁠Botoneras de freidoras
- ⁠Rellenar cerámicos rotos de  privado y producción
- ⁠Poner abrazaderas a las cañerías de bacha
- ⁠destapar mangueras de desatores de aires</t>
  </si>
  <si>
    <t>FMCPE</t>
  </si>
  <si>
    <t>Plaza España</t>
  </si>
  <si>
    <t>2026-02-05 14:37:46</t>
  </si>
  <si>
    <t>Estimados 
Se cierra tk ya que se estará realizando con mantenimiento de propios.
Saludos</t>
  </si>
  <si>
    <t>El café no cumple con la calidad y la calibración del café no es la correcta.</t>
  </si>
  <si>
    <t>FMPYA</t>
  </si>
  <si>
    <t>Pompeya</t>
  </si>
  <si>
    <t>2026-02-05 20:11:53</t>
  </si>
  <si>
    <t>Estimados,
Se destraba molienda y se calibra equipo
Saludos.</t>
  </si>
  <si>
    <t>Cafetera presenta anomalías y pide el lavado reiterada veces, además tiene el armazón izquierdo fuera de posición.</t>
  </si>
  <si>
    <t>2026-02-20 18:55:56</t>
  </si>
  <si>
    <t>2026-02-20 18:56:21</t>
  </si>
  <si>
    <t>Cafetera Pompeya 
Ticket número:112258
Serie número:1841251
Hora de servicio: 1h:30m
Se realizó una puesta cero y calibración de moliendas de la mm1 y mm2.
Se calibró leche y espuma.
Armazón colocado.
Observaciones:
-se recomienda cambiar moliendas ya que están desgastadas la mm1 como la mm2. Tanto superior como inferior.
-error 54 sensor de temperatura de grupo.(no influye al funcionamiento)
Repuestos: kit de moliendas 
Cafetera operando.</t>
  </si>
  <si>
    <t>Buenas tardes, estamos necesitando instalar la nueva melita y en lo posible con urgencia ya que no damos abasto con la cimballi</t>
  </si>
  <si>
    <t>2026-02-27 08:10:46</t>
  </si>
  <si>
    <t>Buen dia, la instalacion fue realizada ayer por Nahuel.</t>
  </si>
  <si>
    <t>EQUIPOS;CAFETERAS MELITA</t>
  </si>
  <si>
    <t>El CPU de local el cual da a funcionar el sistema operativo de cinet nose matiene encendido , impidiendo realizar tareas administrativas en las pantallas por que estas no encienden.</t>
  </si>
  <si>
    <t>Buen dia, nos solicitarion verificar si las instalaciones del sector cafeteria estan aptas para instalar un equipo Melitta, vamos a utiliza el ticket para esta tarea.
Slds,</t>
  </si>
  <si>
    <t>2026-02-24 07:44:05</t>
  </si>
  <si>
    <t>2026-02-27 08:22:42</t>
  </si>
  <si>
    <t>Buen dia, la instalacion fue realizada ayer por Nahuel</t>
  </si>
  <si>
    <t>hola buenas, estoy teniendo problemas con el sistema de cinet, se me apaga el equipo lo prendo y se vuelve apagar, necesitaría que lo vengan a ver urgente, ya que no me deja operar como corresponde. gracias</t>
  </si>
  <si>
    <t>2026-02-28 13:23:39</t>
  </si>
  <si>
    <t>Instalacion realizada</t>
  </si>
  <si>
    <t>FPROS</t>
  </si>
  <si>
    <t>Portal Rosario</t>
  </si>
  <si>
    <t>2026-02-01 18:18:35</t>
  </si>
  <si>
    <t>Resuelto por Francisco
Saludos.</t>
  </si>
  <si>
    <t>Falla en molido de café, equipo inoperativo</t>
  </si>
  <si>
    <t>Buenas. La cafetera no hace café.</t>
  </si>
  <si>
    <t>No funciona las moliendas</t>
  </si>
  <si>
    <t>Sucursal PORTAL ROSARIO</t>
  </si>
  <si>
    <t>2026-02-12 11:48:37</t>
  </si>
  <si>
    <t>Francisco Rametta</t>
  </si>
  <si>
    <t>2026-02-12 13:57:53</t>
  </si>
  <si>
    <t>Resuelto telefónicamente</t>
  </si>
  <si>
    <t>Buenas! La cimballi no larga agua caliente para te, el agua es tibia casi fria</t>
  </si>
  <si>
    <t>FMPRI</t>
  </si>
  <si>
    <t>Primera Junta</t>
  </si>
  <si>
    <t>2026-02-07 10:13:27</t>
  </si>
  <si>
    <t>Equipo arroja error (indicar falla), equipo fuera de servicio</t>
  </si>
  <si>
    <t>Buenas, tenemos el horno UNOX sin funcionar</t>
  </si>
  <si>
    <t>FMQCA</t>
  </si>
  <si>
    <t>Quilmes Peatonal</t>
  </si>
  <si>
    <t>2026-02-02 13:09:00</t>
  </si>
  <si>
    <t>Estimados, 
Se hablo con Rocio. Se cierra tk.
Saludos.</t>
  </si>
  <si>
    <t>EQUIPOS;MAQUINA DE HIELO</t>
  </si>
  <si>
    <t>Buenas, no funciona el condensador trasero de la cámara congeladora y las luces del sector trasero no funciona</t>
  </si>
  <si>
    <t>2026-02-03 21:06:49</t>
  </si>
  <si>
    <t>Estimados,
Se hablo con Rocio y se desestima esta solicitud
Saludos.</t>
  </si>
  <si>
    <t>Solicito mtm para poner portarollos en baños. Gracias</t>
  </si>
  <si>
    <t>2026-02-03 21:11:43</t>
  </si>
  <si>
    <t>Estimados,
Se coloca portarrollos usado.
Saludos.</t>
  </si>
  <si>
    <t>Buenas, cafetera izquierda moliendas trabadas.</t>
  </si>
  <si>
    <t>Adjunto fotos</t>
  </si>
  <si>
    <t>2026-02-06 17:32:22</t>
  </si>
  <si>
    <t>2026-02-06 17:33:14</t>
  </si>
  <si>
    <t>Cafetera quilmes peatonal 
Tk n:110811
Hora de servicio: 1h
Se encontró con la cafetera operando se supone que la destrabaron el local.
De igual manera se hizo una puesta cero y calibración de las dos moliendas ya que no salían con la calidad correspondiente.
Se encontró sin 1 tornillo en la rueda dentada. se repuso uno nuevo.
Observaciones: encontrar tapa lateral izq ya que no la tiene.
Cafetera operando.</t>
  </si>
  <si>
    <t>Buenas, se solicita tecnico para soldar pata de Bacha de baño de discapacitados.</t>
  </si>
  <si>
    <t>2026-02-07 21:14:56</t>
  </si>
  <si>
    <t>Estimados,
Esto fue resuelto por proveedor externo.
Saludos.</t>
  </si>
  <si>
    <t>No funcionan molienda de cafetera 1</t>
  </si>
  <si>
    <t>2026-02-09 09:49:36</t>
  </si>
  <si>
    <t>Tiempo de servicio: 20min
La cafetera se encontraba con la tolva sin trabar por lo que no activaban los sensores y las moliendas no arrancabanse. Se dejó calibrada</t>
  </si>
  <si>
    <t>Buenas, cafetera 1 está trabada molienda 1. Necesitamos un tecnico por favor</t>
  </si>
  <si>
    <t>2026-02-14 10:31:28</t>
  </si>
  <si>
    <t>Tiempo de servicio: 1hr
Se destrabo, limpio y calibraron moliendas de la cafetera, se encontró café.duro y húmedo. Se vuelve a solicitar tapón superior de caldera ya que la perdida es mayor que antes y afecta en l aoperacion de la cafetera 
Repuestos a solicitar: 
• tapón 3/8 gas exagonal 
• empaque cobre 3/8</t>
  </si>
  <si>
    <t>Tenemos varios zócalos de pared caídos</t>
  </si>
  <si>
    <t>2026-02-26 18:29:46</t>
  </si>
  <si>
    <t>A cargo de facility</t>
  </si>
  <si>
    <t>Nos faltan trabas del phu (dos)</t>
  </si>
  <si>
    <t>2026-02-26 18:33:18</t>
  </si>
  <si>
    <t>Pedir a depo</t>
  </si>
  <si>
    <t>Tenemos pisos rotos en sector cocina, servicio y producción</t>
  </si>
  <si>
    <t>2026-02-26 18:34:06</t>
  </si>
  <si>
    <t>2026-02-26 18:34:05</t>
  </si>
  <si>
    <t>Arreglar enchufes de abajo del Broiler.</t>
  </si>
  <si>
    <t>2026-02-26 18:36:47</t>
  </si>
  <si>
    <t>Ya okey</t>
  </si>
  <si>
    <t>Buenas, tenemos luces quemadas en varios sectores del local</t>
  </si>
  <si>
    <t>2026-02-26 18:37:26</t>
  </si>
  <si>
    <t>Tkt abierto en categoría baja</t>
  </si>
  <si>
    <t>Cableado de hielera pelado y hace corto</t>
  </si>
  <si>
    <t>2026-02-26 18:38:39</t>
  </si>
  <si>
    <t>Se arreglo cableado haciendo masa con la chapa del frezzer</t>
  </si>
  <si>
    <t>Verificar clabeado interno del totem, ya que hace corto y se apaga.</t>
  </si>
  <si>
    <t>2026-02-26 18:39:39</t>
  </si>
  <si>
    <t>El cableado está bien, la ficha de entrada de la fuente cpu esta falseado. Se verifico cambiando el cable hdmi por uno nuevo y la falla persiste</t>
  </si>
  <si>
    <t>Colocar azulejos y zócalos caídos de todo el local.</t>
  </si>
  <si>
    <t>2026-02-26 18:40:59</t>
  </si>
  <si>
    <t>Se cambiaron azulejos en la entrada de los baños. Los demás se encarga facility</t>
  </si>
  <si>
    <t>Reparar techo de Durlock de baño de hombres.</t>
  </si>
  <si>
    <t>2026-02-26 18:41:15</t>
  </si>
  <si>
    <t>Trabajo realizado por facility</t>
  </si>
  <si>
    <t>Colocar luces faltantes en lobby y baños.</t>
  </si>
  <si>
    <t>2026-02-27 14:46:37</t>
  </si>
  <si>
    <t>Se cambiaron luces de baños, lobby superior e inferior</t>
  </si>
  <si>
    <t>Llego la bomba nueva, precisamos colocarla</t>
  </si>
  <si>
    <t>FMROS</t>
  </si>
  <si>
    <t>Rosario Pellegrini</t>
  </si>
  <si>
    <t>2026-02-02 16:26:29</t>
  </si>
  <si>
    <t>Estimados,
Se reemplaza bomba de leche. Se envia presupuesto a Sabrina por valvula ESM y EM. 
Una vez que cuenten con dichos repuestos, por favor generar el tk para ir a colocar las valvulas.
Saludos.</t>
  </si>
  <si>
    <t>ER 050 - Baja presión de agua</t>
  </si>
  <si>
    <t>Se colocan filtros de cafetera solicitados, cafetera bloqueada.</t>
  </si>
  <si>
    <t>FMPUM</t>
  </si>
  <si>
    <t>ROSARIO PUMA</t>
  </si>
  <si>
    <t>2026-02-04 19:47:59</t>
  </si>
  <si>
    <t>2026-02-03 21:11:00</t>
  </si>
  <si>
    <t>Estimados, 
Esto fue resuelto por Francisco
Saludos.</t>
  </si>
  <si>
    <t>Horno Pratica - No tuesta el pan como corresponde, se siente frío el interior del tostado.</t>
  </si>
  <si>
    <t>2026-02-25 18:35:19</t>
  </si>
  <si>
    <t>Estimados,
Esto fue resuelto por Sabrina. Se cargaron las recetas nuevamente
Saludos.</t>
  </si>
  <si>
    <t>De ambas tolvas no sale cafe.
No da ningun error</t>
  </si>
  <si>
    <t>FRSM</t>
  </si>
  <si>
    <t>Rosario Sur</t>
  </si>
  <si>
    <t>2026-02-14 14:47:14</t>
  </si>
  <si>
    <t>Estimados,
Esto fue resuelto por Francisco Rametta
Saludos.</t>
  </si>
  <si>
    <t>Buenas tardes, quería solicitar una revisión a la cafetera debido a que estos días tuvimos problemas con la misma, la falla que tiene es que al momento de realizar al rededor de 2/4 cafés a la vez se enfría el equipo , debemos esperar que vuelva a levantar temperatura para seguir realizando los mismo, a su vez notamos que los cafés están saliendo aguados y sin espuma, aguardo respuesta y desde ya muchas gracias.</t>
  </si>
  <si>
    <t>FROG</t>
  </si>
  <si>
    <t>Rotonda Gutierrez</t>
  </si>
  <si>
    <t>2026-02-04 21:36:01</t>
  </si>
  <si>
    <t>Skill: Base Técnicos | Skill: Chat | Skill: Reglas Técnicas</t>
  </si>
  <si>
    <t>Estimados buen día, tenemos una falla en la maquina cada vez que hacemos un cafe de cualquier tipo toda la leche se deborda ya me fije donde se encuentra colocada las mangueras y estan ok! La cañería no esta tapada tampoco. 
Es un problema de la maquina no me deja adjuntarle videos</t>
  </si>
  <si>
    <t>Hola, se fijaron la manguera de Desagote de la leche? Atrás de la heladera bajo mesada.</t>
  </si>
  <si>
    <t>2026-02-04 15:33:15</t>
  </si>
  <si>
    <t>FSAF</t>
  </si>
  <si>
    <t>San Fernando</t>
  </si>
  <si>
    <t>2026-02-05 12:57:29</t>
  </si>
  <si>
    <t>Tiempo de servicio: 1;40hrs
La cafetera tenía problemas con la espuma de leche y la salida de la misma ya que a la hora de sacar algún café con leche solamente salía vapor. Se le limpio el chicler el cual estaba tapado con leche condensada, se le reguló el tiempo de activación el cual estaba en 10s, se dejó en 3s lo que debería disminuir el desprecio de leche y también se le reguló la dosis que estaba en 20s, se dejó en 15s. Se le coloco el filtro y se realizo lavado para dejar operando correctamente.
Repuestos a solicitar:
•elf3
•racor 1/4
•racor p. De goma empalme rapido 4mm
•cajon de pozos</t>
  </si>
  <si>
    <t>Se escuchan ruidos de explosiones, se apaga la cimballi y luego prende pero tarda demasiado en tomar temperatura.</t>
  </si>
  <si>
    <t>2026-02-21 14:29:32</t>
  </si>
  <si>
    <t>Cafetera San Fernando 
Ticket número:112536
Serie número:1851676
Hora de servicio: 30m
Se encontró empalme del protector térmico quemado eso hacía que salte diyuntor o que haga falso contacto y el equipo no levante del todo la temperatura.
Se recomienda cambiar el protector térmico superior de caldera grande.
Se calibró leche y espuma.
Repuestos: protector térmico.
Cafetera operando.</t>
  </si>
  <si>
    <t>Buen día! Cafe aguado y sin espuma.
Se deja de vender ya que tenemos quejas de clientes por mal sabor.</t>
  </si>
  <si>
    <t>2026-02-25 14:07:35</t>
  </si>
  <si>
    <t>2026-02-25 14:07:42</t>
  </si>
  <si>
    <t>Cafetera San Fernando
Número de ticket:112948
Número de serie:1851676
Hora de servicio:1h30m
Se encontró la cafetera con los cafés aguados y sin espuma.
Se realizó una puesta 0 y calibración de las moliendas mm1 y mm2.
Se hizo una limpieza del chicler de la bomba de leche ya que se encontraba un poco tapado.
Se revisó que no sale por la lanza de vapor por falta de la válvula EV.
Se realizó una limpieza en profundidad de grupo.
Cafetera operando.
Repuestos:
-Protector térmico 
-Racor 1/4
-Racor p.goma empalme rápido 4mm
-Elf3</t>
  </si>
  <si>
    <t>Falla de temperatura del equipo</t>
  </si>
  <si>
    <t>Error crítico</t>
  </si>
  <si>
    <t>FMSIS</t>
  </si>
  <si>
    <t>San Isidro</t>
  </si>
  <si>
    <t>2026-02-14 14:09:23</t>
  </si>
  <si>
    <t>Estimados, 
Se cambia piston superior y malla metalica el mismo,
Saludos.</t>
  </si>
  <si>
    <t>FCSJ3</t>
  </si>
  <si>
    <t>San Justo 3</t>
  </si>
  <si>
    <t>2026-02-05 20:15:54</t>
  </si>
  <si>
    <t>Estimados,
Se cierra tk ya que se encuentra duplicado.
Saludos</t>
  </si>
  <si>
    <t>Urgente , el cafe sale aguado</t>
  </si>
  <si>
    <t>2026-02-06 20:29:38</t>
  </si>
  <si>
    <t>Cafetera san justo peatonal ( 3 horas de trabajo)
Cimbali 1840208
Tiket#110740
Se encontró cafetera tirando error 8 se extrajo grupo y limpio todos los sensores, desapareció la falla, se encontró pequeña pérdida de agua del lado derecho debido a la manguera para purgar calderas, se logro sellar temporalmente pero se debe cambiar antes de q vuelva a perder, con respecto a los cafés aguados se realizó puesta cero y calibración, se encontró todas las recetas con muy bajo todo lo q es la dosis de café, pedir al supervisor q cargue receta y restablecer todos los parámetros, así se puede realizar una correcta calibración del equipo, operando con normalidad</t>
  </si>
  <si>
    <t>Buenas, tenemos que cambiar el timer de la freidora ya que el mismo se deterioró, solo tenemos que poner uno nuevo</t>
  </si>
  <si>
    <t>2026-02-06 21:03:35</t>
  </si>
  <si>
    <t>Freidora san justo peatonal (1 hora de trabajo)
Tiket#110919
Se colocó timer nuevo a freidora ig doble cesta, se pusieron los tornillos faltantes y toma, ser realizó prueba y funciona todo , equipo operando.</t>
  </si>
  <si>
    <t>Hola buenas, de la segunda cafetera sale agua y leche por debajo de una manguera qué tiene, pero sale todo... muchisima</t>
  </si>
  <si>
    <t>2026-02-16 18:15:05</t>
  </si>
  <si>
    <t>2026-02-16 18:15:17</t>
  </si>
  <si>
    <t>Cafetera San justo 3
Ticket número: 111964
Serie número :1840208/2033462
Hora de servicio :2h 30m
Cafetera 1 lado derecho mostrador:
Se cargó receta y se realizó puesta cero y calibración de las moliendas mm1 y mm2.
Se encontró una pequeña fuga de agua en la manguera para purgar la caldera se recomienda cambiarlo.
Se acomodó manguera de Desagote ya que no corría bien.
Observaciones: se revisó presunta pérdida de leche y cafe debajo de la cafetera se hizo los chequeos correspondientes y no se encontró ninguna pérdida. 
Cafetera operando.
Cafetera 1 lado ventana
Se realizó carga de receta, puesta cero y calibración de moliendas mm1 y mm2.
Cafetera operando.</t>
  </si>
  <si>
    <t>Buenas, la cafetera pierde agua por este sector</t>
  </si>
  <si>
    <t>2026-02-26 03:30:03</t>
  </si>
  <si>
    <t>2026-02-22 03:24:14</t>
  </si>
  <si>
    <t>Buenas, tienen que conseguir la manguera de cristal ya dicho en el informe técnico anterior.</t>
  </si>
  <si>
    <t>Buenas, la cafetera presenta una perdida de agua desde la valvula de te, adjunto fotos.
Por favor pido solución cuanto antes</t>
  </si>
  <si>
    <t>2026-02-28 14:03:13</t>
  </si>
  <si>
    <t>No calienta el café, por ende no se puede usar</t>
  </si>
  <si>
    <t>2026-02-28 14:05:14</t>
  </si>
  <si>
    <t>La cafetera q no calienta fue solucionado por el local, habui saltado el protector termico en cuanto a la cafetera de al lado q no le salía leche tenía, el difusor de leche sucio, y válvula esm trabada y sucia lo cual no dejaba sacar leche, equipo operando</t>
  </si>
  <si>
    <t>2026-02-25 16:50:36</t>
  </si>
  <si>
    <t>FMSVP</t>
  </si>
  <si>
    <t>San Martín peatonal</t>
  </si>
  <si>
    <t>2026-02-25 16:50:54</t>
  </si>
  <si>
    <t>Cafetera San Martín Peatonal
Número de ticket:112937
Número de serie:2107577
Horario de servicio:2h
Se encontró la cafetera con error 8.
se realizó una limpieza de grupo, sensores y finales de carrera ya que se encontraba todo lleno de café.
Se realizó una puesta 0 y calibración de las moliendas mm1 y mm2.
Observaciones:
-pastillas muy mojadas hacen que no caiga las pastillas al cajón de pozos sino que se atasquen el paso de la rampa deslizadora.
Repuestos:
-kit de orring pistón superior
Cafetera operando.</t>
  </si>
  <si>
    <t>Buenos días ... 
En el día de ayer se presentó Francisco de Mantenimiento propios en nuestro local para arreglar las cafeteras  1 sola había quedado operativa , Pero no realiza espuma , la misma solo funcionó el día de ayer. Hoy nuevamente volvió a fallar no larga café, y las moliendas no figuran trabadas o al menos no marca el error. Se vaciaron ambas tolvas Pero de todos modos no funciona. 
La otra cimballi aparentemente tiene quemada la fuente, debemos solicitar una nueva .</t>
  </si>
  <si>
    <t>FMSFV</t>
  </si>
  <si>
    <t>Santa Fe Peatonal</t>
  </si>
  <si>
    <t>2026-02-10 09:14:19</t>
  </si>
  <si>
    <t>De nada, saludos!</t>
  </si>
  <si>
    <t>Mostaza Santa Fe Peatonal</t>
  </si>
  <si>
    <t>2026-02-04 11:54:18</t>
  </si>
  <si>
    <t>2026-02-10 09:14:35</t>
  </si>
  <si>
    <t>Se realizó cambio de kit orings</t>
  </si>
  <si>
    <t>MM2 TRABADA NO SALE CAFE, TAMPOCO SE SIENTE EL RUIDO DE LAS MIENDAS ACCIONANDO, SALE AGUA</t>
  </si>
  <si>
    <t>FSANT</t>
  </si>
  <si>
    <t>Santiago del Estero</t>
  </si>
  <si>
    <t>2026-02-03 21:05:44</t>
  </si>
  <si>
    <t>Estimados, 
Tratamos de ponernos en contacto, pero no tuvimos respuesta.
Saludos.</t>
  </si>
  <si>
    <t>Hola buenas tardes,no sale la leche de la cafetera y sale directamente del desagüe</t>
  </si>
  <si>
    <t>Estimados, buenos dias.
¿Nos puede brindar un contacto para poder realizar un diagnostico?
Saludos</t>
  </si>
  <si>
    <t>2026-02-10 10:09:32</t>
  </si>
  <si>
    <t>FTAND</t>
  </si>
  <si>
    <t>Tandil</t>
  </si>
  <si>
    <t>2026-02-14 14:56:54</t>
  </si>
  <si>
    <t>Estimados,
Se habla con Mayra y comenta que esto fue resuelto.
Saludos.</t>
  </si>
  <si>
    <t>2026-02-27 16:33:22</t>
  </si>
  <si>
    <t>Se realizo asistencia remota, se observo que la cafetera tiene tapado el pescador de la caldera ya que no estaba lanzando buena cantidad de agua por la lanza de te y no permite terminar el lavado.</t>
  </si>
  <si>
    <t>Se trabó una molienda, solicitamos asistencia por video llamada</t>
  </si>
  <si>
    <t>FUSHA</t>
  </si>
  <si>
    <t>Ushuaia</t>
  </si>
  <si>
    <t>2026-02-07 21:12:18</t>
  </si>
  <si>
    <t>Estimados, 
Se da asistencia por llamada. El dia Martes se estara indicando como realizar una puesta a cero
Saludos</t>
  </si>
  <si>
    <t>Buenas tardes. Se solicita asistencia para una puesta a cero de la cafetera CIMBALLI.
Local Ushuaia FSHU</t>
  </si>
  <si>
    <t>Buenas tardes, nos podras compartir un contacto asi coordinamos un dia para realizar la videollamada</t>
  </si>
  <si>
    <t>2026-02-23 17:36:21</t>
  </si>
  <si>
    <t>2026-02-26 15:16:11</t>
  </si>
  <si>
    <t>Buenas tardes, nos confirman que lo estan resolviendo con personal externo. Saludos.</t>
  </si>
  <si>
    <t>Buenos días la cafetera no está moliendo correctamente el café, está saliendo agua.
Necesitamos con suma urgencia su resolución 
Gracias</t>
  </si>
  <si>
    <t>FVDP</t>
  </si>
  <si>
    <t>Villa del Parque</t>
  </si>
  <si>
    <t>2026-02-04 19:04:03</t>
  </si>
  <si>
    <t>Cafetera villa del parque ( 1 hora de trabajo)
Cimbali 2095734
Tiket#110627
Se encontró madera en mm2, se realizó puesta cero y calibración en ambas muelas, se realizó limpieza de grupo tanto súperior como inferior ya q se encontraba con mucho excedente de café, se recomienda vaciar la tolva de pastillas cuando el equipo lo demande, ya q al acumularse empieza a caer del lado del grupo afectando al producto final, lo mismo con las cancelaciones, equipo quedó operando</t>
  </si>
  <si>
    <t>Estimados,
Cuáles es el problema con el equipo? La imagen adjuntada no muestra error. Eso dicen cuando prenden el equipo.
Saludos</t>
  </si>
  <si>
    <t>2026-02-18 16:12:17</t>
  </si>
  <si>
    <t>2026-02-19 23:36:55</t>
  </si>
  <si>
    <t>Estimados,
Esto fue resuelto por Fernando Soria.
Saludos.</t>
  </si>
  <si>
    <t>TOTAL (Solo con X)</t>
  </si>
  <si>
    <t>x</t>
  </si>
  <si>
    <t>Resuelto por tecnico de propios</t>
  </si>
  <si>
    <t>Gualeguaychu</t>
  </si>
  <si>
    <t>Rafael Nunez</t>
  </si>
  <si>
    <t>Preapertura - Apertura</t>
  </si>
  <si>
    <t>Total USD</t>
  </si>
  <si>
    <t>Total horas</t>
  </si>
  <si>
    <t>Total Tickets</t>
  </si>
  <si>
    <t>(No sumado por llave en mano)</t>
  </si>
  <si>
    <t>TOTAL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</si>
</sst>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_(&quot;$&quot;\ * \(#,##0.00\);_(&quot;$&quot;\ * &quot;-&quot;??_);_(@_)"/>
    <numFmt numFmtId="164" formatCode="&quot;$&quot;#,##0.00"/>
    <numFmt numFmtId="165" formatCode="&quot;$&quot;\ #,##0.00"/>
  </numFmts>
  <fonts count="7" x14ac:knownFonts="1">
    <font>
      <sz val="11"/>
      <color theme="1"/>
      <name val="Calibri"/>
      <family val="2"/>
      <scheme val="minor"/>
    </font>
    <font>
      <b/>
      <sz val="11"/>
      <name val="Calibri"/>
      <family val="2"/>
    </font>
    <font>
      <b/>
      <sz val="11"/>
      <color rgb="FFFFFFFF"/>
      <name val="Calibri"/>
      <family val="2"/>
    </font>
    <font>
      <sz val="11"/>
      <color theme="1"/>
      <name val="Calibri"/>
      <family val="2"/>
      <scheme val="minor"/>
    </font>
    <font>
      <b/>
      <sz val="14"/>
      <color theme="1"/>
      <name val="Calibri"/>
      <family val="2"/>
      <scheme val="minor"/>
    </font>
    <font>
      <sz val="11"/>
      <color theme="0"/>
      <name val="Calibri"/>
      <family val="2"/>
      <scheme val="minor"/>
    </font>
    <font>
      <b/>
      <sz val="16"/>
      <color theme="1"/>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rgb="FFDDEEFF"/>
        <bgColor rgb="FFDDEEFF"/>
      </patternFill>
    </fill>
    <fill>
      <patternFill patternType="solid">
        <fgColor rgb="FFD9E1F2"/>
        <bgColor rgb="FFD9E1F2"/>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9"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4" fontId="3"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1" fillId="4" borderId="1" xfId="0" applyFont="1" applyFill="1" applyBorder="1" applyAlignment="1">
      <alignment horizontal="center" vertical="center"/>
    </xf>
    <xf numFmtId="164" fontId="1" fillId="4" borderId="1" xfId="0" applyNumberFormat="1" applyFont="1" applyFill="1" applyBorder="1" applyAlignment="1">
      <alignment horizontal="center" vertical="center"/>
    </xf>
    <xf numFmtId="44" fontId="0" fillId="0" borderId="0" xfId="1" applyFont="1"/>
    <xf numFmtId="0" fontId="4" fillId="6" borderId="3" xfId="0" applyFont="1" applyFill="1" applyBorder="1"/>
    <xf numFmtId="0" fontId="4" fillId="5" borderId="2" xfId="0" applyFont="1" applyFill="1" applyBorder="1"/>
    <xf numFmtId="165" fontId="4" fillId="5" borderId="3" xfId="0" applyNumberFormat="1" applyFont="1" applyFill="1" applyBorder="1"/>
    <xf numFmtId="0" fontId="0" fillId="0" borderId="1" xfId="0" applyBorder="1"/>
    <xf numFmtId="44" fontId="0" fillId="0" borderId="1" xfId="1" applyFont="1" applyBorder="1"/>
    <xf numFmtId="0" fontId="5" fillId="0" borderId="0" xfId="0" applyFont="1"/>
    <xf numFmtId="44" fontId="5" fillId="0" borderId="0" xfId="1" applyFont="1"/>
    <xf numFmtId="0" fontId="4" fillId="7" borderId="3" xfId="0" applyFont="1" applyFill="1" applyBorder="1"/>
    <xf numFmtId="0" fontId="4" fillId="7" borderId="2" xfId="0" applyFont="1" applyFill="1" applyBorder="1"/>
    <xf numFmtId="164" fontId="4" fillId="6" borderId="2" xfId="0" applyNumberFormat="1" applyFont="1" applyFill="1" applyBorder="1"/>
    <xf numFmtId="165" fontId="6" fillId="8" borderId="2" xfId="0" applyNumberFormat="1" applyFont="1" applyFill="1" applyBorder="1" applyAlignment="1">
      <alignment horizontal="center"/>
    </xf>
    <xf numFmtId="165" fontId="6" fillId="8" borderId="3" xfId="0" applyNumberFormat="1" applyFont="1" applyFill="1" applyBorder="1" applyAlignment="1">
      <alignment horizontal="center"/>
    </xf>
    <xf numFmtId="0" fontId="6" fillId="8" borderId="4" xfId="0" applyFont="1" applyFill="1" applyBorder="1"/>
  </cellXfs>
  <cellStyles count="2">
    <cellStyle name="Moneda" xfId="1" builtinId="4"/>
    <cellStyle name="Normal" xfId="0" builtinId="0"/>
  </cellStyles>
  <dxfs count="5">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3"/>
  <sheetViews>
    <sheetView tabSelected="1" topLeftCell="M1" workbookViewId="0">
      <pane ySplit="1" topLeftCell="A115" activePane="bottomLeft" state="frozen"/>
      <selection pane="bottomLeft" activeCell="Q140" sqref="Q140"/>
    </sheetView>
  </sheetViews>
  <sheetFormatPr baseColWidth="10" defaultColWidth="8.83203125" defaultRowHeight="15" x14ac:dyDescent="0.2"/>
  <cols>
    <col min="1" max="1" width="12.1640625" customWidth="1"/>
    <col min="2" max="3" width="20" customWidth="1"/>
    <col min="4" max="4" width="7.33203125" customWidth="1"/>
    <col min="5" max="5" width="10" customWidth="1"/>
    <col min="6" max="6" width="9.1640625" customWidth="1"/>
    <col min="7" max="7" width="10" customWidth="1"/>
    <col min="8" max="8" width="8.5" customWidth="1"/>
    <col min="9" max="9" width="14.1640625" customWidth="1"/>
    <col min="10" max="10" width="3.5" customWidth="1"/>
    <col min="11" max="11" width="8" customWidth="1"/>
    <col min="12" max="12" width="4.6640625" customWidth="1"/>
    <col min="13" max="13" width="15" bestFit="1" customWidth="1"/>
    <col min="14" max="14" width="20" customWidth="1"/>
    <col min="15" max="15" width="26" customWidth="1"/>
    <col min="16" max="16" width="9" customWidth="1"/>
    <col min="17" max="17" width="33" bestFit="1" customWidth="1"/>
    <col min="18" max="18" width="20" customWidth="1"/>
    <col min="19" max="25" width="4.1640625" customWidth="1"/>
    <col min="26" max="26" width="6" customWidth="1"/>
    <col min="27" max="27" width="13.5" customWidth="1"/>
    <col min="28" max="28" width="18.1640625" customWidth="1"/>
    <col min="29" max="29" width="6.33203125" customWidth="1"/>
    <col min="30" max="30" width="16" customWidth="1"/>
    <col min="31" max="31" width="24.6640625" bestFit="1"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s="2">
        <v>110988</v>
      </c>
      <c r="B2" s="2" t="s">
        <v>30</v>
      </c>
      <c r="C2" s="2" t="s">
        <v>31</v>
      </c>
      <c r="D2" s="2" t="s">
        <v>32</v>
      </c>
      <c r="E2" s="2"/>
      <c r="F2" s="2"/>
      <c r="G2" s="2"/>
      <c r="H2" s="2" t="s">
        <v>33</v>
      </c>
      <c r="I2" s="2" t="s">
        <v>34</v>
      </c>
      <c r="J2" s="2"/>
      <c r="K2" s="2" t="s">
        <v>35</v>
      </c>
      <c r="L2" s="2" t="s">
        <v>36</v>
      </c>
      <c r="M2" s="2" t="s">
        <v>37</v>
      </c>
      <c r="N2" s="2" t="s">
        <v>38</v>
      </c>
      <c r="O2" s="2" t="s">
        <v>39</v>
      </c>
      <c r="P2" s="2" t="s">
        <v>40</v>
      </c>
      <c r="Q2" s="2" t="s">
        <v>41</v>
      </c>
      <c r="R2" s="2">
        <v>13.7</v>
      </c>
      <c r="S2" s="2">
        <v>35</v>
      </c>
      <c r="T2" s="2">
        <v>2</v>
      </c>
      <c r="U2" s="3">
        <v>5</v>
      </c>
      <c r="V2" s="3">
        <v>0</v>
      </c>
      <c r="W2" s="3">
        <v>0</v>
      </c>
      <c r="X2" s="3">
        <v>0</v>
      </c>
      <c r="Y2" s="3">
        <v>5</v>
      </c>
      <c r="Z2" s="3">
        <v>5</v>
      </c>
      <c r="AA2" s="4">
        <f t="shared" ref="AA2:AA33" si="0">Z2*35</f>
        <v>175</v>
      </c>
      <c r="AB2" s="3" t="s">
        <v>42</v>
      </c>
      <c r="AC2" s="3" t="s">
        <v>621</v>
      </c>
      <c r="AD2" s="2" t="s">
        <v>34</v>
      </c>
    </row>
    <row r="3" spans="1:30" x14ac:dyDescent="0.2">
      <c r="A3" s="2">
        <v>111197</v>
      </c>
      <c r="B3" s="2" t="s">
        <v>43</v>
      </c>
      <c r="C3" s="2" t="s">
        <v>44</v>
      </c>
      <c r="D3" s="2" t="s">
        <v>32</v>
      </c>
      <c r="E3" s="2"/>
      <c r="F3" s="2"/>
      <c r="G3" s="2"/>
      <c r="H3" s="2" t="s">
        <v>33</v>
      </c>
      <c r="I3" s="2" t="s">
        <v>34</v>
      </c>
      <c r="J3" s="2"/>
      <c r="K3" s="2" t="s">
        <v>35</v>
      </c>
      <c r="L3" s="2" t="s">
        <v>45</v>
      </c>
      <c r="M3" s="2" t="s">
        <v>37</v>
      </c>
      <c r="N3" s="2" t="s">
        <v>46</v>
      </c>
      <c r="O3" s="2" t="s">
        <v>47</v>
      </c>
      <c r="P3" s="2" t="s">
        <v>40</v>
      </c>
      <c r="Q3" s="2" t="s">
        <v>41</v>
      </c>
      <c r="R3" s="2">
        <v>13.7</v>
      </c>
      <c r="S3" s="2">
        <v>35</v>
      </c>
      <c r="T3" s="2">
        <v>2</v>
      </c>
      <c r="U3" s="3">
        <v>1</v>
      </c>
      <c r="V3" s="3">
        <v>0</v>
      </c>
      <c r="W3" s="3">
        <v>0</v>
      </c>
      <c r="X3" s="3">
        <v>0</v>
      </c>
      <c r="Y3" s="3">
        <v>1</v>
      </c>
      <c r="Z3" s="3">
        <v>2</v>
      </c>
      <c r="AA3" s="4">
        <f t="shared" si="0"/>
        <v>70</v>
      </c>
      <c r="AB3" s="3" t="s">
        <v>42</v>
      </c>
      <c r="AC3" s="3" t="s">
        <v>621</v>
      </c>
      <c r="AD3" s="2" t="s">
        <v>34</v>
      </c>
    </row>
    <row r="4" spans="1:30" x14ac:dyDescent="0.2">
      <c r="A4" s="2">
        <v>111676</v>
      </c>
      <c r="B4" s="2" t="s">
        <v>43</v>
      </c>
      <c r="C4" s="2" t="s">
        <v>48</v>
      </c>
      <c r="D4" s="2" t="s">
        <v>32</v>
      </c>
      <c r="E4" s="2"/>
      <c r="F4" s="2"/>
      <c r="G4" s="2"/>
      <c r="H4" s="2" t="s">
        <v>33</v>
      </c>
      <c r="I4" s="2" t="s">
        <v>34</v>
      </c>
      <c r="J4" s="2"/>
      <c r="K4" s="2" t="s">
        <v>35</v>
      </c>
      <c r="L4" s="2" t="s">
        <v>49</v>
      </c>
      <c r="M4" s="2" t="s">
        <v>50</v>
      </c>
      <c r="N4" s="2" t="s">
        <v>51</v>
      </c>
      <c r="O4" s="2" t="s">
        <v>52</v>
      </c>
      <c r="P4" s="2" t="s">
        <v>40</v>
      </c>
      <c r="Q4" s="2" t="s">
        <v>41</v>
      </c>
      <c r="R4" s="2">
        <v>13.7</v>
      </c>
      <c r="S4" s="2">
        <v>35</v>
      </c>
      <c r="T4" s="2">
        <v>2</v>
      </c>
      <c r="U4" s="3">
        <v>5</v>
      </c>
      <c r="V4" s="3">
        <v>0</v>
      </c>
      <c r="W4" s="3">
        <v>0</v>
      </c>
      <c r="X4" s="3">
        <v>0</v>
      </c>
      <c r="Y4" s="3">
        <v>0</v>
      </c>
      <c r="Z4" s="3">
        <v>3</v>
      </c>
      <c r="AA4" s="4">
        <f t="shared" si="0"/>
        <v>105</v>
      </c>
      <c r="AB4" s="3" t="s">
        <v>53</v>
      </c>
      <c r="AC4" s="3" t="s">
        <v>621</v>
      </c>
      <c r="AD4" s="2" t="s">
        <v>34</v>
      </c>
    </row>
    <row r="5" spans="1:30" x14ac:dyDescent="0.2">
      <c r="A5" s="2">
        <v>107777</v>
      </c>
      <c r="B5" s="2" t="s">
        <v>54</v>
      </c>
      <c r="C5" s="2" t="s">
        <v>55</v>
      </c>
      <c r="D5" s="2" t="s">
        <v>56</v>
      </c>
      <c r="E5" s="2" t="s">
        <v>57</v>
      </c>
      <c r="F5" s="2" t="s">
        <v>58</v>
      </c>
      <c r="G5" s="2" t="s">
        <v>59</v>
      </c>
      <c r="H5" s="2" t="s">
        <v>33</v>
      </c>
      <c r="I5" s="2" t="s">
        <v>34</v>
      </c>
      <c r="J5" s="2"/>
      <c r="K5" s="2" t="s">
        <v>35</v>
      </c>
      <c r="L5" s="2" t="s">
        <v>60</v>
      </c>
      <c r="M5" s="2" t="s">
        <v>61</v>
      </c>
      <c r="N5" s="2" t="s">
        <v>62</v>
      </c>
      <c r="O5" s="2" t="s">
        <v>63</v>
      </c>
      <c r="P5" s="2" t="s">
        <v>64</v>
      </c>
      <c r="Q5" s="2" t="s">
        <v>41</v>
      </c>
      <c r="R5" s="2">
        <v>13.7</v>
      </c>
      <c r="S5" s="2">
        <v>35</v>
      </c>
      <c r="T5" s="2">
        <v>2</v>
      </c>
      <c r="U5" s="3">
        <v>2</v>
      </c>
      <c r="V5" s="3">
        <v>0</v>
      </c>
      <c r="W5" s="3">
        <v>0</v>
      </c>
      <c r="X5" s="3">
        <v>0</v>
      </c>
      <c r="Y5" s="3">
        <v>0</v>
      </c>
      <c r="Z5" s="3">
        <v>2</v>
      </c>
      <c r="AA5" s="4">
        <v>0</v>
      </c>
      <c r="AB5" s="3" t="s">
        <v>53</v>
      </c>
      <c r="AC5" s="3" t="s">
        <v>621</v>
      </c>
      <c r="AD5" s="2" t="s">
        <v>34</v>
      </c>
    </row>
    <row r="6" spans="1:30" x14ac:dyDescent="0.2">
      <c r="A6" s="2">
        <v>112916</v>
      </c>
      <c r="B6" s="2" t="s">
        <v>65</v>
      </c>
      <c r="C6" s="2" t="s">
        <v>66</v>
      </c>
      <c r="D6" s="2" t="s">
        <v>32</v>
      </c>
      <c r="E6" s="2" t="s">
        <v>67</v>
      </c>
      <c r="F6" s="2" t="s">
        <v>50</v>
      </c>
      <c r="G6" s="2" t="s">
        <v>68</v>
      </c>
      <c r="H6" s="2" t="s">
        <v>33</v>
      </c>
      <c r="I6" s="2" t="s">
        <v>34</v>
      </c>
      <c r="J6" s="2"/>
      <c r="K6" s="2" t="s">
        <v>35</v>
      </c>
      <c r="L6" s="2" t="s">
        <v>69</v>
      </c>
      <c r="M6" s="2" t="s">
        <v>50</v>
      </c>
      <c r="N6" s="2" t="s">
        <v>70</v>
      </c>
      <c r="O6" s="2" t="s">
        <v>71</v>
      </c>
      <c r="P6" s="2" t="s">
        <v>40</v>
      </c>
      <c r="Q6" s="2" t="s">
        <v>41</v>
      </c>
      <c r="R6" s="2">
        <v>13.7</v>
      </c>
      <c r="S6" s="2">
        <v>35</v>
      </c>
      <c r="T6" s="2">
        <v>2</v>
      </c>
      <c r="U6" s="3">
        <v>5</v>
      </c>
      <c r="V6" s="3">
        <v>0</v>
      </c>
      <c r="W6" s="3">
        <v>0</v>
      </c>
      <c r="X6" s="3">
        <v>0</v>
      </c>
      <c r="Y6" s="3">
        <v>0</v>
      </c>
      <c r="Z6" s="3">
        <v>4</v>
      </c>
      <c r="AA6" s="4">
        <f t="shared" si="0"/>
        <v>140</v>
      </c>
      <c r="AB6" s="3" t="s">
        <v>53</v>
      </c>
      <c r="AC6" s="3" t="s">
        <v>621</v>
      </c>
      <c r="AD6" s="2" t="s">
        <v>34</v>
      </c>
    </row>
    <row r="7" spans="1:30" x14ac:dyDescent="0.2">
      <c r="A7" s="2">
        <v>110357</v>
      </c>
      <c r="B7" s="2" t="s">
        <v>43</v>
      </c>
      <c r="C7" s="2" t="s">
        <v>72</v>
      </c>
      <c r="D7" s="2" t="s">
        <v>32</v>
      </c>
      <c r="E7" s="2"/>
      <c r="F7" s="2"/>
      <c r="G7" s="2"/>
      <c r="H7" s="2" t="s">
        <v>73</v>
      </c>
      <c r="I7" s="2" t="s">
        <v>74</v>
      </c>
      <c r="J7" s="2"/>
      <c r="K7" s="2" t="s">
        <v>35</v>
      </c>
      <c r="L7" s="2" t="s">
        <v>75</v>
      </c>
      <c r="M7" s="2" t="s">
        <v>61</v>
      </c>
      <c r="N7" s="2" t="s">
        <v>76</v>
      </c>
      <c r="O7" s="2" t="s">
        <v>77</v>
      </c>
      <c r="P7" s="2" t="s">
        <v>40</v>
      </c>
      <c r="Q7" s="2" t="s">
        <v>41</v>
      </c>
      <c r="R7" s="2">
        <v>3.7</v>
      </c>
      <c r="S7" s="2">
        <v>35</v>
      </c>
      <c r="T7" s="2">
        <v>2</v>
      </c>
      <c r="U7" s="3">
        <v>2</v>
      </c>
      <c r="V7" s="3">
        <v>0</v>
      </c>
      <c r="W7" s="3">
        <v>0</v>
      </c>
      <c r="X7" s="3">
        <v>0</v>
      </c>
      <c r="Y7" s="3">
        <v>0</v>
      </c>
      <c r="Z7" s="3">
        <v>2</v>
      </c>
      <c r="AA7" s="4">
        <f t="shared" si="0"/>
        <v>70</v>
      </c>
      <c r="AB7" s="3" t="s">
        <v>53</v>
      </c>
      <c r="AC7" s="3" t="s">
        <v>621</v>
      </c>
      <c r="AD7" s="2" t="s">
        <v>74</v>
      </c>
    </row>
    <row r="8" spans="1:30" x14ac:dyDescent="0.2">
      <c r="A8" s="2">
        <v>110651</v>
      </c>
      <c r="B8" s="2" t="s">
        <v>43</v>
      </c>
      <c r="C8" s="2" t="s">
        <v>78</v>
      </c>
      <c r="D8" s="2" t="s">
        <v>32</v>
      </c>
      <c r="E8" s="2"/>
      <c r="F8" s="2"/>
      <c r="G8" s="2"/>
      <c r="H8" s="2" t="s">
        <v>73</v>
      </c>
      <c r="I8" s="2" t="s">
        <v>74</v>
      </c>
      <c r="J8" s="2"/>
      <c r="K8" s="2" t="s">
        <v>35</v>
      </c>
      <c r="L8" s="2" t="s">
        <v>79</v>
      </c>
      <c r="M8" s="2" t="s">
        <v>80</v>
      </c>
      <c r="N8" s="2" t="s">
        <v>81</v>
      </c>
      <c r="O8" s="2" t="s">
        <v>82</v>
      </c>
      <c r="P8" s="2" t="s">
        <v>40</v>
      </c>
      <c r="Q8" s="2" t="s">
        <v>41</v>
      </c>
      <c r="R8" s="2">
        <v>3.7</v>
      </c>
      <c r="S8" s="2">
        <v>35</v>
      </c>
      <c r="T8" s="2">
        <v>2</v>
      </c>
      <c r="U8" s="3">
        <v>2</v>
      </c>
      <c r="V8" s="3">
        <v>2</v>
      </c>
      <c r="W8" s="3">
        <v>0</v>
      </c>
      <c r="X8" s="3">
        <v>2</v>
      </c>
      <c r="Y8" s="3">
        <v>2</v>
      </c>
      <c r="Z8" s="3">
        <v>3</v>
      </c>
      <c r="AA8" s="4">
        <f t="shared" si="0"/>
        <v>105</v>
      </c>
      <c r="AB8" s="3" t="s">
        <v>83</v>
      </c>
      <c r="AC8" s="3" t="s">
        <v>621</v>
      </c>
      <c r="AD8" s="2" t="s">
        <v>74</v>
      </c>
    </row>
    <row r="9" spans="1:30" x14ac:dyDescent="0.2">
      <c r="A9" s="2">
        <v>111187</v>
      </c>
      <c r="B9" s="2" t="s">
        <v>84</v>
      </c>
      <c r="C9" s="2" t="s">
        <v>85</v>
      </c>
      <c r="D9" s="2" t="s">
        <v>32</v>
      </c>
      <c r="E9" s="2"/>
      <c r="F9" s="2"/>
      <c r="G9" s="2"/>
      <c r="H9" s="2" t="s">
        <v>73</v>
      </c>
      <c r="I9" s="2" t="s">
        <v>74</v>
      </c>
      <c r="J9" s="2"/>
      <c r="K9" s="2" t="s">
        <v>35</v>
      </c>
      <c r="L9" s="2" t="s">
        <v>45</v>
      </c>
      <c r="M9" s="2" t="s">
        <v>37</v>
      </c>
      <c r="N9" s="2" t="s">
        <v>86</v>
      </c>
      <c r="O9" s="2" t="s">
        <v>87</v>
      </c>
      <c r="P9" s="2" t="s">
        <v>40</v>
      </c>
      <c r="Q9" s="2" t="s">
        <v>41</v>
      </c>
      <c r="R9" s="2">
        <v>3.7</v>
      </c>
      <c r="S9" s="2">
        <v>35</v>
      </c>
      <c r="T9" s="2">
        <v>2</v>
      </c>
      <c r="U9" s="3">
        <v>1</v>
      </c>
      <c r="V9" s="3">
        <v>0</v>
      </c>
      <c r="W9" s="3">
        <v>0</v>
      </c>
      <c r="X9" s="3">
        <v>0</v>
      </c>
      <c r="Y9" s="3">
        <v>1</v>
      </c>
      <c r="Z9" s="3">
        <v>3</v>
      </c>
      <c r="AA9" s="4">
        <f t="shared" si="0"/>
        <v>105</v>
      </c>
      <c r="AB9" s="3" t="s">
        <v>42</v>
      </c>
      <c r="AC9" s="3" t="s">
        <v>621</v>
      </c>
      <c r="AD9" s="2" t="s">
        <v>74</v>
      </c>
    </row>
    <row r="10" spans="1:30" x14ac:dyDescent="0.2">
      <c r="A10" s="2">
        <v>111326</v>
      </c>
      <c r="B10" s="2" t="s">
        <v>88</v>
      </c>
      <c r="C10" s="2" t="s">
        <v>89</v>
      </c>
      <c r="D10" s="2" t="s">
        <v>32</v>
      </c>
      <c r="E10" s="2"/>
      <c r="F10" s="2"/>
      <c r="G10" s="2"/>
      <c r="H10" s="2" t="s">
        <v>73</v>
      </c>
      <c r="I10" s="2" t="s">
        <v>74</v>
      </c>
      <c r="J10" s="2"/>
      <c r="K10" s="2" t="s">
        <v>35</v>
      </c>
      <c r="L10" s="2" t="s">
        <v>90</v>
      </c>
      <c r="M10" s="2" t="s">
        <v>61</v>
      </c>
      <c r="N10" s="2" t="s">
        <v>91</v>
      </c>
      <c r="O10" s="2" t="s">
        <v>92</v>
      </c>
      <c r="P10" s="2" t="s">
        <v>40</v>
      </c>
      <c r="Q10" s="2" t="s">
        <v>41</v>
      </c>
      <c r="R10" s="2">
        <v>3.7</v>
      </c>
      <c r="S10" s="2">
        <v>35</v>
      </c>
      <c r="T10" s="2">
        <v>2</v>
      </c>
      <c r="U10" s="3">
        <v>2</v>
      </c>
      <c r="V10" s="3">
        <v>0</v>
      </c>
      <c r="W10" s="3">
        <v>0</v>
      </c>
      <c r="X10" s="3">
        <v>0</v>
      </c>
      <c r="Y10" s="3">
        <v>0</v>
      </c>
      <c r="Z10" s="3">
        <v>2</v>
      </c>
      <c r="AA10" s="4">
        <f t="shared" si="0"/>
        <v>70</v>
      </c>
      <c r="AB10" s="3" t="s">
        <v>53</v>
      </c>
      <c r="AC10" s="3" t="s">
        <v>621</v>
      </c>
      <c r="AD10" s="2" t="s">
        <v>74</v>
      </c>
    </row>
    <row r="11" spans="1:30" x14ac:dyDescent="0.2">
      <c r="A11" s="2">
        <v>111940</v>
      </c>
      <c r="B11" s="2" t="s">
        <v>84</v>
      </c>
      <c r="C11" s="2" t="s">
        <v>93</v>
      </c>
      <c r="D11" s="2" t="s">
        <v>32</v>
      </c>
      <c r="E11" s="2"/>
      <c r="F11" s="2"/>
      <c r="G11" s="2"/>
      <c r="H11" s="2" t="s">
        <v>73</v>
      </c>
      <c r="I11" s="2" t="s">
        <v>74</v>
      </c>
      <c r="J11" s="2"/>
      <c r="K11" s="2" t="s">
        <v>35</v>
      </c>
      <c r="L11" s="2" t="s">
        <v>94</v>
      </c>
      <c r="M11" s="2" t="s">
        <v>50</v>
      </c>
      <c r="N11" s="2" t="s">
        <v>95</v>
      </c>
      <c r="O11" s="2" t="s">
        <v>96</v>
      </c>
      <c r="P11" s="2" t="s">
        <v>40</v>
      </c>
      <c r="Q11" s="2" t="s">
        <v>41</v>
      </c>
      <c r="R11" s="2">
        <v>3.7</v>
      </c>
      <c r="S11" s="2">
        <v>35</v>
      </c>
      <c r="T11" s="2">
        <v>2</v>
      </c>
      <c r="U11" s="3">
        <v>2</v>
      </c>
      <c r="V11" s="3">
        <v>0</v>
      </c>
      <c r="W11" s="3">
        <v>0</v>
      </c>
      <c r="X11" s="3">
        <v>0</v>
      </c>
      <c r="Y11" s="3">
        <v>0</v>
      </c>
      <c r="Z11" s="3">
        <v>2</v>
      </c>
      <c r="AA11" s="4">
        <f t="shared" si="0"/>
        <v>70</v>
      </c>
      <c r="AB11" s="3" t="s">
        <v>53</v>
      </c>
      <c r="AC11" s="3" t="s">
        <v>621</v>
      </c>
      <c r="AD11" s="2" t="s">
        <v>74</v>
      </c>
    </row>
    <row r="12" spans="1:30" x14ac:dyDescent="0.2">
      <c r="A12" s="2">
        <v>112954</v>
      </c>
      <c r="B12" s="2" t="s">
        <v>84</v>
      </c>
      <c r="C12" s="2"/>
      <c r="D12" s="2" t="s">
        <v>32</v>
      </c>
      <c r="E12" s="2"/>
      <c r="F12" s="2"/>
      <c r="G12" s="2"/>
      <c r="H12" s="2" t="s">
        <v>97</v>
      </c>
      <c r="I12" s="2" t="s">
        <v>98</v>
      </c>
      <c r="J12" s="2"/>
      <c r="K12" s="2" t="s">
        <v>35</v>
      </c>
      <c r="L12" s="2" t="s">
        <v>69</v>
      </c>
      <c r="M12" s="2" t="s">
        <v>50</v>
      </c>
      <c r="N12" s="2" t="s">
        <v>99</v>
      </c>
      <c r="O12" s="2" t="s">
        <v>100</v>
      </c>
      <c r="P12" s="2" t="s">
        <v>40</v>
      </c>
      <c r="Q12" s="2" t="s">
        <v>101</v>
      </c>
      <c r="R12" s="2">
        <v>415.9</v>
      </c>
      <c r="S12" s="2">
        <v>35</v>
      </c>
      <c r="T12" s="2">
        <v>4</v>
      </c>
      <c r="U12" s="3">
        <v>2</v>
      </c>
      <c r="V12" s="3">
        <v>0</v>
      </c>
      <c r="W12" s="3">
        <v>0</v>
      </c>
      <c r="X12" s="3">
        <v>0</v>
      </c>
      <c r="Y12" s="3">
        <v>0</v>
      </c>
      <c r="Z12" s="3">
        <v>0</v>
      </c>
      <c r="AA12" s="4">
        <f t="shared" si="0"/>
        <v>0</v>
      </c>
      <c r="AB12" s="3" t="s">
        <v>102</v>
      </c>
      <c r="AC12" s="3" t="s">
        <v>621</v>
      </c>
      <c r="AD12" s="2" t="s">
        <v>98</v>
      </c>
    </row>
    <row r="13" spans="1:30" x14ac:dyDescent="0.2">
      <c r="A13" s="2">
        <v>110586</v>
      </c>
      <c r="B13" s="2" t="s">
        <v>84</v>
      </c>
      <c r="C13" s="2"/>
      <c r="D13" s="2" t="s">
        <v>32</v>
      </c>
      <c r="E13" s="2" t="s">
        <v>67</v>
      </c>
      <c r="F13" s="2" t="s">
        <v>50</v>
      </c>
      <c r="G13" s="2" t="s">
        <v>103</v>
      </c>
      <c r="H13" s="2" t="s">
        <v>104</v>
      </c>
      <c r="I13" s="2" t="s">
        <v>105</v>
      </c>
      <c r="J13" s="2"/>
      <c r="K13" s="2" t="s">
        <v>35</v>
      </c>
      <c r="L13" s="2" t="s">
        <v>79</v>
      </c>
      <c r="M13" s="2" t="s">
        <v>50</v>
      </c>
      <c r="N13" s="2" t="s">
        <v>106</v>
      </c>
      <c r="O13" s="2" t="s">
        <v>107</v>
      </c>
      <c r="P13" s="2" t="s">
        <v>40</v>
      </c>
      <c r="Q13" s="2" t="s">
        <v>41</v>
      </c>
      <c r="R13" s="2">
        <v>9</v>
      </c>
      <c r="S13" s="2">
        <v>35</v>
      </c>
      <c r="T13" s="2">
        <v>2</v>
      </c>
      <c r="U13" s="3">
        <v>6</v>
      </c>
      <c r="V13" s="3">
        <v>0</v>
      </c>
      <c r="W13" s="3">
        <v>0</v>
      </c>
      <c r="X13" s="3">
        <v>2</v>
      </c>
      <c r="Y13" s="3">
        <v>0</v>
      </c>
      <c r="Z13" s="3">
        <v>4</v>
      </c>
      <c r="AA13" s="4">
        <f t="shared" si="0"/>
        <v>140</v>
      </c>
      <c r="AB13" s="3" t="s">
        <v>108</v>
      </c>
      <c r="AC13" s="3" t="s">
        <v>621</v>
      </c>
      <c r="AD13" s="2" t="s">
        <v>105</v>
      </c>
    </row>
    <row r="14" spans="1:30" x14ac:dyDescent="0.2">
      <c r="A14" s="2">
        <v>110739</v>
      </c>
      <c r="B14" s="2" t="s">
        <v>109</v>
      </c>
      <c r="C14" s="2" t="s">
        <v>110</v>
      </c>
      <c r="D14" s="2" t="s">
        <v>32</v>
      </c>
      <c r="E14" s="2"/>
      <c r="F14" s="2"/>
      <c r="G14" s="2"/>
      <c r="H14" s="2" t="s">
        <v>104</v>
      </c>
      <c r="I14" s="2" t="s">
        <v>105</v>
      </c>
      <c r="J14" s="2"/>
      <c r="K14" s="2" t="s">
        <v>35</v>
      </c>
      <c r="L14" s="2" t="s">
        <v>111</v>
      </c>
      <c r="M14" s="2" t="s">
        <v>37</v>
      </c>
      <c r="N14" s="2" t="s">
        <v>112</v>
      </c>
      <c r="O14" s="2" t="s">
        <v>113</v>
      </c>
      <c r="P14" s="2" t="s">
        <v>40</v>
      </c>
      <c r="Q14" s="2" t="s">
        <v>41</v>
      </c>
      <c r="R14" s="2">
        <v>9</v>
      </c>
      <c r="S14" s="2">
        <v>35</v>
      </c>
      <c r="T14" s="2">
        <v>2</v>
      </c>
      <c r="U14" s="3">
        <v>4</v>
      </c>
      <c r="V14" s="3">
        <v>0</v>
      </c>
      <c r="W14" s="3">
        <v>0</v>
      </c>
      <c r="X14" s="3">
        <v>4</v>
      </c>
      <c r="Y14" s="3">
        <v>4</v>
      </c>
      <c r="Z14" s="3">
        <v>6</v>
      </c>
      <c r="AA14" s="4">
        <f t="shared" si="0"/>
        <v>210</v>
      </c>
      <c r="AB14" s="3" t="s">
        <v>114</v>
      </c>
      <c r="AC14" s="3" t="s">
        <v>621</v>
      </c>
      <c r="AD14" s="2" t="s">
        <v>105</v>
      </c>
    </row>
    <row r="15" spans="1:30" x14ac:dyDescent="0.2">
      <c r="A15" s="2">
        <v>110758</v>
      </c>
      <c r="B15" s="2" t="s">
        <v>109</v>
      </c>
      <c r="C15" s="2" t="s">
        <v>115</v>
      </c>
      <c r="D15" s="2" t="s">
        <v>32</v>
      </c>
      <c r="E15" s="2"/>
      <c r="F15" s="2"/>
      <c r="G15" s="2"/>
      <c r="H15" s="2" t="s">
        <v>104</v>
      </c>
      <c r="I15" s="2" t="s">
        <v>105</v>
      </c>
      <c r="J15" s="2"/>
      <c r="K15" s="2" t="s">
        <v>35</v>
      </c>
      <c r="L15" s="2" t="s">
        <v>111</v>
      </c>
      <c r="M15" s="2" t="s">
        <v>37</v>
      </c>
      <c r="N15" s="2" t="s">
        <v>116</v>
      </c>
      <c r="O15" s="2" t="s">
        <v>117</v>
      </c>
      <c r="P15" s="2" t="s">
        <v>40</v>
      </c>
      <c r="Q15" s="2" t="s">
        <v>41</v>
      </c>
      <c r="R15" s="2">
        <v>9</v>
      </c>
      <c r="S15" s="2">
        <v>35</v>
      </c>
      <c r="T15" s="2">
        <v>2</v>
      </c>
      <c r="U15" s="3">
        <v>4</v>
      </c>
      <c r="V15" s="3">
        <v>0</v>
      </c>
      <c r="W15" s="3">
        <v>0</v>
      </c>
      <c r="X15" s="3">
        <v>0</v>
      </c>
      <c r="Y15" s="3">
        <v>4</v>
      </c>
      <c r="Z15" s="3">
        <v>4</v>
      </c>
      <c r="AA15" s="4">
        <f t="shared" si="0"/>
        <v>140</v>
      </c>
      <c r="AB15" s="3" t="s">
        <v>42</v>
      </c>
      <c r="AC15" s="3" t="s">
        <v>621</v>
      </c>
      <c r="AD15" s="2" t="s">
        <v>105</v>
      </c>
    </row>
    <row r="16" spans="1:30" x14ac:dyDescent="0.2">
      <c r="A16" s="2">
        <v>110888</v>
      </c>
      <c r="B16" s="2" t="s">
        <v>109</v>
      </c>
      <c r="C16" s="2" t="s">
        <v>118</v>
      </c>
      <c r="D16" s="2" t="s">
        <v>32</v>
      </c>
      <c r="E16" s="2" t="s">
        <v>67</v>
      </c>
      <c r="F16" s="2" t="s">
        <v>50</v>
      </c>
      <c r="G16" s="2" t="s">
        <v>119</v>
      </c>
      <c r="H16" s="2" t="s">
        <v>104</v>
      </c>
      <c r="I16" s="2" t="s">
        <v>105</v>
      </c>
      <c r="J16" s="2"/>
      <c r="K16" s="2" t="s">
        <v>35</v>
      </c>
      <c r="L16" s="2" t="s">
        <v>36</v>
      </c>
      <c r="M16" s="2" t="s">
        <v>50</v>
      </c>
      <c r="N16" s="2" t="s">
        <v>120</v>
      </c>
      <c r="O16" s="2" t="s">
        <v>121</v>
      </c>
      <c r="P16" s="2" t="s">
        <v>40</v>
      </c>
      <c r="Q16" s="2" t="s">
        <v>41</v>
      </c>
      <c r="R16" s="2">
        <v>9</v>
      </c>
      <c r="S16" s="2">
        <v>35</v>
      </c>
      <c r="T16" s="2">
        <v>2</v>
      </c>
      <c r="U16" s="3">
        <v>2</v>
      </c>
      <c r="V16" s="3">
        <v>0</v>
      </c>
      <c r="W16" s="3">
        <v>0</v>
      </c>
      <c r="X16" s="3">
        <v>0</v>
      </c>
      <c r="Y16" s="3">
        <v>0</v>
      </c>
      <c r="Z16" s="3">
        <v>3</v>
      </c>
      <c r="AA16" s="4">
        <f t="shared" si="0"/>
        <v>105</v>
      </c>
      <c r="AB16" s="3" t="s">
        <v>53</v>
      </c>
      <c r="AC16" s="3" t="s">
        <v>621</v>
      </c>
      <c r="AD16" s="2" t="s">
        <v>105</v>
      </c>
    </row>
    <row r="17" spans="1:30" x14ac:dyDescent="0.2">
      <c r="A17" s="2">
        <v>111020</v>
      </c>
      <c r="B17" s="2" t="s">
        <v>54</v>
      </c>
      <c r="C17" s="2" t="s">
        <v>122</v>
      </c>
      <c r="D17" s="2" t="s">
        <v>56</v>
      </c>
      <c r="E17" s="2"/>
      <c r="F17" s="2"/>
      <c r="G17" s="2"/>
      <c r="H17" s="2" t="s">
        <v>104</v>
      </c>
      <c r="I17" s="2" t="s">
        <v>105</v>
      </c>
      <c r="J17" s="2"/>
      <c r="K17" s="2" t="s">
        <v>35</v>
      </c>
      <c r="L17" s="2" t="s">
        <v>36</v>
      </c>
      <c r="M17" s="2" t="s">
        <v>50</v>
      </c>
      <c r="N17" s="2" t="s">
        <v>123</v>
      </c>
      <c r="O17" s="2" t="s">
        <v>124</v>
      </c>
      <c r="P17" s="2" t="s">
        <v>64</v>
      </c>
      <c r="Q17" s="2" t="s">
        <v>41</v>
      </c>
      <c r="R17" s="2">
        <v>9</v>
      </c>
      <c r="S17" s="2">
        <v>35</v>
      </c>
      <c r="T17" s="2">
        <v>2</v>
      </c>
      <c r="U17" s="3">
        <v>2</v>
      </c>
      <c r="V17" s="3">
        <v>0</v>
      </c>
      <c r="W17" s="3">
        <v>0</v>
      </c>
      <c r="X17" s="3">
        <v>0</v>
      </c>
      <c r="Y17" s="3">
        <v>0</v>
      </c>
      <c r="Z17" s="3">
        <v>2</v>
      </c>
      <c r="AA17" s="4">
        <f t="shared" si="0"/>
        <v>70</v>
      </c>
      <c r="AB17" s="3" t="s">
        <v>53</v>
      </c>
      <c r="AC17" s="3" t="s">
        <v>621</v>
      </c>
      <c r="AD17" s="2" t="s">
        <v>105</v>
      </c>
    </row>
    <row r="18" spans="1:30" x14ac:dyDescent="0.2">
      <c r="A18" s="2">
        <v>111790</v>
      </c>
      <c r="B18" s="2" t="s">
        <v>109</v>
      </c>
      <c r="C18" s="2" t="s">
        <v>125</v>
      </c>
      <c r="D18" s="2" t="s">
        <v>32</v>
      </c>
      <c r="E18" s="2"/>
      <c r="F18" s="2"/>
      <c r="G18" s="2"/>
      <c r="H18" s="2" t="s">
        <v>104</v>
      </c>
      <c r="I18" s="2" t="s">
        <v>105</v>
      </c>
      <c r="J18" s="2"/>
      <c r="K18" s="2" t="s">
        <v>35</v>
      </c>
      <c r="L18" s="2" t="s">
        <v>49</v>
      </c>
      <c r="M18" s="2" t="s">
        <v>61</v>
      </c>
      <c r="N18" s="2" t="s">
        <v>126</v>
      </c>
      <c r="O18" s="2" t="s">
        <v>127</v>
      </c>
      <c r="P18" s="2" t="s">
        <v>40</v>
      </c>
      <c r="Q18" s="2" t="s">
        <v>41</v>
      </c>
      <c r="R18" s="2">
        <v>9</v>
      </c>
      <c r="S18" s="2">
        <v>35</v>
      </c>
      <c r="T18" s="2">
        <v>2</v>
      </c>
      <c r="U18" s="3">
        <v>2</v>
      </c>
      <c r="V18" s="3">
        <v>0</v>
      </c>
      <c r="W18" s="3">
        <v>0</v>
      </c>
      <c r="X18" s="3">
        <v>0</v>
      </c>
      <c r="Y18" s="3">
        <v>0</v>
      </c>
      <c r="Z18" s="3">
        <v>0</v>
      </c>
      <c r="AA18" s="4">
        <f t="shared" si="0"/>
        <v>0</v>
      </c>
      <c r="AB18" s="3" t="s">
        <v>53</v>
      </c>
      <c r="AC18" s="3" t="s">
        <v>621</v>
      </c>
      <c r="AD18" s="2" t="s">
        <v>105</v>
      </c>
    </row>
    <row r="19" spans="1:30" x14ac:dyDescent="0.2">
      <c r="A19" s="2">
        <v>111781</v>
      </c>
      <c r="B19" s="2" t="s">
        <v>109</v>
      </c>
      <c r="C19" s="2" t="s">
        <v>128</v>
      </c>
      <c r="D19" s="2" t="s">
        <v>32</v>
      </c>
      <c r="E19" s="2"/>
      <c r="F19" s="2"/>
      <c r="G19" s="2"/>
      <c r="H19" s="2" t="s">
        <v>104</v>
      </c>
      <c r="I19" s="2" t="s">
        <v>105</v>
      </c>
      <c r="J19" s="2"/>
      <c r="K19" s="2" t="s">
        <v>35</v>
      </c>
      <c r="L19" s="2" t="s">
        <v>49</v>
      </c>
      <c r="M19" s="2" t="s">
        <v>37</v>
      </c>
      <c r="N19" s="2" t="s">
        <v>129</v>
      </c>
      <c r="O19" s="2" t="s">
        <v>130</v>
      </c>
      <c r="P19" s="2" t="s">
        <v>40</v>
      </c>
      <c r="Q19" s="2" t="s">
        <v>41</v>
      </c>
      <c r="R19" s="2">
        <v>9</v>
      </c>
      <c r="S19" s="2">
        <v>35</v>
      </c>
      <c r="T19" s="2">
        <v>2</v>
      </c>
      <c r="U19" s="3">
        <v>2</v>
      </c>
      <c r="V19" s="3">
        <v>0</v>
      </c>
      <c r="W19" s="3">
        <v>0</v>
      </c>
      <c r="X19" s="3">
        <v>0</v>
      </c>
      <c r="Y19" s="3">
        <v>2</v>
      </c>
      <c r="Z19" s="3">
        <v>4</v>
      </c>
      <c r="AA19" s="4">
        <f t="shared" si="0"/>
        <v>140</v>
      </c>
      <c r="AB19" s="3" t="s">
        <v>42</v>
      </c>
      <c r="AC19" s="3" t="s">
        <v>621</v>
      </c>
      <c r="AD19" s="2" t="s">
        <v>105</v>
      </c>
    </row>
    <row r="20" spans="1:30" x14ac:dyDescent="0.2">
      <c r="A20" s="2">
        <v>112700</v>
      </c>
      <c r="B20" s="2" t="s">
        <v>43</v>
      </c>
      <c r="C20" s="2" t="s">
        <v>131</v>
      </c>
      <c r="D20" s="2" t="s">
        <v>32</v>
      </c>
      <c r="E20" s="2"/>
      <c r="F20" s="2"/>
      <c r="G20" s="2"/>
      <c r="H20" s="2" t="s">
        <v>132</v>
      </c>
      <c r="I20" s="2" t="s">
        <v>133</v>
      </c>
      <c r="J20" s="2"/>
      <c r="K20" s="2" t="s">
        <v>35</v>
      </c>
      <c r="L20" s="2" t="s">
        <v>134</v>
      </c>
      <c r="M20" s="2" t="s">
        <v>135</v>
      </c>
      <c r="N20" s="2" t="s">
        <v>136</v>
      </c>
      <c r="O20" s="2" t="s">
        <v>137</v>
      </c>
      <c r="P20" s="2" t="s">
        <v>40</v>
      </c>
      <c r="Q20" s="2" t="s">
        <v>138</v>
      </c>
      <c r="R20" s="2">
        <v>32.6</v>
      </c>
      <c r="S20" s="2">
        <v>35</v>
      </c>
      <c r="T20" s="2">
        <v>3</v>
      </c>
      <c r="U20" s="3">
        <v>2</v>
      </c>
      <c r="V20" s="3">
        <v>0</v>
      </c>
      <c r="W20" s="3">
        <v>0</v>
      </c>
      <c r="X20" s="3">
        <v>0</v>
      </c>
      <c r="Y20" s="3">
        <v>3</v>
      </c>
      <c r="Z20" s="3">
        <v>6</v>
      </c>
      <c r="AA20" s="4">
        <f t="shared" si="0"/>
        <v>210</v>
      </c>
      <c r="AB20" s="3" t="s">
        <v>42</v>
      </c>
      <c r="AC20" s="3" t="s">
        <v>621</v>
      </c>
      <c r="AD20" s="2" t="s">
        <v>133</v>
      </c>
    </row>
    <row r="21" spans="1:30" x14ac:dyDescent="0.2">
      <c r="A21" s="2">
        <v>112751</v>
      </c>
      <c r="B21" s="2" t="s">
        <v>139</v>
      </c>
      <c r="C21" s="2" t="s">
        <v>140</v>
      </c>
      <c r="D21" s="2" t="s">
        <v>32</v>
      </c>
      <c r="E21" s="2"/>
      <c r="F21" s="2"/>
      <c r="G21" s="2"/>
      <c r="H21" s="2" t="s">
        <v>141</v>
      </c>
      <c r="I21" s="2" t="s">
        <v>142</v>
      </c>
      <c r="J21" s="2"/>
      <c r="K21" s="2" t="s">
        <v>35</v>
      </c>
      <c r="L21" s="2" t="s">
        <v>143</v>
      </c>
      <c r="M21" s="2" t="s">
        <v>37</v>
      </c>
      <c r="N21" s="2" t="s">
        <v>144</v>
      </c>
      <c r="O21" s="2" t="s">
        <v>145</v>
      </c>
      <c r="P21" s="2" t="s">
        <v>40</v>
      </c>
      <c r="Q21" s="2" t="s">
        <v>41</v>
      </c>
      <c r="R21" s="2">
        <v>17.399999999999999</v>
      </c>
      <c r="S21" s="2">
        <v>35</v>
      </c>
      <c r="T21" s="2">
        <v>2</v>
      </c>
      <c r="U21" s="3">
        <v>6</v>
      </c>
      <c r="V21" s="3">
        <v>0</v>
      </c>
      <c r="W21" s="3">
        <v>0</v>
      </c>
      <c r="X21" s="3">
        <v>0</v>
      </c>
      <c r="Y21" s="3">
        <v>3</v>
      </c>
      <c r="Z21" s="3">
        <v>5</v>
      </c>
      <c r="AA21" s="4">
        <f t="shared" si="0"/>
        <v>175</v>
      </c>
      <c r="AB21" s="3" t="s">
        <v>42</v>
      </c>
      <c r="AC21" s="3" t="s">
        <v>621</v>
      </c>
      <c r="AD21" s="2" t="s">
        <v>142</v>
      </c>
    </row>
    <row r="22" spans="1:30" x14ac:dyDescent="0.2">
      <c r="A22" s="2">
        <v>110774</v>
      </c>
      <c r="B22" s="2" t="s">
        <v>146</v>
      </c>
      <c r="C22" s="2" t="s">
        <v>147</v>
      </c>
      <c r="D22" s="2" t="s">
        <v>148</v>
      </c>
      <c r="E22" s="2" t="s">
        <v>67</v>
      </c>
      <c r="F22" s="2" t="s">
        <v>50</v>
      </c>
      <c r="G22" s="2" t="s">
        <v>149</v>
      </c>
      <c r="H22" s="2" t="s">
        <v>150</v>
      </c>
      <c r="I22" s="2" t="s">
        <v>151</v>
      </c>
      <c r="J22" s="2"/>
      <c r="K22" s="2" t="s">
        <v>35</v>
      </c>
      <c r="L22" s="2" t="s">
        <v>152</v>
      </c>
      <c r="M22" s="2" t="s">
        <v>50</v>
      </c>
      <c r="N22" s="2" t="s">
        <v>153</v>
      </c>
      <c r="O22" s="2" t="s">
        <v>154</v>
      </c>
      <c r="P22" s="2" t="s">
        <v>40</v>
      </c>
      <c r="Q22" s="2" t="s">
        <v>41</v>
      </c>
      <c r="R22" s="2">
        <v>29.8</v>
      </c>
      <c r="S22" s="2">
        <v>35</v>
      </c>
      <c r="T22" s="2">
        <v>2</v>
      </c>
      <c r="U22" s="3">
        <v>5</v>
      </c>
      <c r="V22" s="3">
        <v>0</v>
      </c>
      <c r="W22" s="3">
        <v>0</v>
      </c>
      <c r="X22" s="3">
        <v>0</v>
      </c>
      <c r="Y22" s="3">
        <v>0</v>
      </c>
      <c r="Z22" s="3">
        <v>5</v>
      </c>
      <c r="AA22" s="4">
        <f t="shared" si="0"/>
        <v>175</v>
      </c>
      <c r="AB22" s="3" t="s">
        <v>53</v>
      </c>
      <c r="AC22" s="3" t="s">
        <v>621</v>
      </c>
      <c r="AD22" s="2" t="s">
        <v>151</v>
      </c>
    </row>
    <row r="23" spans="1:30" x14ac:dyDescent="0.2">
      <c r="A23" s="2">
        <v>112205</v>
      </c>
      <c r="B23" s="2" t="s">
        <v>155</v>
      </c>
      <c r="C23" s="2"/>
      <c r="D23" s="2" t="s">
        <v>148</v>
      </c>
      <c r="E23" s="2" t="s">
        <v>156</v>
      </c>
      <c r="F23" s="2" t="s">
        <v>50</v>
      </c>
      <c r="G23" s="2" t="s">
        <v>157</v>
      </c>
      <c r="H23" s="2" t="s">
        <v>158</v>
      </c>
      <c r="I23" s="2" t="s">
        <v>159</v>
      </c>
      <c r="J23" s="2"/>
      <c r="K23" s="2" t="s">
        <v>35</v>
      </c>
      <c r="L23" s="2" t="s">
        <v>160</v>
      </c>
      <c r="M23" s="2" t="s">
        <v>50</v>
      </c>
      <c r="N23" s="2" t="s">
        <v>161</v>
      </c>
      <c r="O23" s="2" t="s">
        <v>162</v>
      </c>
      <c r="P23" s="2" t="s">
        <v>40</v>
      </c>
      <c r="Q23" s="2" t="s">
        <v>41</v>
      </c>
      <c r="R23" s="2">
        <v>7.6</v>
      </c>
      <c r="S23" s="2">
        <v>35</v>
      </c>
      <c r="T23" s="2">
        <v>2</v>
      </c>
      <c r="U23" s="3">
        <v>2</v>
      </c>
      <c r="V23" s="3">
        <v>0</v>
      </c>
      <c r="W23" s="3">
        <v>0</v>
      </c>
      <c r="X23" s="3">
        <v>0</v>
      </c>
      <c r="Y23" s="3">
        <v>0</v>
      </c>
      <c r="Z23" s="3">
        <v>0</v>
      </c>
      <c r="AA23" s="4">
        <f t="shared" si="0"/>
        <v>0</v>
      </c>
      <c r="AB23" s="3" t="s">
        <v>53</v>
      </c>
      <c r="AC23" s="3" t="s">
        <v>621</v>
      </c>
      <c r="AD23" s="2" t="s">
        <v>159</v>
      </c>
    </row>
    <row r="24" spans="1:30" x14ac:dyDescent="0.2">
      <c r="A24" s="2">
        <v>110347</v>
      </c>
      <c r="B24" s="2" t="s">
        <v>88</v>
      </c>
      <c r="C24" s="2" t="s">
        <v>163</v>
      </c>
      <c r="D24" s="2" t="s">
        <v>32</v>
      </c>
      <c r="E24" s="2"/>
      <c r="F24" s="2"/>
      <c r="G24" s="2"/>
      <c r="H24" s="2" t="s">
        <v>164</v>
      </c>
      <c r="I24" s="2" t="s">
        <v>165</v>
      </c>
      <c r="J24" s="2"/>
      <c r="K24" s="2" t="s">
        <v>35</v>
      </c>
      <c r="L24" s="2" t="s">
        <v>79</v>
      </c>
      <c r="M24" s="2" t="s">
        <v>80</v>
      </c>
      <c r="N24" s="2" t="s">
        <v>166</v>
      </c>
      <c r="O24" s="2" t="s">
        <v>167</v>
      </c>
      <c r="P24" s="2" t="s">
        <v>40</v>
      </c>
      <c r="Q24" s="2" t="s">
        <v>138</v>
      </c>
      <c r="R24" s="2">
        <v>33.5</v>
      </c>
      <c r="S24" s="2">
        <v>35</v>
      </c>
      <c r="T24" s="2">
        <v>3</v>
      </c>
      <c r="U24" s="3">
        <v>1</v>
      </c>
      <c r="V24" s="3">
        <v>0</v>
      </c>
      <c r="W24" s="3">
        <v>0</v>
      </c>
      <c r="X24" s="3">
        <v>0</v>
      </c>
      <c r="Y24" s="3">
        <v>10</v>
      </c>
      <c r="Z24" s="3">
        <v>10</v>
      </c>
      <c r="AA24" s="4">
        <f t="shared" si="0"/>
        <v>350</v>
      </c>
      <c r="AB24" s="3" t="s">
        <v>42</v>
      </c>
      <c r="AC24" s="3" t="s">
        <v>621</v>
      </c>
      <c r="AD24" s="2" t="s">
        <v>165</v>
      </c>
    </row>
    <row r="25" spans="1:30" x14ac:dyDescent="0.2">
      <c r="A25" s="2">
        <v>110729</v>
      </c>
      <c r="B25" s="2" t="s">
        <v>84</v>
      </c>
      <c r="C25" s="2" t="s">
        <v>168</v>
      </c>
      <c r="D25" s="2" t="s">
        <v>32</v>
      </c>
      <c r="E25" s="2"/>
      <c r="F25" s="2"/>
      <c r="G25" s="2"/>
      <c r="H25" s="2" t="s">
        <v>164</v>
      </c>
      <c r="I25" s="2" t="s">
        <v>165</v>
      </c>
      <c r="J25" s="2"/>
      <c r="K25" s="2" t="s">
        <v>35</v>
      </c>
      <c r="L25" s="2" t="s">
        <v>111</v>
      </c>
      <c r="M25" s="2" t="s">
        <v>80</v>
      </c>
      <c r="N25" s="2" t="s">
        <v>169</v>
      </c>
      <c r="O25" s="2" t="s">
        <v>170</v>
      </c>
      <c r="P25" s="2" t="s">
        <v>40</v>
      </c>
      <c r="Q25" s="2" t="s">
        <v>138</v>
      </c>
      <c r="R25" s="2">
        <v>33.5</v>
      </c>
      <c r="S25" s="2">
        <v>35</v>
      </c>
      <c r="T25" s="2">
        <v>3</v>
      </c>
      <c r="U25" s="3">
        <v>2</v>
      </c>
      <c r="V25" s="3">
        <v>2</v>
      </c>
      <c r="W25" s="3">
        <v>0</v>
      </c>
      <c r="X25" s="3">
        <v>2</v>
      </c>
      <c r="Y25" s="3">
        <v>2</v>
      </c>
      <c r="Z25" s="3">
        <v>3</v>
      </c>
      <c r="AA25" s="4">
        <f t="shared" si="0"/>
        <v>105</v>
      </c>
      <c r="AB25" s="3" t="s">
        <v>83</v>
      </c>
      <c r="AC25" s="3" t="s">
        <v>621</v>
      </c>
      <c r="AD25" s="2" t="s">
        <v>165</v>
      </c>
    </row>
    <row r="26" spans="1:30" x14ac:dyDescent="0.2">
      <c r="A26" s="2">
        <v>110674</v>
      </c>
      <c r="B26" s="2" t="s">
        <v>171</v>
      </c>
      <c r="C26" s="2" t="s">
        <v>172</v>
      </c>
      <c r="D26" s="2" t="s">
        <v>148</v>
      </c>
      <c r="E26" s="2"/>
      <c r="F26" s="2"/>
      <c r="G26" s="2"/>
      <c r="H26" s="2" t="s">
        <v>164</v>
      </c>
      <c r="I26" s="2" t="s">
        <v>165</v>
      </c>
      <c r="J26" s="2"/>
      <c r="K26" s="2" t="s">
        <v>35</v>
      </c>
      <c r="L26" s="2" t="s">
        <v>111</v>
      </c>
      <c r="M26" s="2" t="s">
        <v>61</v>
      </c>
      <c r="N26" s="2" t="s">
        <v>173</v>
      </c>
      <c r="O26" s="2" t="s">
        <v>174</v>
      </c>
      <c r="P26" s="2" t="s">
        <v>40</v>
      </c>
      <c r="Q26" s="2" t="s">
        <v>138</v>
      </c>
      <c r="R26" s="2">
        <v>33.5</v>
      </c>
      <c r="S26" s="2">
        <v>35</v>
      </c>
      <c r="T26" s="2">
        <v>3</v>
      </c>
      <c r="U26" s="3">
        <v>5</v>
      </c>
      <c r="V26" s="3">
        <v>0</v>
      </c>
      <c r="W26" s="3">
        <v>0</v>
      </c>
      <c r="X26" s="3">
        <v>0</v>
      </c>
      <c r="Y26" s="3">
        <v>0</v>
      </c>
      <c r="Z26" s="3">
        <v>0</v>
      </c>
      <c r="AA26" s="4">
        <f t="shared" si="0"/>
        <v>0</v>
      </c>
      <c r="AB26" s="3" t="s">
        <v>53</v>
      </c>
      <c r="AC26" s="3" t="s">
        <v>621</v>
      </c>
      <c r="AD26" s="2" t="s">
        <v>165</v>
      </c>
    </row>
    <row r="27" spans="1:30" x14ac:dyDescent="0.2">
      <c r="A27" s="2">
        <v>110853</v>
      </c>
      <c r="B27" s="2" t="s">
        <v>84</v>
      </c>
      <c r="C27" s="2" t="s">
        <v>175</v>
      </c>
      <c r="D27" s="2" t="s">
        <v>32</v>
      </c>
      <c r="E27" s="2"/>
      <c r="F27" s="2"/>
      <c r="G27" s="2"/>
      <c r="H27" s="2" t="s">
        <v>164</v>
      </c>
      <c r="I27" s="2" t="s">
        <v>165</v>
      </c>
      <c r="J27" s="2"/>
      <c r="K27" s="2" t="s">
        <v>35</v>
      </c>
      <c r="L27" s="2" t="s">
        <v>152</v>
      </c>
      <c r="M27" s="2" t="s">
        <v>80</v>
      </c>
      <c r="N27" s="2" t="s">
        <v>176</v>
      </c>
      <c r="O27" s="2" t="s">
        <v>177</v>
      </c>
      <c r="P27" s="2" t="s">
        <v>40</v>
      </c>
      <c r="Q27" s="2" t="s">
        <v>138</v>
      </c>
      <c r="R27" s="2">
        <v>33.5</v>
      </c>
      <c r="S27" s="2">
        <v>35</v>
      </c>
      <c r="T27" s="2">
        <v>3</v>
      </c>
      <c r="U27" s="3">
        <v>2</v>
      </c>
      <c r="V27" s="3">
        <v>1</v>
      </c>
      <c r="W27" s="3">
        <v>0</v>
      </c>
      <c r="X27" s="3">
        <v>0</v>
      </c>
      <c r="Y27" s="3">
        <v>1</v>
      </c>
      <c r="Z27" s="3">
        <v>3</v>
      </c>
      <c r="AA27" s="4">
        <f t="shared" si="0"/>
        <v>105</v>
      </c>
      <c r="AB27" s="3" t="s">
        <v>178</v>
      </c>
      <c r="AC27" s="3" t="s">
        <v>621</v>
      </c>
      <c r="AD27" s="2" t="s">
        <v>165</v>
      </c>
    </row>
    <row r="28" spans="1:30" x14ac:dyDescent="0.2">
      <c r="A28" s="2">
        <v>111640</v>
      </c>
      <c r="B28" s="2" t="s">
        <v>179</v>
      </c>
      <c r="C28" s="2" t="s">
        <v>180</v>
      </c>
      <c r="D28" s="2" t="s">
        <v>32</v>
      </c>
      <c r="E28" s="2"/>
      <c r="F28" s="2"/>
      <c r="G28" s="2"/>
      <c r="H28" s="2" t="s">
        <v>181</v>
      </c>
      <c r="I28" s="2" t="s">
        <v>182</v>
      </c>
      <c r="J28" s="2"/>
      <c r="K28" s="2" t="s">
        <v>35</v>
      </c>
      <c r="L28" s="2" t="s">
        <v>49</v>
      </c>
      <c r="M28" s="2" t="s">
        <v>61</v>
      </c>
      <c r="N28" s="2" t="s">
        <v>183</v>
      </c>
      <c r="O28" s="2" t="s">
        <v>184</v>
      </c>
      <c r="P28" s="2" t="s">
        <v>40</v>
      </c>
      <c r="Q28" s="2" t="s">
        <v>101</v>
      </c>
      <c r="R28" s="2">
        <v>180.8</v>
      </c>
      <c r="S28" s="2">
        <v>35</v>
      </c>
      <c r="T28" s="2">
        <v>4</v>
      </c>
      <c r="U28" s="3">
        <v>2</v>
      </c>
      <c r="V28" s="3">
        <v>0</v>
      </c>
      <c r="W28" s="3">
        <v>0</v>
      </c>
      <c r="X28" s="3">
        <v>0</v>
      </c>
      <c r="Y28" s="3">
        <v>0</v>
      </c>
      <c r="Z28" s="3">
        <v>0</v>
      </c>
      <c r="AA28" s="4">
        <f t="shared" si="0"/>
        <v>0</v>
      </c>
      <c r="AB28" s="3" t="s">
        <v>53</v>
      </c>
      <c r="AC28" s="3" t="s">
        <v>621</v>
      </c>
      <c r="AD28" s="2" t="s">
        <v>182</v>
      </c>
    </row>
    <row r="29" spans="1:30" x14ac:dyDescent="0.2">
      <c r="A29" s="2">
        <v>110870</v>
      </c>
      <c r="B29" s="2" t="s">
        <v>84</v>
      </c>
      <c r="C29" s="2" t="s">
        <v>185</v>
      </c>
      <c r="D29" s="2" t="s">
        <v>32</v>
      </c>
      <c r="E29" s="2"/>
      <c r="F29" s="2"/>
      <c r="G29" s="2"/>
      <c r="H29" s="2" t="s">
        <v>186</v>
      </c>
      <c r="I29" s="2" t="s">
        <v>187</v>
      </c>
      <c r="J29" s="2"/>
      <c r="K29" s="2" t="s">
        <v>35</v>
      </c>
      <c r="L29" s="2" t="s">
        <v>152</v>
      </c>
      <c r="M29" s="2" t="s">
        <v>50</v>
      </c>
      <c r="N29" s="2" t="s">
        <v>188</v>
      </c>
      <c r="O29" s="2" t="s">
        <v>189</v>
      </c>
      <c r="P29" s="2" t="s">
        <v>40</v>
      </c>
      <c r="Q29" s="2" t="s">
        <v>101</v>
      </c>
      <c r="R29" s="2">
        <v>26.5</v>
      </c>
      <c r="S29" s="2">
        <v>35</v>
      </c>
      <c r="T29" s="2">
        <v>4</v>
      </c>
      <c r="U29" s="3">
        <v>2</v>
      </c>
      <c r="V29" s="3">
        <v>0</v>
      </c>
      <c r="W29" s="3">
        <v>0</v>
      </c>
      <c r="X29" s="3">
        <v>1</v>
      </c>
      <c r="Y29" s="3">
        <v>0</v>
      </c>
      <c r="Z29" s="3">
        <v>3</v>
      </c>
      <c r="AA29" s="4">
        <f t="shared" si="0"/>
        <v>105</v>
      </c>
      <c r="AB29" s="3" t="s">
        <v>108</v>
      </c>
      <c r="AC29" s="3" t="s">
        <v>621</v>
      </c>
      <c r="AD29" s="2" t="s">
        <v>187</v>
      </c>
    </row>
    <row r="30" spans="1:30" x14ac:dyDescent="0.2">
      <c r="A30" s="2">
        <v>112232</v>
      </c>
      <c r="B30" s="2" t="s">
        <v>43</v>
      </c>
      <c r="C30" s="2" t="s">
        <v>190</v>
      </c>
      <c r="D30" s="2" t="s">
        <v>32</v>
      </c>
      <c r="E30" s="2" t="s">
        <v>67</v>
      </c>
      <c r="F30" s="2" t="s">
        <v>50</v>
      </c>
      <c r="G30" s="2" t="s">
        <v>191</v>
      </c>
      <c r="H30" s="2" t="s">
        <v>186</v>
      </c>
      <c r="I30" s="2" t="s">
        <v>187</v>
      </c>
      <c r="J30" s="2"/>
      <c r="K30" s="2" t="s">
        <v>35</v>
      </c>
      <c r="L30" s="2" t="s">
        <v>192</v>
      </c>
      <c r="M30" s="2" t="s">
        <v>50</v>
      </c>
      <c r="N30" s="2" t="s">
        <v>193</v>
      </c>
      <c r="O30" s="2" t="s">
        <v>194</v>
      </c>
      <c r="P30" s="2" t="s">
        <v>40</v>
      </c>
      <c r="Q30" s="2" t="s">
        <v>101</v>
      </c>
      <c r="R30" s="2">
        <v>26.5</v>
      </c>
      <c r="S30" s="2">
        <v>35</v>
      </c>
      <c r="T30" s="2">
        <v>4</v>
      </c>
      <c r="U30" s="3">
        <v>2</v>
      </c>
      <c r="V30" s="3">
        <v>0</v>
      </c>
      <c r="W30" s="3">
        <v>0</v>
      </c>
      <c r="X30" s="3">
        <v>0</v>
      </c>
      <c r="Y30" s="3">
        <v>0</v>
      </c>
      <c r="Z30" s="3">
        <v>3</v>
      </c>
      <c r="AA30" s="4">
        <f t="shared" si="0"/>
        <v>105</v>
      </c>
      <c r="AB30" s="3" t="s">
        <v>53</v>
      </c>
      <c r="AC30" s="3" t="s">
        <v>621</v>
      </c>
      <c r="AD30" s="2" t="s">
        <v>187</v>
      </c>
    </row>
    <row r="31" spans="1:30" x14ac:dyDescent="0.2">
      <c r="A31" s="2">
        <v>111884</v>
      </c>
      <c r="B31" s="2" t="s">
        <v>109</v>
      </c>
      <c r="C31" s="2" t="s">
        <v>195</v>
      </c>
      <c r="D31" s="2" t="s">
        <v>32</v>
      </c>
      <c r="E31" s="2" t="s">
        <v>196</v>
      </c>
      <c r="F31" s="2" t="s">
        <v>135</v>
      </c>
      <c r="G31" s="2" t="s">
        <v>197</v>
      </c>
      <c r="H31" s="2" t="s">
        <v>198</v>
      </c>
      <c r="I31" s="2" t="s">
        <v>199</v>
      </c>
      <c r="J31" s="2"/>
      <c r="K31" s="2" t="s">
        <v>35</v>
      </c>
      <c r="L31" s="2" t="s">
        <v>134</v>
      </c>
      <c r="M31" s="2" t="s">
        <v>135</v>
      </c>
      <c r="N31" s="2" t="s">
        <v>200</v>
      </c>
      <c r="O31" s="2" t="s">
        <v>201</v>
      </c>
      <c r="P31" s="2" t="s">
        <v>40</v>
      </c>
      <c r="Q31" s="2" t="s">
        <v>138</v>
      </c>
      <c r="R31" s="2">
        <v>36.4</v>
      </c>
      <c r="S31" s="2">
        <v>35</v>
      </c>
      <c r="T31" s="2">
        <v>3</v>
      </c>
      <c r="U31" s="3">
        <v>2</v>
      </c>
      <c r="V31" s="3">
        <v>0</v>
      </c>
      <c r="W31" s="3">
        <v>0</v>
      </c>
      <c r="X31" s="3">
        <v>0</v>
      </c>
      <c r="Y31" s="3">
        <v>0</v>
      </c>
      <c r="Z31" s="3">
        <v>0</v>
      </c>
      <c r="AA31" s="4">
        <f t="shared" si="0"/>
        <v>0</v>
      </c>
      <c r="AB31" s="3" t="s">
        <v>53</v>
      </c>
      <c r="AC31" s="3" t="s">
        <v>621</v>
      </c>
      <c r="AD31" s="2" t="s">
        <v>199</v>
      </c>
    </row>
    <row r="32" spans="1:30" x14ac:dyDescent="0.2">
      <c r="A32" s="2">
        <v>111047</v>
      </c>
      <c r="B32" s="2" t="s">
        <v>54</v>
      </c>
      <c r="C32" s="2" t="s">
        <v>202</v>
      </c>
      <c r="D32" s="2" t="s">
        <v>56</v>
      </c>
      <c r="E32" s="2"/>
      <c r="F32" s="2"/>
      <c r="G32" s="2"/>
      <c r="H32" s="2" t="s">
        <v>203</v>
      </c>
      <c r="I32" s="2" t="s">
        <v>204</v>
      </c>
      <c r="J32" s="2"/>
      <c r="K32" s="2" t="s">
        <v>35</v>
      </c>
      <c r="L32" s="2" t="s">
        <v>36</v>
      </c>
      <c r="M32" s="2" t="s">
        <v>61</v>
      </c>
      <c r="N32" s="2" t="s">
        <v>205</v>
      </c>
      <c r="O32" s="2" t="s">
        <v>206</v>
      </c>
      <c r="P32" s="2" t="s">
        <v>64</v>
      </c>
      <c r="Q32" s="2" t="s">
        <v>101</v>
      </c>
      <c r="R32" s="2">
        <v>383.1</v>
      </c>
      <c r="S32" s="2">
        <v>35</v>
      </c>
      <c r="T32" s="2">
        <v>4</v>
      </c>
      <c r="U32" s="3">
        <v>2</v>
      </c>
      <c r="V32" s="3">
        <v>0</v>
      </c>
      <c r="W32" s="3">
        <v>0</v>
      </c>
      <c r="X32" s="3">
        <v>0</v>
      </c>
      <c r="Y32" s="3">
        <v>0</v>
      </c>
      <c r="Z32" s="3">
        <v>0</v>
      </c>
      <c r="AA32" s="4">
        <f t="shared" si="0"/>
        <v>0</v>
      </c>
      <c r="AB32" s="3" t="s">
        <v>53</v>
      </c>
      <c r="AC32" s="3" t="s">
        <v>621</v>
      </c>
      <c r="AD32" s="2" t="s">
        <v>204</v>
      </c>
    </row>
    <row r="33" spans="1:30" x14ac:dyDescent="0.2">
      <c r="A33" s="2">
        <v>111046</v>
      </c>
      <c r="B33" s="2" t="s">
        <v>109</v>
      </c>
      <c r="C33" s="2" t="s">
        <v>207</v>
      </c>
      <c r="D33" s="2" t="s">
        <v>32</v>
      </c>
      <c r="E33" s="2" t="s">
        <v>67</v>
      </c>
      <c r="F33" s="2" t="s">
        <v>50</v>
      </c>
      <c r="G33" s="2" t="s">
        <v>208</v>
      </c>
      <c r="H33" s="2" t="s">
        <v>203</v>
      </c>
      <c r="I33" s="2" t="s">
        <v>204</v>
      </c>
      <c r="J33" s="2"/>
      <c r="K33" s="2" t="s">
        <v>35</v>
      </c>
      <c r="L33" s="2" t="s">
        <v>90</v>
      </c>
      <c r="M33" s="2" t="s">
        <v>50</v>
      </c>
      <c r="N33" s="2" t="s">
        <v>209</v>
      </c>
      <c r="O33" s="2" t="s">
        <v>210</v>
      </c>
      <c r="P33" s="2" t="s">
        <v>40</v>
      </c>
      <c r="Q33" s="2" t="s">
        <v>101</v>
      </c>
      <c r="R33" s="2">
        <v>383.1</v>
      </c>
      <c r="S33" s="2">
        <v>35</v>
      </c>
      <c r="T33" s="2">
        <v>4</v>
      </c>
      <c r="U33" s="3">
        <v>2</v>
      </c>
      <c r="V33" s="3">
        <v>0</v>
      </c>
      <c r="W33" s="3">
        <v>0</v>
      </c>
      <c r="X33" s="3">
        <v>0</v>
      </c>
      <c r="Y33" s="3">
        <v>0</v>
      </c>
      <c r="Z33" s="3">
        <v>9</v>
      </c>
      <c r="AA33" s="4">
        <f t="shared" si="0"/>
        <v>315</v>
      </c>
      <c r="AB33" s="3" t="s">
        <v>53</v>
      </c>
      <c r="AC33" s="3" t="s">
        <v>621</v>
      </c>
      <c r="AD33" s="2" t="s">
        <v>204</v>
      </c>
    </row>
    <row r="34" spans="1:30" x14ac:dyDescent="0.2">
      <c r="A34" s="2">
        <v>112807</v>
      </c>
      <c r="B34" s="2" t="s">
        <v>84</v>
      </c>
      <c r="C34" s="2" t="s">
        <v>211</v>
      </c>
      <c r="D34" s="2" t="s">
        <v>32</v>
      </c>
      <c r="E34" s="2"/>
      <c r="F34" s="2"/>
      <c r="G34" s="2"/>
      <c r="H34" s="2" t="s">
        <v>212</v>
      </c>
      <c r="I34" s="2" t="s">
        <v>213</v>
      </c>
      <c r="J34" s="2"/>
      <c r="K34" s="2" t="s">
        <v>35</v>
      </c>
      <c r="L34" s="2" t="s">
        <v>134</v>
      </c>
      <c r="M34" s="2" t="s">
        <v>61</v>
      </c>
      <c r="N34" s="2" t="s">
        <v>214</v>
      </c>
      <c r="O34" s="2" t="s">
        <v>215</v>
      </c>
      <c r="P34" s="2" t="s">
        <v>40</v>
      </c>
      <c r="Q34" s="2" t="s">
        <v>138</v>
      </c>
      <c r="R34" s="2">
        <v>52.8</v>
      </c>
      <c r="S34" s="2">
        <v>35</v>
      </c>
      <c r="T34" s="2">
        <v>3</v>
      </c>
      <c r="U34" s="3">
        <v>0</v>
      </c>
      <c r="V34" s="3">
        <v>0</v>
      </c>
      <c r="W34" s="3">
        <v>0</v>
      </c>
      <c r="X34" s="3">
        <v>0</v>
      </c>
      <c r="Y34" s="3">
        <v>0</v>
      </c>
      <c r="Z34" s="3">
        <v>6</v>
      </c>
      <c r="AA34" s="4">
        <f t="shared" ref="AA34:AA65" si="1">Z34*35</f>
        <v>210</v>
      </c>
      <c r="AB34" s="3" t="s">
        <v>622</v>
      </c>
      <c r="AC34" s="3" t="s">
        <v>621</v>
      </c>
      <c r="AD34" s="2" t="s">
        <v>213</v>
      </c>
    </row>
    <row r="35" spans="1:30" x14ac:dyDescent="0.2">
      <c r="A35" s="2">
        <v>110012</v>
      </c>
      <c r="B35" s="2" t="s">
        <v>171</v>
      </c>
      <c r="C35" s="2" t="s">
        <v>217</v>
      </c>
      <c r="D35" s="2" t="s">
        <v>148</v>
      </c>
      <c r="E35" s="2"/>
      <c r="F35" s="2"/>
      <c r="G35" s="2"/>
      <c r="H35" s="2" t="s">
        <v>218</v>
      </c>
      <c r="I35" s="2" t="s">
        <v>219</v>
      </c>
      <c r="J35" s="2"/>
      <c r="K35" s="2" t="s">
        <v>35</v>
      </c>
      <c r="L35" s="2" t="s">
        <v>220</v>
      </c>
      <c r="M35" s="2" t="s">
        <v>61</v>
      </c>
      <c r="N35" s="2" t="s">
        <v>221</v>
      </c>
      <c r="O35" s="2" t="s">
        <v>222</v>
      </c>
      <c r="P35" s="2" t="s">
        <v>40</v>
      </c>
      <c r="Q35" s="2" t="s">
        <v>138</v>
      </c>
      <c r="R35" s="2">
        <v>52.8</v>
      </c>
      <c r="S35" s="2">
        <v>35</v>
      </c>
      <c r="T35" s="2">
        <v>3</v>
      </c>
      <c r="U35" s="3">
        <v>5</v>
      </c>
      <c r="V35" s="3">
        <v>0</v>
      </c>
      <c r="W35" s="3">
        <v>0</v>
      </c>
      <c r="X35" s="3">
        <v>3</v>
      </c>
      <c r="Y35" s="3">
        <v>0</v>
      </c>
      <c r="Z35" s="3">
        <v>4</v>
      </c>
      <c r="AA35" s="4">
        <f t="shared" si="1"/>
        <v>140</v>
      </c>
      <c r="AB35" s="3" t="s">
        <v>108</v>
      </c>
      <c r="AC35" s="3" t="s">
        <v>621</v>
      </c>
      <c r="AD35" s="2" t="s">
        <v>219</v>
      </c>
    </row>
    <row r="36" spans="1:30" x14ac:dyDescent="0.2">
      <c r="A36" s="2">
        <v>110923</v>
      </c>
      <c r="B36" s="2" t="s">
        <v>109</v>
      </c>
      <c r="C36" s="2" t="s">
        <v>223</v>
      </c>
      <c r="D36" s="2" t="s">
        <v>32</v>
      </c>
      <c r="E36" s="2" t="s">
        <v>67</v>
      </c>
      <c r="F36" s="2" t="s">
        <v>50</v>
      </c>
      <c r="G36" s="2" t="s">
        <v>224</v>
      </c>
      <c r="H36" s="2" t="s">
        <v>218</v>
      </c>
      <c r="I36" s="2" t="s">
        <v>219</v>
      </c>
      <c r="J36" s="2"/>
      <c r="K36" s="2" t="s">
        <v>35</v>
      </c>
      <c r="L36" s="2" t="s">
        <v>225</v>
      </c>
      <c r="M36" s="2" t="s">
        <v>50</v>
      </c>
      <c r="N36" s="2" t="s">
        <v>226</v>
      </c>
      <c r="O36" s="2" t="s">
        <v>227</v>
      </c>
      <c r="P36" s="2" t="s">
        <v>40</v>
      </c>
      <c r="Q36" s="2" t="s">
        <v>138</v>
      </c>
      <c r="R36" s="2">
        <v>52.8</v>
      </c>
      <c r="S36" s="2">
        <v>35</v>
      </c>
      <c r="T36" s="2">
        <v>3</v>
      </c>
      <c r="U36" s="3">
        <v>5</v>
      </c>
      <c r="V36" s="3">
        <v>0</v>
      </c>
      <c r="W36" s="3">
        <v>0</v>
      </c>
      <c r="X36" s="3">
        <v>0</v>
      </c>
      <c r="Y36" s="3">
        <v>0</v>
      </c>
      <c r="Z36" s="3">
        <v>6</v>
      </c>
      <c r="AA36" s="4">
        <f t="shared" si="1"/>
        <v>210</v>
      </c>
      <c r="AB36" s="3" t="s">
        <v>53</v>
      </c>
      <c r="AC36" s="3" t="s">
        <v>621</v>
      </c>
      <c r="AD36" s="2" t="s">
        <v>219</v>
      </c>
    </row>
    <row r="37" spans="1:30" x14ac:dyDescent="0.2">
      <c r="A37" s="2">
        <v>110864</v>
      </c>
      <c r="B37" s="2" t="s">
        <v>228</v>
      </c>
      <c r="C37" s="2" t="s">
        <v>229</v>
      </c>
      <c r="D37" s="2" t="s">
        <v>148</v>
      </c>
      <c r="E37" s="2"/>
      <c r="F37" s="2"/>
      <c r="G37" s="2"/>
      <c r="H37" s="2" t="s">
        <v>218</v>
      </c>
      <c r="I37" s="2" t="s">
        <v>219</v>
      </c>
      <c r="J37" s="2"/>
      <c r="K37" s="2" t="s">
        <v>35</v>
      </c>
      <c r="L37" s="2" t="s">
        <v>225</v>
      </c>
      <c r="M37" s="2" t="s">
        <v>50</v>
      </c>
      <c r="N37" s="2" t="s">
        <v>230</v>
      </c>
      <c r="O37" s="2" t="s">
        <v>227</v>
      </c>
      <c r="P37" s="2" t="s">
        <v>40</v>
      </c>
      <c r="Q37" s="2" t="s">
        <v>138</v>
      </c>
      <c r="R37" s="2">
        <v>52.8</v>
      </c>
      <c r="S37" s="2">
        <v>35</v>
      </c>
      <c r="T37" s="2">
        <v>3</v>
      </c>
      <c r="U37" s="3">
        <v>5</v>
      </c>
      <c r="V37" s="3">
        <v>0</v>
      </c>
      <c r="W37" s="3">
        <v>0</v>
      </c>
      <c r="X37" s="3">
        <v>0</v>
      </c>
      <c r="Y37" s="3">
        <v>0</v>
      </c>
      <c r="Z37" s="3">
        <v>6</v>
      </c>
      <c r="AA37" s="4">
        <f t="shared" si="1"/>
        <v>210</v>
      </c>
      <c r="AB37" s="3" t="s">
        <v>53</v>
      </c>
      <c r="AC37" s="3" t="s">
        <v>621</v>
      </c>
      <c r="AD37" s="2" t="s">
        <v>219</v>
      </c>
    </row>
    <row r="38" spans="1:30" x14ac:dyDescent="0.2">
      <c r="A38" s="2">
        <v>107748</v>
      </c>
      <c r="B38" s="2" t="s">
        <v>54</v>
      </c>
      <c r="C38" s="2" t="s">
        <v>231</v>
      </c>
      <c r="D38" s="2" t="s">
        <v>56</v>
      </c>
      <c r="E38" s="2"/>
      <c r="F38" s="2"/>
      <c r="G38" s="2"/>
      <c r="H38" s="2" t="s">
        <v>218</v>
      </c>
      <c r="I38" s="2" t="s">
        <v>219</v>
      </c>
      <c r="J38" s="2"/>
      <c r="K38" s="2" t="s">
        <v>35</v>
      </c>
      <c r="L38" s="2" t="s">
        <v>225</v>
      </c>
      <c r="M38" s="2" t="s">
        <v>50</v>
      </c>
      <c r="N38" s="2" t="s">
        <v>232</v>
      </c>
      <c r="O38" s="2" t="s">
        <v>124</v>
      </c>
      <c r="P38" s="2" t="s">
        <v>64</v>
      </c>
      <c r="Q38" s="2" t="s">
        <v>138</v>
      </c>
      <c r="R38" s="2">
        <v>52.8</v>
      </c>
      <c r="S38" s="2">
        <v>35</v>
      </c>
      <c r="T38" s="2">
        <v>3</v>
      </c>
      <c r="U38" s="3">
        <v>2</v>
      </c>
      <c r="V38" s="3">
        <v>0</v>
      </c>
      <c r="W38" s="3">
        <v>0</v>
      </c>
      <c r="X38" s="3">
        <v>0</v>
      </c>
      <c r="Y38" s="3">
        <v>0</v>
      </c>
      <c r="Z38" s="3">
        <v>0</v>
      </c>
      <c r="AA38" s="4">
        <f t="shared" si="1"/>
        <v>0</v>
      </c>
      <c r="AB38" s="3" t="s">
        <v>53</v>
      </c>
      <c r="AC38" s="3" t="s">
        <v>621</v>
      </c>
      <c r="AD38" s="2" t="s">
        <v>219</v>
      </c>
    </row>
    <row r="39" spans="1:30" x14ac:dyDescent="0.2">
      <c r="A39" s="2">
        <v>111672</v>
      </c>
      <c r="B39" s="2" t="s">
        <v>171</v>
      </c>
      <c r="C39" s="2" t="s">
        <v>233</v>
      </c>
      <c r="D39" s="2" t="s">
        <v>148</v>
      </c>
      <c r="E39" s="2" t="s">
        <v>234</v>
      </c>
      <c r="F39" s="2" t="s">
        <v>61</v>
      </c>
      <c r="G39" s="2" t="s">
        <v>235</v>
      </c>
      <c r="H39" s="2" t="s">
        <v>218</v>
      </c>
      <c r="I39" s="2" t="s">
        <v>219</v>
      </c>
      <c r="J39" s="2"/>
      <c r="K39" s="2" t="s">
        <v>35</v>
      </c>
      <c r="L39" s="2" t="s">
        <v>134</v>
      </c>
      <c r="M39" s="2" t="s">
        <v>61</v>
      </c>
      <c r="N39" s="2" t="s">
        <v>236</v>
      </c>
      <c r="O39" s="2" t="s">
        <v>237</v>
      </c>
      <c r="P39" s="2" t="s">
        <v>40</v>
      </c>
      <c r="Q39" s="2" t="s">
        <v>138</v>
      </c>
      <c r="R39" s="2">
        <v>52.8</v>
      </c>
      <c r="S39" s="2">
        <v>35</v>
      </c>
      <c r="T39" s="2">
        <v>3</v>
      </c>
      <c r="U39" s="3">
        <v>5</v>
      </c>
      <c r="V39" s="3">
        <v>0</v>
      </c>
      <c r="W39" s="3">
        <v>0</v>
      </c>
      <c r="X39" s="3">
        <v>0</v>
      </c>
      <c r="Y39" s="3">
        <v>0</v>
      </c>
      <c r="Z39" s="3">
        <v>0</v>
      </c>
      <c r="AA39" s="4">
        <f t="shared" si="1"/>
        <v>0</v>
      </c>
      <c r="AB39" s="3" t="s">
        <v>53</v>
      </c>
      <c r="AC39" s="3" t="s">
        <v>621</v>
      </c>
      <c r="AD39" s="2" t="s">
        <v>219</v>
      </c>
    </row>
    <row r="40" spans="1:30" x14ac:dyDescent="0.2">
      <c r="A40" s="2">
        <v>110413</v>
      </c>
      <c r="B40" s="2" t="s">
        <v>84</v>
      </c>
      <c r="C40" s="2" t="s">
        <v>238</v>
      </c>
      <c r="D40" s="2" t="s">
        <v>32</v>
      </c>
      <c r="E40" s="2"/>
      <c r="F40" s="2"/>
      <c r="G40" s="2"/>
      <c r="H40" s="2" t="s">
        <v>239</v>
      </c>
      <c r="I40" s="2" t="s">
        <v>240</v>
      </c>
      <c r="J40" s="2"/>
      <c r="K40" s="2" t="s">
        <v>35</v>
      </c>
      <c r="L40" s="2" t="s">
        <v>241</v>
      </c>
      <c r="M40" s="2" t="s">
        <v>50</v>
      </c>
      <c r="N40" s="2" t="s">
        <v>242</v>
      </c>
      <c r="O40" s="2" t="s">
        <v>243</v>
      </c>
      <c r="P40" s="2" t="s">
        <v>40</v>
      </c>
      <c r="Q40" s="2" t="s">
        <v>41</v>
      </c>
      <c r="R40" s="2">
        <v>23.9</v>
      </c>
      <c r="S40" s="2">
        <v>35</v>
      </c>
      <c r="T40" s="2">
        <v>2</v>
      </c>
      <c r="U40" s="3">
        <v>2</v>
      </c>
      <c r="V40" s="3">
        <v>0</v>
      </c>
      <c r="W40" s="3">
        <v>0</v>
      </c>
      <c r="X40" s="3">
        <v>2</v>
      </c>
      <c r="Y40" s="3">
        <v>0</v>
      </c>
      <c r="Z40" s="3">
        <v>4</v>
      </c>
      <c r="AA40" s="4">
        <f t="shared" si="1"/>
        <v>140</v>
      </c>
      <c r="AB40" s="3" t="s">
        <v>108</v>
      </c>
      <c r="AC40" s="3" t="s">
        <v>621</v>
      </c>
      <c r="AD40" s="2" t="s">
        <v>240</v>
      </c>
    </row>
    <row r="41" spans="1:30" x14ac:dyDescent="0.2">
      <c r="A41" s="2">
        <v>110734</v>
      </c>
      <c r="B41" s="2" t="s">
        <v>84</v>
      </c>
      <c r="C41" s="2" t="s">
        <v>244</v>
      </c>
      <c r="D41" s="2" t="s">
        <v>32</v>
      </c>
      <c r="E41" s="2"/>
      <c r="F41" s="2"/>
      <c r="G41" s="2"/>
      <c r="H41" s="2" t="s">
        <v>245</v>
      </c>
      <c r="I41" s="2" t="s">
        <v>246</v>
      </c>
      <c r="J41" s="2"/>
      <c r="K41" s="2" t="s">
        <v>35</v>
      </c>
      <c r="L41" s="2" t="s">
        <v>111</v>
      </c>
      <c r="M41" s="2" t="s">
        <v>61</v>
      </c>
      <c r="N41" s="2" t="s">
        <v>247</v>
      </c>
      <c r="O41" s="2" t="s">
        <v>248</v>
      </c>
      <c r="P41" s="2" t="s">
        <v>40</v>
      </c>
      <c r="Q41" s="2" t="s">
        <v>41</v>
      </c>
      <c r="R41" s="2">
        <v>11.4</v>
      </c>
      <c r="S41" s="2">
        <v>35</v>
      </c>
      <c r="T41" s="2">
        <v>2</v>
      </c>
      <c r="U41" s="3">
        <v>2</v>
      </c>
      <c r="V41" s="3">
        <v>0</v>
      </c>
      <c r="W41" s="3">
        <v>0</v>
      </c>
      <c r="X41" s="3">
        <v>0</v>
      </c>
      <c r="Y41" s="3">
        <v>0</v>
      </c>
      <c r="Z41" s="3">
        <v>4</v>
      </c>
      <c r="AA41" s="4">
        <f t="shared" si="1"/>
        <v>140</v>
      </c>
      <c r="AB41" s="3" t="s">
        <v>53</v>
      </c>
      <c r="AC41" s="3" t="s">
        <v>621</v>
      </c>
      <c r="AD41" s="2" t="s">
        <v>246</v>
      </c>
    </row>
    <row r="42" spans="1:30" x14ac:dyDescent="0.2">
      <c r="A42" s="2">
        <v>112540</v>
      </c>
      <c r="B42" s="2" t="s">
        <v>30</v>
      </c>
      <c r="C42" s="2" t="s">
        <v>249</v>
      </c>
      <c r="D42" s="2" t="s">
        <v>32</v>
      </c>
      <c r="E42" s="2"/>
      <c r="F42" s="2"/>
      <c r="G42" s="2"/>
      <c r="H42" s="2" t="s">
        <v>245</v>
      </c>
      <c r="I42" s="2" t="s">
        <v>246</v>
      </c>
      <c r="J42" s="2"/>
      <c r="K42" s="2" t="s">
        <v>35</v>
      </c>
      <c r="L42" s="2" t="s">
        <v>160</v>
      </c>
      <c r="M42" s="2" t="s">
        <v>50</v>
      </c>
      <c r="N42" s="2" t="s">
        <v>250</v>
      </c>
      <c r="O42" s="2" t="s">
        <v>251</v>
      </c>
      <c r="P42" s="2" t="s">
        <v>40</v>
      </c>
      <c r="Q42" s="2" t="s">
        <v>41</v>
      </c>
      <c r="R42" s="2">
        <v>11.4</v>
      </c>
      <c r="S42" s="2">
        <v>35</v>
      </c>
      <c r="T42" s="2">
        <v>2</v>
      </c>
      <c r="U42" s="3">
        <v>0</v>
      </c>
      <c r="V42" s="3">
        <v>0</v>
      </c>
      <c r="W42" s="3">
        <v>0</v>
      </c>
      <c r="X42" s="3">
        <v>0</v>
      </c>
      <c r="Y42" s="3">
        <v>0</v>
      </c>
      <c r="Z42" s="3">
        <v>3</v>
      </c>
      <c r="AA42" s="4">
        <f t="shared" si="1"/>
        <v>105</v>
      </c>
      <c r="AB42" s="3" t="s">
        <v>216</v>
      </c>
      <c r="AC42" s="3" t="s">
        <v>621</v>
      </c>
      <c r="AD42" s="2" t="s">
        <v>246</v>
      </c>
    </row>
    <row r="43" spans="1:30" x14ac:dyDescent="0.2">
      <c r="A43" s="2">
        <v>113030</v>
      </c>
      <c r="B43" s="2" t="s">
        <v>252</v>
      </c>
      <c r="C43" s="2" t="s">
        <v>253</v>
      </c>
      <c r="D43" s="2" t="s">
        <v>56</v>
      </c>
      <c r="E43" s="2"/>
      <c r="F43" s="2"/>
      <c r="G43" s="2"/>
      <c r="H43" s="2" t="s">
        <v>245</v>
      </c>
      <c r="I43" s="2" t="s">
        <v>246</v>
      </c>
      <c r="J43" s="2"/>
      <c r="K43" s="2" t="s">
        <v>124</v>
      </c>
      <c r="L43" s="2" t="s">
        <v>254</v>
      </c>
      <c r="M43" s="2" t="s">
        <v>80</v>
      </c>
      <c r="N43" s="2" t="s">
        <v>254</v>
      </c>
      <c r="O43" s="2" t="s">
        <v>255</v>
      </c>
      <c r="P43" s="2" t="s">
        <v>40</v>
      </c>
      <c r="Q43" s="2" t="s">
        <v>41</v>
      </c>
      <c r="R43" s="2">
        <v>11.4</v>
      </c>
      <c r="S43" s="2">
        <v>35</v>
      </c>
      <c r="T43" s="2">
        <v>2</v>
      </c>
      <c r="U43" s="3">
        <v>2</v>
      </c>
      <c r="V43" s="3">
        <v>0</v>
      </c>
      <c r="W43" s="3">
        <v>0</v>
      </c>
      <c r="X43" s="3">
        <v>0</v>
      </c>
      <c r="Y43" s="3">
        <v>2</v>
      </c>
      <c r="Z43" s="3">
        <v>4</v>
      </c>
      <c r="AA43" s="4">
        <f t="shared" si="1"/>
        <v>140</v>
      </c>
      <c r="AB43" s="3" t="s">
        <v>42</v>
      </c>
      <c r="AC43" s="3" t="s">
        <v>621</v>
      </c>
      <c r="AD43" s="2" t="s">
        <v>246</v>
      </c>
    </row>
    <row r="44" spans="1:30" x14ac:dyDescent="0.2">
      <c r="A44" s="2">
        <v>110518</v>
      </c>
      <c r="B44" s="2" t="s">
        <v>109</v>
      </c>
      <c r="C44" s="2" t="s">
        <v>256</v>
      </c>
      <c r="D44" s="2" t="s">
        <v>32</v>
      </c>
      <c r="E44" s="2" t="s">
        <v>257</v>
      </c>
      <c r="F44" s="2" t="s">
        <v>258</v>
      </c>
      <c r="G44" s="2" t="s">
        <v>259</v>
      </c>
      <c r="H44" s="2" t="s">
        <v>260</v>
      </c>
      <c r="I44" s="2" t="s">
        <v>261</v>
      </c>
      <c r="J44" s="2"/>
      <c r="K44" s="2" t="s">
        <v>35</v>
      </c>
      <c r="L44" s="2" t="s">
        <v>111</v>
      </c>
      <c r="M44" s="2" t="s">
        <v>80</v>
      </c>
      <c r="N44" s="2" t="s">
        <v>262</v>
      </c>
      <c r="O44" s="2" t="s">
        <v>263</v>
      </c>
      <c r="P44" s="2" t="s">
        <v>40</v>
      </c>
      <c r="Q44" s="2" t="s">
        <v>41</v>
      </c>
      <c r="R44" s="2">
        <v>12.5</v>
      </c>
      <c r="S44" s="2">
        <v>35</v>
      </c>
      <c r="T44" s="2">
        <v>2</v>
      </c>
      <c r="U44" s="3">
        <v>2</v>
      </c>
      <c r="V44" s="3">
        <v>2</v>
      </c>
      <c r="W44" s="3">
        <v>0</v>
      </c>
      <c r="X44" s="3">
        <v>2</v>
      </c>
      <c r="Y44" s="3">
        <v>2</v>
      </c>
      <c r="Z44" s="3">
        <v>4</v>
      </c>
      <c r="AA44" s="4">
        <f t="shared" si="1"/>
        <v>140</v>
      </c>
      <c r="AB44" s="3" t="s">
        <v>83</v>
      </c>
      <c r="AC44" s="3" t="s">
        <v>621</v>
      </c>
      <c r="AD44" s="2" t="s">
        <v>261</v>
      </c>
    </row>
    <row r="45" spans="1:30" x14ac:dyDescent="0.2">
      <c r="A45" s="2">
        <v>111330</v>
      </c>
      <c r="B45" s="2" t="s">
        <v>109</v>
      </c>
      <c r="C45" s="2" t="s">
        <v>264</v>
      </c>
      <c r="D45" s="2" t="s">
        <v>32</v>
      </c>
      <c r="E45" s="2"/>
      <c r="F45" s="2"/>
      <c r="G45" s="2"/>
      <c r="H45" s="2" t="s">
        <v>260</v>
      </c>
      <c r="I45" s="2" t="s">
        <v>261</v>
      </c>
      <c r="J45" s="2"/>
      <c r="K45" s="2" t="s">
        <v>35</v>
      </c>
      <c r="L45" s="2" t="s">
        <v>90</v>
      </c>
      <c r="M45" s="2" t="s">
        <v>61</v>
      </c>
      <c r="N45" s="2" t="s">
        <v>265</v>
      </c>
      <c r="O45" s="2" t="s">
        <v>266</v>
      </c>
      <c r="P45" s="2" t="s">
        <v>40</v>
      </c>
      <c r="Q45" s="2" t="s">
        <v>41</v>
      </c>
      <c r="R45" s="2">
        <v>12.5</v>
      </c>
      <c r="S45" s="2">
        <v>35</v>
      </c>
      <c r="T45" s="2">
        <v>2</v>
      </c>
      <c r="U45" s="3">
        <v>2</v>
      </c>
      <c r="V45" s="3">
        <v>0</v>
      </c>
      <c r="W45" s="3">
        <v>0</v>
      </c>
      <c r="X45" s="3">
        <v>0</v>
      </c>
      <c r="Y45" s="3">
        <v>0</v>
      </c>
      <c r="Z45" s="3">
        <v>4</v>
      </c>
      <c r="AA45" s="4">
        <f t="shared" si="1"/>
        <v>140</v>
      </c>
      <c r="AB45" s="3" t="s">
        <v>53</v>
      </c>
      <c r="AC45" s="3" t="s">
        <v>621</v>
      </c>
      <c r="AD45" s="2" t="s">
        <v>261</v>
      </c>
    </row>
    <row r="46" spans="1:30" x14ac:dyDescent="0.2">
      <c r="A46" s="2">
        <v>111430</v>
      </c>
      <c r="B46" s="2" t="s">
        <v>109</v>
      </c>
      <c r="C46" s="2" t="s">
        <v>267</v>
      </c>
      <c r="D46" s="2" t="s">
        <v>32</v>
      </c>
      <c r="E46" s="2"/>
      <c r="F46" s="2"/>
      <c r="G46" s="2"/>
      <c r="H46" s="2" t="s">
        <v>260</v>
      </c>
      <c r="I46" s="2" t="s">
        <v>261</v>
      </c>
      <c r="J46" s="2"/>
      <c r="K46" s="2" t="s">
        <v>35</v>
      </c>
      <c r="L46" s="2" t="s">
        <v>268</v>
      </c>
      <c r="M46" s="2" t="s">
        <v>37</v>
      </c>
      <c r="N46" s="2" t="s">
        <v>269</v>
      </c>
      <c r="O46" s="2" t="s">
        <v>270</v>
      </c>
      <c r="P46" s="2" t="s">
        <v>40</v>
      </c>
      <c r="Q46" s="2" t="s">
        <v>41</v>
      </c>
      <c r="R46" s="2">
        <v>12.5</v>
      </c>
      <c r="S46" s="2">
        <v>35</v>
      </c>
      <c r="T46" s="2">
        <v>2</v>
      </c>
      <c r="U46" s="3">
        <v>1</v>
      </c>
      <c r="V46" s="3">
        <v>0</v>
      </c>
      <c r="W46" s="3">
        <v>0</v>
      </c>
      <c r="X46" s="3">
        <v>0</v>
      </c>
      <c r="Y46" s="3">
        <v>1</v>
      </c>
      <c r="Z46" s="3">
        <v>3</v>
      </c>
      <c r="AA46" s="4">
        <f t="shared" si="1"/>
        <v>105</v>
      </c>
      <c r="AB46" s="3" t="s">
        <v>42</v>
      </c>
      <c r="AC46" s="3" t="s">
        <v>621</v>
      </c>
      <c r="AD46" s="2" t="s">
        <v>261</v>
      </c>
    </row>
    <row r="47" spans="1:30" x14ac:dyDescent="0.2">
      <c r="A47" s="2">
        <v>112385</v>
      </c>
      <c r="B47" s="2" t="s">
        <v>84</v>
      </c>
      <c r="C47" s="2" t="s">
        <v>271</v>
      </c>
      <c r="D47" s="2" t="s">
        <v>32</v>
      </c>
      <c r="E47" s="2" t="s">
        <v>67</v>
      </c>
      <c r="F47" s="2" t="s">
        <v>50</v>
      </c>
      <c r="G47" s="2" t="s">
        <v>272</v>
      </c>
      <c r="H47" s="2" t="s">
        <v>260</v>
      </c>
      <c r="I47" s="2" t="s">
        <v>261</v>
      </c>
      <c r="J47" s="2"/>
      <c r="K47" s="2" t="s">
        <v>35</v>
      </c>
      <c r="L47" s="2" t="s">
        <v>60</v>
      </c>
      <c r="M47" s="2" t="s">
        <v>50</v>
      </c>
      <c r="N47" s="2" t="s">
        <v>273</v>
      </c>
      <c r="O47" s="2" t="s">
        <v>274</v>
      </c>
      <c r="P47" s="2" t="s">
        <v>40</v>
      </c>
      <c r="Q47" s="2" t="s">
        <v>41</v>
      </c>
      <c r="R47" s="2">
        <v>12.5</v>
      </c>
      <c r="S47" s="2">
        <v>35</v>
      </c>
      <c r="T47" s="2">
        <v>2</v>
      </c>
      <c r="U47" s="3">
        <v>2</v>
      </c>
      <c r="V47" s="3">
        <v>0</v>
      </c>
      <c r="W47" s="3">
        <v>0</v>
      </c>
      <c r="X47" s="3">
        <v>0</v>
      </c>
      <c r="Y47" s="3">
        <v>0</v>
      </c>
      <c r="Z47" s="3">
        <v>5</v>
      </c>
      <c r="AA47" s="4">
        <f t="shared" si="1"/>
        <v>175</v>
      </c>
      <c r="AB47" s="3" t="s">
        <v>53</v>
      </c>
      <c r="AC47" s="3" t="s">
        <v>621</v>
      </c>
      <c r="AD47" s="2" t="s">
        <v>261</v>
      </c>
    </row>
    <row r="48" spans="1:30" x14ac:dyDescent="0.2">
      <c r="A48" s="2">
        <v>113201</v>
      </c>
      <c r="B48" s="2" t="s">
        <v>109</v>
      </c>
      <c r="C48" s="2" t="s">
        <v>275</v>
      </c>
      <c r="D48" s="2" t="s">
        <v>32</v>
      </c>
      <c r="E48" s="2"/>
      <c r="F48" s="2"/>
      <c r="G48" s="2"/>
      <c r="H48" s="2" t="s">
        <v>260</v>
      </c>
      <c r="I48" s="2" t="s">
        <v>261</v>
      </c>
      <c r="J48" s="2"/>
      <c r="K48" s="2" t="s">
        <v>124</v>
      </c>
      <c r="L48" s="2" t="s">
        <v>276</v>
      </c>
      <c r="M48" s="2" t="s">
        <v>37</v>
      </c>
      <c r="N48" s="2" t="s">
        <v>276</v>
      </c>
      <c r="O48" s="2" t="s">
        <v>277</v>
      </c>
      <c r="P48" s="2" t="s">
        <v>40</v>
      </c>
      <c r="Q48" s="2" t="s">
        <v>41</v>
      </c>
      <c r="R48" s="2">
        <v>12.5</v>
      </c>
      <c r="S48" s="2">
        <v>35</v>
      </c>
      <c r="T48" s="2">
        <v>2</v>
      </c>
      <c r="U48" s="3">
        <v>3</v>
      </c>
      <c r="V48" s="3">
        <v>0</v>
      </c>
      <c r="W48" s="3">
        <v>0</v>
      </c>
      <c r="X48" s="3">
        <v>0</v>
      </c>
      <c r="Y48" s="3">
        <v>3</v>
      </c>
      <c r="Z48" s="3">
        <v>5</v>
      </c>
      <c r="AA48" s="4">
        <f t="shared" si="1"/>
        <v>175</v>
      </c>
      <c r="AB48" s="3" t="s">
        <v>42</v>
      </c>
      <c r="AC48" s="3" t="s">
        <v>621</v>
      </c>
      <c r="AD48" s="2" t="s">
        <v>261</v>
      </c>
    </row>
    <row r="49" spans="1:30" x14ac:dyDescent="0.2">
      <c r="A49" s="2">
        <v>113021</v>
      </c>
      <c r="B49" s="2" t="s">
        <v>30</v>
      </c>
      <c r="C49" s="2" t="s">
        <v>278</v>
      </c>
      <c r="D49" s="2" t="s">
        <v>32</v>
      </c>
      <c r="E49" s="2"/>
      <c r="F49" s="2"/>
      <c r="G49" s="2"/>
      <c r="H49" s="2" t="s">
        <v>260</v>
      </c>
      <c r="I49" s="2" t="s">
        <v>261</v>
      </c>
      <c r="J49" s="2"/>
      <c r="K49" s="2" t="s">
        <v>124</v>
      </c>
      <c r="L49" s="2" t="s">
        <v>279</v>
      </c>
      <c r="M49" s="2" t="s">
        <v>80</v>
      </c>
      <c r="N49" s="2" t="s">
        <v>279</v>
      </c>
      <c r="O49" s="2" t="s">
        <v>280</v>
      </c>
      <c r="P49" s="2" t="s">
        <v>40</v>
      </c>
      <c r="Q49" s="2" t="s">
        <v>41</v>
      </c>
      <c r="R49" s="2">
        <v>12.5</v>
      </c>
      <c r="S49" s="2">
        <v>35</v>
      </c>
      <c r="T49" s="2">
        <v>2</v>
      </c>
      <c r="U49" s="3">
        <v>2</v>
      </c>
      <c r="V49" s="3">
        <v>0</v>
      </c>
      <c r="W49" s="3">
        <v>0</v>
      </c>
      <c r="X49" s="3">
        <v>0</v>
      </c>
      <c r="Y49" s="3">
        <v>5</v>
      </c>
      <c r="Z49" s="3">
        <v>5</v>
      </c>
      <c r="AA49" s="4">
        <f t="shared" si="1"/>
        <v>175</v>
      </c>
      <c r="AB49" s="3" t="s">
        <v>42</v>
      </c>
      <c r="AC49" s="3" t="s">
        <v>621</v>
      </c>
      <c r="AD49" s="2" t="s">
        <v>261</v>
      </c>
    </row>
    <row r="50" spans="1:30" x14ac:dyDescent="0.2">
      <c r="A50" s="2">
        <v>107797</v>
      </c>
      <c r="B50" s="2" t="s">
        <v>54</v>
      </c>
      <c r="C50" s="2" t="s">
        <v>281</v>
      </c>
      <c r="D50" s="2" t="s">
        <v>56</v>
      </c>
      <c r="E50" s="2"/>
      <c r="F50" s="2"/>
      <c r="G50" s="2"/>
      <c r="H50" s="2" t="s">
        <v>282</v>
      </c>
      <c r="I50" s="2" t="s">
        <v>283</v>
      </c>
      <c r="J50" s="2"/>
      <c r="K50" s="2" t="s">
        <v>35</v>
      </c>
      <c r="L50" s="2" t="s">
        <v>79</v>
      </c>
      <c r="M50" s="2" t="s">
        <v>61</v>
      </c>
      <c r="N50" s="2" t="s">
        <v>284</v>
      </c>
      <c r="O50" s="2" t="s">
        <v>285</v>
      </c>
      <c r="P50" s="2" t="s">
        <v>64</v>
      </c>
      <c r="Q50" s="2" t="s">
        <v>41</v>
      </c>
      <c r="R50" s="2">
        <v>16.5</v>
      </c>
      <c r="S50" s="2">
        <v>35</v>
      </c>
      <c r="T50" s="2">
        <v>2</v>
      </c>
      <c r="U50" s="3">
        <v>2</v>
      </c>
      <c r="V50" s="3">
        <v>0</v>
      </c>
      <c r="W50" s="3">
        <v>0</v>
      </c>
      <c r="X50" s="3">
        <v>0</v>
      </c>
      <c r="Y50" s="3">
        <v>0</v>
      </c>
      <c r="Z50" s="3">
        <v>5</v>
      </c>
      <c r="AA50" s="4">
        <f t="shared" si="1"/>
        <v>175</v>
      </c>
      <c r="AB50" s="3" t="s">
        <v>53</v>
      </c>
      <c r="AC50" s="3" t="s">
        <v>621</v>
      </c>
      <c r="AD50" s="2" t="s">
        <v>283</v>
      </c>
    </row>
    <row r="51" spans="1:30" x14ac:dyDescent="0.2">
      <c r="A51" s="2">
        <v>111057</v>
      </c>
      <c r="B51" s="2" t="s">
        <v>155</v>
      </c>
      <c r="C51" s="2" t="s">
        <v>286</v>
      </c>
      <c r="D51" s="2" t="s">
        <v>148</v>
      </c>
      <c r="E51" s="2" t="s">
        <v>67</v>
      </c>
      <c r="F51" s="2" t="s">
        <v>50</v>
      </c>
      <c r="G51" s="2" t="s">
        <v>287</v>
      </c>
      <c r="H51" s="2" t="s">
        <v>288</v>
      </c>
      <c r="I51" s="2" t="s">
        <v>289</v>
      </c>
      <c r="J51" s="2"/>
      <c r="K51" s="2" t="s">
        <v>35</v>
      </c>
      <c r="L51" s="2" t="s">
        <v>90</v>
      </c>
      <c r="M51" s="2" t="s">
        <v>50</v>
      </c>
      <c r="N51" s="2" t="s">
        <v>290</v>
      </c>
      <c r="O51" s="2" t="s">
        <v>291</v>
      </c>
      <c r="P51" s="2" t="s">
        <v>40</v>
      </c>
      <c r="Q51" s="2" t="s">
        <v>101</v>
      </c>
      <c r="R51" s="2">
        <v>2122.3000000000002</v>
      </c>
      <c r="S51" s="2">
        <v>35</v>
      </c>
      <c r="T51" s="2">
        <v>4</v>
      </c>
      <c r="U51" s="3">
        <v>2</v>
      </c>
      <c r="V51" s="3">
        <v>0</v>
      </c>
      <c r="W51" s="3">
        <v>0</v>
      </c>
      <c r="X51" s="3">
        <v>0</v>
      </c>
      <c r="Y51" s="3">
        <v>0</v>
      </c>
      <c r="Z51" s="3">
        <v>9</v>
      </c>
      <c r="AA51" s="4">
        <f t="shared" si="1"/>
        <v>315</v>
      </c>
      <c r="AB51" s="3" t="s">
        <v>53</v>
      </c>
      <c r="AC51" s="3" t="s">
        <v>621</v>
      </c>
      <c r="AD51" s="2" t="s">
        <v>289</v>
      </c>
    </row>
    <row r="52" spans="1:30" x14ac:dyDescent="0.2">
      <c r="A52" s="2">
        <v>111762</v>
      </c>
      <c r="B52" s="2" t="s">
        <v>109</v>
      </c>
      <c r="C52" s="2" t="s">
        <v>292</v>
      </c>
      <c r="D52" s="2" t="s">
        <v>32</v>
      </c>
      <c r="E52" s="2" t="s">
        <v>67</v>
      </c>
      <c r="F52" s="2" t="s">
        <v>50</v>
      </c>
      <c r="G52" s="2" t="s">
        <v>293</v>
      </c>
      <c r="H52" s="2" t="s">
        <v>294</v>
      </c>
      <c r="I52" s="2" t="s">
        <v>295</v>
      </c>
      <c r="J52" s="2"/>
      <c r="K52" s="2" t="s">
        <v>35</v>
      </c>
      <c r="L52" s="2" t="s">
        <v>143</v>
      </c>
      <c r="M52" s="2" t="s">
        <v>50</v>
      </c>
      <c r="N52" s="2" t="s">
        <v>296</v>
      </c>
      <c r="O52" s="2" t="s">
        <v>297</v>
      </c>
      <c r="P52" s="2" t="s">
        <v>40</v>
      </c>
      <c r="Q52" s="2" t="s">
        <v>101</v>
      </c>
      <c r="R52" s="2">
        <v>64.2</v>
      </c>
      <c r="S52" s="2">
        <v>35</v>
      </c>
      <c r="T52" s="2">
        <v>4</v>
      </c>
      <c r="U52" s="3">
        <v>2</v>
      </c>
      <c r="V52" s="3">
        <v>0</v>
      </c>
      <c r="W52" s="3">
        <v>0</v>
      </c>
      <c r="X52" s="3">
        <v>0</v>
      </c>
      <c r="Y52" s="3">
        <v>0</v>
      </c>
      <c r="Z52" s="3">
        <v>7</v>
      </c>
      <c r="AA52" s="4">
        <f t="shared" si="1"/>
        <v>245</v>
      </c>
      <c r="AB52" s="3" t="s">
        <v>53</v>
      </c>
      <c r="AC52" s="3" t="s">
        <v>621</v>
      </c>
      <c r="AD52" s="2" t="s">
        <v>295</v>
      </c>
    </row>
    <row r="53" spans="1:30" x14ac:dyDescent="0.2">
      <c r="A53" s="2">
        <v>109728</v>
      </c>
      <c r="B53" s="2" t="s">
        <v>54</v>
      </c>
      <c r="C53" s="2" t="s">
        <v>298</v>
      </c>
      <c r="D53" s="2" t="s">
        <v>56</v>
      </c>
      <c r="E53" s="2"/>
      <c r="F53" s="2"/>
      <c r="G53" s="2"/>
      <c r="H53" s="2" t="s">
        <v>299</v>
      </c>
      <c r="I53" s="2" t="s">
        <v>300</v>
      </c>
      <c r="J53" s="2"/>
      <c r="K53" s="2" t="s">
        <v>35</v>
      </c>
      <c r="L53" s="2" t="s">
        <v>90</v>
      </c>
      <c r="M53" s="2" t="s">
        <v>50</v>
      </c>
      <c r="N53" s="2" t="s">
        <v>301</v>
      </c>
      <c r="O53" s="2" t="s">
        <v>302</v>
      </c>
      <c r="P53" s="2" t="s">
        <v>64</v>
      </c>
      <c r="Q53" s="2" t="s">
        <v>101</v>
      </c>
      <c r="R53" s="2">
        <v>1162.5999999999999</v>
      </c>
      <c r="S53" s="2">
        <v>35</v>
      </c>
      <c r="T53" s="2">
        <v>4</v>
      </c>
      <c r="U53" s="3">
        <v>0</v>
      </c>
      <c r="V53" s="3">
        <v>0</v>
      </c>
      <c r="W53" s="3">
        <v>0</v>
      </c>
      <c r="X53" s="3">
        <v>0</v>
      </c>
      <c r="Y53" s="3">
        <v>0</v>
      </c>
      <c r="Z53" s="3">
        <v>0</v>
      </c>
      <c r="AA53" s="4">
        <f t="shared" si="1"/>
        <v>0</v>
      </c>
      <c r="AB53" s="3" t="s">
        <v>216</v>
      </c>
      <c r="AC53" s="3" t="s">
        <v>621</v>
      </c>
      <c r="AD53" s="2" t="s">
        <v>300</v>
      </c>
    </row>
    <row r="54" spans="1:30" x14ac:dyDescent="0.2">
      <c r="A54" s="2">
        <v>111789</v>
      </c>
      <c r="B54" s="2" t="s">
        <v>303</v>
      </c>
      <c r="C54" s="2" t="s">
        <v>304</v>
      </c>
      <c r="D54" s="2" t="s">
        <v>56</v>
      </c>
      <c r="E54" s="2"/>
      <c r="F54" s="2"/>
      <c r="G54" s="2"/>
      <c r="H54" s="2" t="s">
        <v>299</v>
      </c>
      <c r="I54" s="2" t="s">
        <v>300</v>
      </c>
      <c r="J54" s="2"/>
      <c r="K54" s="2" t="s">
        <v>35</v>
      </c>
      <c r="L54" s="2" t="s">
        <v>49</v>
      </c>
      <c r="M54" s="2" t="s">
        <v>50</v>
      </c>
      <c r="N54" s="2" t="s">
        <v>305</v>
      </c>
      <c r="O54" s="2" t="s">
        <v>306</v>
      </c>
      <c r="P54" s="2" t="s">
        <v>40</v>
      </c>
      <c r="Q54" s="2" t="s">
        <v>101</v>
      </c>
      <c r="R54" s="2">
        <v>1162.5999999999999</v>
      </c>
      <c r="S54" s="2">
        <v>35</v>
      </c>
      <c r="T54" s="2">
        <v>4</v>
      </c>
      <c r="U54" s="3">
        <v>2</v>
      </c>
      <c r="V54" s="3">
        <v>0</v>
      </c>
      <c r="W54" s="3">
        <v>0</v>
      </c>
      <c r="X54" s="3">
        <v>0</v>
      </c>
      <c r="Y54" s="3">
        <v>0</v>
      </c>
      <c r="Z54" s="3">
        <v>9</v>
      </c>
      <c r="AA54" s="4">
        <f t="shared" si="1"/>
        <v>315</v>
      </c>
      <c r="AB54" s="3" t="s">
        <v>53</v>
      </c>
      <c r="AC54" s="3" t="s">
        <v>621</v>
      </c>
      <c r="AD54" s="2" t="s">
        <v>300</v>
      </c>
    </row>
    <row r="55" spans="1:30" x14ac:dyDescent="0.2">
      <c r="A55" s="2">
        <v>110203</v>
      </c>
      <c r="B55" s="2" t="s">
        <v>228</v>
      </c>
      <c r="C55" s="2"/>
      <c r="D55" s="2" t="s">
        <v>148</v>
      </c>
      <c r="E55" s="2"/>
      <c r="F55" s="2"/>
      <c r="G55" s="2"/>
      <c r="H55" s="2" t="s">
        <v>307</v>
      </c>
      <c r="I55" s="2" t="s">
        <v>308</v>
      </c>
      <c r="J55" s="2"/>
      <c r="K55" s="2" t="s">
        <v>35</v>
      </c>
      <c r="L55" s="2" t="s">
        <v>220</v>
      </c>
      <c r="M55" s="2" t="s">
        <v>61</v>
      </c>
      <c r="N55" s="2" t="s">
        <v>309</v>
      </c>
      <c r="O55" s="2" t="s">
        <v>310</v>
      </c>
      <c r="P55" s="2" t="s">
        <v>40</v>
      </c>
      <c r="Q55" s="2" t="s">
        <v>101</v>
      </c>
      <c r="R55" s="2">
        <v>959.8</v>
      </c>
      <c r="S55" s="2">
        <v>35</v>
      </c>
      <c r="T55" s="2">
        <v>4</v>
      </c>
      <c r="U55" s="3">
        <v>1</v>
      </c>
      <c r="V55" s="3">
        <v>0</v>
      </c>
      <c r="W55" s="3">
        <v>0</v>
      </c>
      <c r="X55" s="3">
        <v>0</v>
      </c>
      <c r="Y55" s="3">
        <v>0</v>
      </c>
      <c r="Z55" s="3">
        <v>0</v>
      </c>
      <c r="AA55" s="4">
        <f t="shared" si="1"/>
        <v>0</v>
      </c>
      <c r="AB55" s="3" t="s">
        <v>102</v>
      </c>
      <c r="AC55" s="3" t="s">
        <v>621</v>
      </c>
      <c r="AD55" s="2" t="s">
        <v>308</v>
      </c>
    </row>
    <row r="56" spans="1:30" x14ac:dyDescent="0.2">
      <c r="A56" s="2">
        <v>110202</v>
      </c>
      <c r="B56" s="2" t="s">
        <v>311</v>
      </c>
      <c r="C56" s="2"/>
      <c r="D56" s="2" t="s">
        <v>148</v>
      </c>
      <c r="E56" s="2"/>
      <c r="F56" s="2"/>
      <c r="G56" s="2"/>
      <c r="H56" s="2" t="s">
        <v>307</v>
      </c>
      <c r="I56" s="2" t="s">
        <v>308</v>
      </c>
      <c r="J56" s="2"/>
      <c r="K56" s="2" t="s">
        <v>35</v>
      </c>
      <c r="L56" s="2" t="s">
        <v>220</v>
      </c>
      <c r="M56" s="2" t="s">
        <v>61</v>
      </c>
      <c r="N56" s="2" t="s">
        <v>312</v>
      </c>
      <c r="O56" s="2" t="s">
        <v>310</v>
      </c>
      <c r="P56" s="2" t="s">
        <v>40</v>
      </c>
      <c r="Q56" s="2" t="s">
        <v>101</v>
      </c>
      <c r="R56" s="2">
        <v>959.8</v>
      </c>
      <c r="S56" s="2">
        <v>35</v>
      </c>
      <c r="T56" s="2">
        <v>4</v>
      </c>
      <c r="U56" s="3">
        <v>6</v>
      </c>
      <c r="V56" s="3">
        <v>0</v>
      </c>
      <c r="W56" s="3">
        <v>0</v>
      </c>
      <c r="X56" s="3">
        <v>0</v>
      </c>
      <c r="Y56" s="3">
        <v>0</v>
      </c>
      <c r="Z56" s="3">
        <v>0</v>
      </c>
      <c r="AA56" s="4">
        <f t="shared" si="1"/>
        <v>0</v>
      </c>
      <c r="AB56" s="3" t="s">
        <v>102</v>
      </c>
      <c r="AC56" s="3" t="s">
        <v>621</v>
      </c>
      <c r="AD56" s="2" t="s">
        <v>308</v>
      </c>
    </row>
    <row r="57" spans="1:30" x14ac:dyDescent="0.2">
      <c r="A57" s="2">
        <v>110204</v>
      </c>
      <c r="B57" s="2" t="s">
        <v>311</v>
      </c>
      <c r="C57" s="2"/>
      <c r="D57" s="2" t="s">
        <v>148</v>
      </c>
      <c r="E57" s="2" t="s">
        <v>313</v>
      </c>
      <c r="F57" s="2" t="s">
        <v>135</v>
      </c>
      <c r="G57" s="2" t="s">
        <v>314</v>
      </c>
      <c r="H57" s="2" t="s">
        <v>307</v>
      </c>
      <c r="I57" s="2" t="s">
        <v>308</v>
      </c>
      <c r="J57" s="2"/>
      <c r="K57" s="2" t="s">
        <v>35</v>
      </c>
      <c r="L57" s="2" t="s">
        <v>143</v>
      </c>
      <c r="M57" s="2" t="s">
        <v>135</v>
      </c>
      <c r="N57" s="2" t="s">
        <v>315</v>
      </c>
      <c r="O57" s="2" t="s">
        <v>313</v>
      </c>
      <c r="P57" s="2" t="s">
        <v>40</v>
      </c>
      <c r="Q57" s="2" t="s">
        <v>101</v>
      </c>
      <c r="R57" s="2">
        <v>959.8</v>
      </c>
      <c r="S57" s="2">
        <v>35</v>
      </c>
      <c r="T57" s="2">
        <v>4</v>
      </c>
      <c r="U57" s="3">
        <v>6</v>
      </c>
      <c r="V57" s="3">
        <v>0</v>
      </c>
      <c r="W57" s="3">
        <v>0</v>
      </c>
      <c r="X57" s="3">
        <v>0</v>
      </c>
      <c r="Y57" s="3">
        <v>0</v>
      </c>
      <c r="Z57" s="3">
        <v>0</v>
      </c>
      <c r="AA57" s="4">
        <f t="shared" si="1"/>
        <v>0</v>
      </c>
      <c r="AB57" s="3" t="s">
        <v>53</v>
      </c>
      <c r="AC57" s="3" t="s">
        <v>621</v>
      </c>
      <c r="AD57" s="2" t="s">
        <v>308</v>
      </c>
    </row>
    <row r="58" spans="1:30" x14ac:dyDescent="0.2">
      <c r="A58" s="2">
        <v>111623</v>
      </c>
      <c r="B58" s="2" t="s">
        <v>109</v>
      </c>
      <c r="C58" s="2" t="s">
        <v>316</v>
      </c>
      <c r="D58" s="2" t="s">
        <v>32</v>
      </c>
      <c r="E58" s="2" t="s">
        <v>67</v>
      </c>
      <c r="F58" s="2" t="s">
        <v>50</v>
      </c>
      <c r="G58" s="2" t="s">
        <v>317</v>
      </c>
      <c r="H58" s="2" t="s">
        <v>318</v>
      </c>
      <c r="I58" s="2" t="s">
        <v>319</v>
      </c>
      <c r="J58" s="2"/>
      <c r="K58" s="2" t="s">
        <v>35</v>
      </c>
      <c r="L58" s="2" t="s">
        <v>320</v>
      </c>
      <c r="M58" s="2" t="s">
        <v>50</v>
      </c>
      <c r="N58" s="2" t="s">
        <v>321</v>
      </c>
      <c r="O58" s="2" t="s">
        <v>322</v>
      </c>
      <c r="P58" s="2" t="s">
        <v>40</v>
      </c>
      <c r="Q58" s="2" t="s">
        <v>138</v>
      </c>
      <c r="R58" s="2">
        <v>32.299999999999997</v>
      </c>
      <c r="S58" s="2">
        <v>35</v>
      </c>
      <c r="T58" s="2">
        <v>3</v>
      </c>
      <c r="U58" s="3">
        <v>2</v>
      </c>
      <c r="V58" s="3">
        <v>0</v>
      </c>
      <c r="W58" s="3">
        <v>0</v>
      </c>
      <c r="X58" s="3">
        <v>0</v>
      </c>
      <c r="Y58" s="3">
        <v>0</v>
      </c>
      <c r="Z58" s="3">
        <v>13</v>
      </c>
      <c r="AA58" s="4">
        <f t="shared" si="1"/>
        <v>455</v>
      </c>
      <c r="AB58" s="3" t="s">
        <v>53</v>
      </c>
      <c r="AC58" s="3" t="s">
        <v>621</v>
      </c>
      <c r="AD58" s="2" t="s">
        <v>319</v>
      </c>
    </row>
    <row r="59" spans="1:30" x14ac:dyDescent="0.2">
      <c r="A59" s="2">
        <v>112517</v>
      </c>
      <c r="B59" s="2" t="s">
        <v>88</v>
      </c>
      <c r="C59" s="2" t="s">
        <v>323</v>
      </c>
      <c r="D59" s="2" t="s">
        <v>32</v>
      </c>
      <c r="E59" s="2" t="s">
        <v>67</v>
      </c>
      <c r="F59" s="2" t="s">
        <v>50</v>
      </c>
      <c r="G59" s="2" t="s">
        <v>324</v>
      </c>
      <c r="H59" s="2" t="s">
        <v>318</v>
      </c>
      <c r="I59" s="2" t="s">
        <v>319</v>
      </c>
      <c r="J59" s="2"/>
      <c r="K59" s="2" t="s">
        <v>35</v>
      </c>
      <c r="L59" s="2" t="s">
        <v>325</v>
      </c>
      <c r="M59" s="2" t="s">
        <v>50</v>
      </c>
      <c r="N59" s="2" t="s">
        <v>326</v>
      </c>
      <c r="O59" s="2" t="s">
        <v>327</v>
      </c>
      <c r="P59" s="2" t="s">
        <v>40</v>
      </c>
      <c r="Q59" s="2" t="s">
        <v>138</v>
      </c>
      <c r="R59" s="2">
        <v>32.299999999999997</v>
      </c>
      <c r="S59" s="2">
        <v>35</v>
      </c>
      <c r="T59" s="2">
        <v>3</v>
      </c>
      <c r="U59" s="3">
        <v>2</v>
      </c>
      <c r="V59" s="3">
        <v>0</v>
      </c>
      <c r="W59" s="3">
        <v>0</v>
      </c>
      <c r="X59" s="3">
        <v>0</v>
      </c>
      <c r="Y59" s="3">
        <v>0</v>
      </c>
      <c r="Z59" s="3">
        <v>6</v>
      </c>
      <c r="AA59" s="4">
        <f t="shared" si="1"/>
        <v>210</v>
      </c>
      <c r="AB59" s="3" t="s">
        <v>53</v>
      </c>
      <c r="AC59" s="3" t="s">
        <v>621</v>
      </c>
      <c r="AD59" s="2" t="s">
        <v>319</v>
      </c>
    </row>
    <row r="60" spans="1:30" x14ac:dyDescent="0.2">
      <c r="A60" s="2">
        <v>107443</v>
      </c>
      <c r="B60" s="2" t="s">
        <v>54</v>
      </c>
      <c r="C60" s="2" t="s">
        <v>328</v>
      </c>
      <c r="D60" s="2" t="s">
        <v>56</v>
      </c>
      <c r="E60" s="2"/>
      <c r="F60" s="2"/>
      <c r="G60" s="2"/>
      <c r="H60" s="2" t="s">
        <v>318</v>
      </c>
      <c r="I60" s="2" t="s">
        <v>319</v>
      </c>
      <c r="J60" s="2"/>
      <c r="K60" s="2" t="s">
        <v>124</v>
      </c>
      <c r="L60" s="2" t="s">
        <v>329</v>
      </c>
      <c r="M60" s="2" t="s">
        <v>135</v>
      </c>
      <c r="N60" s="2" t="s">
        <v>329</v>
      </c>
      <c r="O60" s="2" t="s">
        <v>330</v>
      </c>
      <c r="P60" s="2" t="s">
        <v>64</v>
      </c>
      <c r="Q60" s="2" t="s">
        <v>138</v>
      </c>
      <c r="R60" s="2">
        <v>32.299999999999997</v>
      </c>
      <c r="S60" s="2">
        <v>35</v>
      </c>
      <c r="T60" s="2">
        <v>3</v>
      </c>
      <c r="U60" s="3">
        <v>2</v>
      </c>
      <c r="V60" s="3">
        <v>0</v>
      </c>
      <c r="W60" s="3">
        <v>0</v>
      </c>
      <c r="X60" s="3">
        <v>0</v>
      </c>
      <c r="Y60" s="3">
        <v>0</v>
      </c>
      <c r="Z60" s="3">
        <v>0</v>
      </c>
      <c r="AA60" s="4">
        <f t="shared" si="1"/>
        <v>0</v>
      </c>
      <c r="AB60" s="3" t="s">
        <v>53</v>
      </c>
      <c r="AC60" s="3" t="s">
        <v>621</v>
      </c>
      <c r="AD60" s="2" t="s">
        <v>319</v>
      </c>
    </row>
    <row r="61" spans="1:30" x14ac:dyDescent="0.2">
      <c r="A61" s="2">
        <v>112874</v>
      </c>
      <c r="B61" s="2" t="s">
        <v>30</v>
      </c>
      <c r="C61" s="2" t="s">
        <v>331</v>
      </c>
      <c r="D61" s="2" t="s">
        <v>32</v>
      </c>
      <c r="E61" s="2" t="s">
        <v>67</v>
      </c>
      <c r="F61" s="2" t="s">
        <v>50</v>
      </c>
      <c r="G61" s="2" t="s">
        <v>332</v>
      </c>
      <c r="H61" s="2" t="s">
        <v>318</v>
      </c>
      <c r="I61" s="2" t="s">
        <v>319</v>
      </c>
      <c r="J61" s="2"/>
      <c r="K61" s="2" t="s">
        <v>124</v>
      </c>
      <c r="L61" s="2" t="s">
        <v>333</v>
      </c>
      <c r="M61" s="2" t="s">
        <v>50</v>
      </c>
      <c r="N61" s="2" t="s">
        <v>333</v>
      </c>
      <c r="O61" s="2" t="s">
        <v>334</v>
      </c>
      <c r="P61" s="2" t="s">
        <v>40</v>
      </c>
      <c r="Q61" s="2" t="s">
        <v>138</v>
      </c>
      <c r="R61" s="2">
        <v>32.299999999999997</v>
      </c>
      <c r="S61" s="2">
        <v>35</v>
      </c>
      <c r="T61" s="2">
        <v>3</v>
      </c>
      <c r="U61" s="3">
        <v>2</v>
      </c>
      <c r="V61" s="3">
        <v>0</v>
      </c>
      <c r="W61" s="3">
        <v>0</v>
      </c>
      <c r="X61" s="3">
        <v>0</v>
      </c>
      <c r="Y61" s="3">
        <v>0</v>
      </c>
      <c r="Z61" s="3">
        <v>9</v>
      </c>
      <c r="AA61" s="4">
        <f t="shared" si="1"/>
        <v>315</v>
      </c>
      <c r="AB61" s="3" t="s">
        <v>53</v>
      </c>
      <c r="AC61" s="3" t="s">
        <v>621</v>
      </c>
      <c r="AD61" s="2" t="s">
        <v>319</v>
      </c>
    </row>
    <row r="62" spans="1:30" x14ac:dyDescent="0.2">
      <c r="A62" s="2">
        <v>112112</v>
      </c>
      <c r="B62" s="2" t="s">
        <v>335</v>
      </c>
      <c r="C62" s="2" t="s">
        <v>336</v>
      </c>
      <c r="D62" s="2" t="s">
        <v>32</v>
      </c>
      <c r="E62" s="2" t="s">
        <v>337</v>
      </c>
      <c r="F62" s="2" t="s">
        <v>50</v>
      </c>
      <c r="G62" s="2" t="s">
        <v>338</v>
      </c>
      <c r="H62" s="2" t="s">
        <v>318</v>
      </c>
      <c r="I62" s="2" t="s">
        <v>319</v>
      </c>
      <c r="J62" s="2"/>
      <c r="K62" s="2" t="s">
        <v>124</v>
      </c>
      <c r="L62" s="2" t="s">
        <v>339</v>
      </c>
      <c r="M62" s="2" t="s">
        <v>61</v>
      </c>
      <c r="N62" s="2" t="s">
        <v>339</v>
      </c>
      <c r="O62" s="2" t="s">
        <v>340</v>
      </c>
      <c r="P62" s="2" t="s">
        <v>341</v>
      </c>
      <c r="Q62" s="2" t="s">
        <v>138</v>
      </c>
      <c r="R62" s="2">
        <v>32.299999999999997</v>
      </c>
      <c r="S62" s="2">
        <v>35</v>
      </c>
      <c r="T62" s="2">
        <v>3</v>
      </c>
      <c r="U62" s="3">
        <v>0</v>
      </c>
      <c r="V62" s="3">
        <v>0</v>
      </c>
      <c r="W62" s="3">
        <v>0</v>
      </c>
      <c r="X62" s="3">
        <v>0</v>
      </c>
      <c r="Y62" s="3">
        <v>0</v>
      </c>
      <c r="Z62" s="3">
        <v>0</v>
      </c>
      <c r="AA62" s="4">
        <f t="shared" si="1"/>
        <v>0</v>
      </c>
      <c r="AB62" s="3" t="s">
        <v>216</v>
      </c>
      <c r="AC62" s="3" t="s">
        <v>621</v>
      </c>
      <c r="AD62" s="2" t="s">
        <v>319</v>
      </c>
    </row>
    <row r="63" spans="1:30" x14ac:dyDescent="0.2">
      <c r="A63" s="2">
        <v>110366</v>
      </c>
      <c r="B63" s="2" t="s">
        <v>146</v>
      </c>
      <c r="C63" s="2" t="s">
        <v>342</v>
      </c>
      <c r="D63" s="2" t="s">
        <v>148</v>
      </c>
      <c r="E63" s="2" t="s">
        <v>67</v>
      </c>
      <c r="F63" s="2" t="s">
        <v>50</v>
      </c>
      <c r="G63" s="2" t="s">
        <v>343</v>
      </c>
      <c r="H63" s="2" t="s">
        <v>344</v>
      </c>
      <c r="I63" s="2" t="s">
        <v>345</v>
      </c>
      <c r="J63" s="2"/>
      <c r="K63" s="2" t="s">
        <v>35</v>
      </c>
      <c r="L63" s="2" t="s">
        <v>79</v>
      </c>
      <c r="M63" s="2" t="s">
        <v>50</v>
      </c>
      <c r="N63" s="2" t="s">
        <v>346</v>
      </c>
      <c r="O63" s="2" t="s">
        <v>347</v>
      </c>
      <c r="P63" s="2" t="s">
        <v>40</v>
      </c>
      <c r="Q63" s="2" t="s">
        <v>41</v>
      </c>
      <c r="R63" s="2">
        <v>25.1</v>
      </c>
      <c r="S63" s="2">
        <v>35</v>
      </c>
      <c r="T63" s="2">
        <v>2</v>
      </c>
      <c r="U63" s="3">
        <v>2</v>
      </c>
      <c r="V63" s="3">
        <v>0</v>
      </c>
      <c r="W63" s="3">
        <v>0</v>
      </c>
      <c r="X63" s="3">
        <v>4</v>
      </c>
      <c r="Y63" s="3">
        <v>0</v>
      </c>
      <c r="Z63" s="3">
        <v>6</v>
      </c>
      <c r="AA63" s="4">
        <f t="shared" si="1"/>
        <v>210</v>
      </c>
      <c r="AB63" s="3" t="s">
        <v>108</v>
      </c>
      <c r="AC63" s="3" t="s">
        <v>621</v>
      </c>
      <c r="AD63" s="2" t="s">
        <v>345</v>
      </c>
    </row>
    <row r="64" spans="1:30" x14ac:dyDescent="0.2">
      <c r="A64" s="2">
        <v>111205</v>
      </c>
      <c r="B64" s="2" t="s">
        <v>84</v>
      </c>
      <c r="C64" s="2" t="s">
        <v>348</v>
      </c>
      <c r="D64" s="2" t="s">
        <v>32</v>
      </c>
      <c r="E64" s="2"/>
      <c r="F64" s="2"/>
      <c r="G64" s="2"/>
      <c r="H64" s="2" t="s">
        <v>344</v>
      </c>
      <c r="I64" s="2" t="s">
        <v>345</v>
      </c>
      <c r="J64" s="2"/>
      <c r="K64" s="2" t="s">
        <v>35</v>
      </c>
      <c r="L64" s="2" t="s">
        <v>268</v>
      </c>
      <c r="M64" s="2" t="s">
        <v>37</v>
      </c>
      <c r="N64" s="2" t="s">
        <v>349</v>
      </c>
      <c r="O64" s="2" t="s">
        <v>350</v>
      </c>
      <c r="P64" s="2" t="s">
        <v>40</v>
      </c>
      <c r="Q64" s="2" t="s">
        <v>41</v>
      </c>
      <c r="R64" s="2">
        <v>25.1</v>
      </c>
      <c r="S64" s="2">
        <v>35</v>
      </c>
      <c r="T64" s="2">
        <v>2</v>
      </c>
      <c r="U64" s="3">
        <v>11</v>
      </c>
      <c r="V64" s="3">
        <v>0</v>
      </c>
      <c r="W64" s="3">
        <v>0</v>
      </c>
      <c r="X64" s="3">
        <v>0</v>
      </c>
      <c r="Y64" s="3">
        <v>11</v>
      </c>
      <c r="Z64" s="3">
        <v>13</v>
      </c>
      <c r="AA64" s="4">
        <f t="shared" si="1"/>
        <v>455</v>
      </c>
      <c r="AB64" s="3" t="s">
        <v>42</v>
      </c>
      <c r="AC64" s="3" t="s">
        <v>621</v>
      </c>
      <c r="AD64" s="2" t="s">
        <v>345</v>
      </c>
    </row>
    <row r="65" spans="1:30" x14ac:dyDescent="0.2">
      <c r="A65" s="2">
        <v>112256</v>
      </c>
      <c r="B65" s="2" t="s">
        <v>228</v>
      </c>
      <c r="C65" s="2" t="s">
        <v>351</v>
      </c>
      <c r="D65" s="2" t="s">
        <v>148</v>
      </c>
      <c r="E65" s="2"/>
      <c r="F65" s="2"/>
      <c r="G65" s="2"/>
      <c r="H65" s="2" t="s">
        <v>344</v>
      </c>
      <c r="I65" s="2" t="s">
        <v>345</v>
      </c>
      <c r="J65" s="2"/>
      <c r="K65" s="2" t="s">
        <v>35</v>
      </c>
      <c r="L65" s="2" t="s">
        <v>134</v>
      </c>
      <c r="M65" s="2" t="s">
        <v>135</v>
      </c>
      <c r="N65" s="2" t="s">
        <v>352</v>
      </c>
      <c r="O65" s="2" t="s">
        <v>353</v>
      </c>
      <c r="P65" s="2" t="s">
        <v>40</v>
      </c>
      <c r="Q65" s="2" t="s">
        <v>41</v>
      </c>
      <c r="R65" s="2">
        <v>25.1</v>
      </c>
      <c r="S65" s="2">
        <v>35</v>
      </c>
      <c r="T65" s="2">
        <v>2</v>
      </c>
      <c r="U65" s="3">
        <v>1</v>
      </c>
      <c r="V65" s="3">
        <v>0</v>
      </c>
      <c r="W65" s="3">
        <v>0</v>
      </c>
      <c r="X65" s="3">
        <v>0</v>
      </c>
      <c r="Y65" s="3">
        <v>0</v>
      </c>
      <c r="Z65" s="3">
        <v>0</v>
      </c>
      <c r="AA65" s="4">
        <f t="shared" si="1"/>
        <v>0</v>
      </c>
      <c r="AB65" s="3" t="s">
        <v>53</v>
      </c>
      <c r="AC65" s="3" t="s">
        <v>621</v>
      </c>
      <c r="AD65" s="2" t="s">
        <v>345</v>
      </c>
    </row>
    <row r="66" spans="1:30" x14ac:dyDescent="0.2">
      <c r="A66" s="2">
        <v>112985</v>
      </c>
      <c r="B66" s="2" t="s">
        <v>228</v>
      </c>
      <c r="C66" s="2" t="s">
        <v>354</v>
      </c>
      <c r="D66" s="2" t="s">
        <v>148</v>
      </c>
      <c r="E66" s="2"/>
      <c r="F66" s="2"/>
      <c r="G66" s="2"/>
      <c r="H66" s="2" t="s">
        <v>344</v>
      </c>
      <c r="I66" s="2" t="s">
        <v>345</v>
      </c>
      <c r="J66" s="2"/>
      <c r="K66" s="2" t="s">
        <v>35</v>
      </c>
      <c r="L66" s="2" t="s">
        <v>69</v>
      </c>
      <c r="M66" s="2" t="s">
        <v>80</v>
      </c>
      <c r="N66" s="2" t="s">
        <v>355</v>
      </c>
      <c r="O66" s="2" t="s">
        <v>356</v>
      </c>
      <c r="P66" s="2" t="s">
        <v>40</v>
      </c>
      <c r="Q66" s="2" t="s">
        <v>41</v>
      </c>
      <c r="R66" s="2">
        <v>25.1</v>
      </c>
      <c r="S66" s="2">
        <v>35</v>
      </c>
      <c r="T66" s="2">
        <v>2</v>
      </c>
      <c r="U66" s="3">
        <v>1</v>
      </c>
      <c r="V66" s="3">
        <v>0</v>
      </c>
      <c r="W66" s="3">
        <v>0</v>
      </c>
      <c r="X66" s="3">
        <v>0</v>
      </c>
      <c r="Y66" s="3">
        <v>3</v>
      </c>
      <c r="Z66" s="3">
        <v>5</v>
      </c>
      <c r="AA66" s="4">
        <f t="shared" ref="AA66:AA97" si="2">Z66*35</f>
        <v>175</v>
      </c>
      <c r="AB66" s="3" t="s">
        <v>42</v>
      </c>
      <c r="AC66" s="3" t="s">
        <v>621</v>
      </c>
      <c r="AD66" s="2" t="s">
        <v>345</v>
      </c>
    </row>
    <row r="67" spans="1:30" x14ac:dyDescent="0.2">
      <c r="A67" s="2">
        <v>110153</v>
      </c>
      <c r="B67" s="2" t="s">
        <v>109</v>
      </c>
      <c r="C67" s="2" t="s">
        <v>357</v>
      </c>
      <c r="D67" s="2" t="s">
        <v>32</v>
      </c>
      <c r="E67" s="2"/>
      <c r="F67" s="2"/>
      <c r="G67" s="2"/>
      <c r="H67" s="2" t="s">
        <v>358</v>
      </c>
      <c r="I67" s="2" t="s">
        <v>359</v>
      </c>
      <c r="J67" s="2"/>
      <c r="K67" s="2" t="s">
        <v>35</v>
      </c>
      <c r="L67" s="2" t="s">
        <v>360</v>
      </c>
      <c r="M67" s="2" t="s">
        <v>80</v>
      </c>
      <c r="N67" s="2" t="s">
        <v>361</v>
      </c>
      <c r="O67" s="2" t="s">
        <v>362</v>
      </c>
      <c r="P67" s="2" t="s">
        <v>40</v>
      </c>
      <c r="Q67" s="2" t="s">
        <v>41</v>
      </c>
      <c r="R67" s="2">
        <v>2.5</v>
      </c>
      <c r="S67" s="2">
        <v>35</v>
      </c>
      <c r="T67" s="2">
        <v>2</v>
      </c>
      <c r="U67" s="3">
        <v>2</v>
      </c>
      <c r="V67" s="3">
        <v>0</v>
      </c>
      <c r="W67" s="3">
        <v>0</v>
      </c>
      <c r="X67" s="3">
        <v>0</v>
      </c>
      <c r="Y67" s="3">
        <v>2</v>
      </c>
      <c r="Z67" s="3">
        <v>4</v>
      </c>
      <c r="AA67" s="4">
        <f t="shared" si="2"/>
        <v>140</v>
      </c>
      <c r="AB67" s="3" t="s">
        <v>42</v>
      </c>
      <c r="AC67" s="3" t="s">
        <v>621</v>
      </c>
      <c r="AD67" s="2" t="s">
        <v>359</v>
      </c>
    </row>
    <row r="68" spans="1:30" x14ac:dyDescent="0.2">
      <c r="A68" s="2">
        <v>110869</v>
      </c>
      <c r="B68" s="2" t="s">
        <v>139</v>
      </c>
      <c r="C68" s="2" t="s">
        <v>363</v>
      </c>
      <c r="D68" s="2" t="s">
        <v>32</v>
      </c>
      <c r="E68" s="2"/>
      <c r="F68" s="2"/>
      <c r="G68" s="2"/>
      <c r="H68" s="2" t="s">
        <v>358</v>
      </c>
      <c r="I68" s="2" t="s">
        <v>359</v>
      </c>
      <c r="J68" s="2"/>
      <c r="K68" s="2" t="s">
        <v>35</v>
      </c>
      <c r="L68" s="2" t="s">
        <v>36</v>
      </c>
      <c r="M68" s="2" t="s">
        <v>80</v>
      </c>
      <c r="N68" s="2" t="s">
        <v>364</v>
      </c>
      <c r="O68" s="2" t="s">
        <v>302</v>
      </c>
      <c r="P68" s="2" t="s">
        <v>40</v>
      </c>
      <c r="Q68" s="2" t="s">
        <v>41</v>
      </c>
      <c r="R68" s="2">
        <v>2.5</v>
      </c>
      <c r="S68" s="2">
        <v>35</v>
      </c>
      <c r="T68" s="2">
        <v>2</v>
      </c>
      <c r="U68" s="3">
        <v>0</v>
      </c>
      <c r="V68" s="3">
        <v>0</v>
      </c>
      <c r="W68" s="3">
        <v>0</v>
      </c>
      <c r="X68" s="3">
        <v>0</v>
      </c>
      <c r="Y68" s="3">
        <v>0</v>
      </c>
      <c r="Z68" s="3">
        <v>0</v>
      </c>
      <c r="AA68" s="4">
        <f t="shared" si="2"/>
        <v>0</v>
      </c>
      <c r="AB68" s="3" t="s">
        <v>216</v>
      </c>
      <c r="AC68" s="3" t="s">
        <v>621</v>
      </c>
      <c r="AD68" s="2" t="s">
        <v>359</v>
      </c>
    </row>
    <row r="69" spans="1:30" x14ac:dyDescent="0.2">
      <c r="A69" s="2">
        <v>111779</v>
      </c>
      <c r="B69" s="2" t="s">
        <v>65</v>
      </c>
      <c r="C69" s="2" t="s">
        <v>365</v>
      </c>
      <c r="D69" s="2" t="s">
        <v>32</v>
      </c>
      <c r="E69" s="2"/>
      <c r="F69" s="2"/>
      <c r="G69" s="2"/>
      <c r="H69" s="2" t="s">
        <v>358</v>
      </c>
      <c r="I69" s="2" t="s">
        <v>359</v>
      </c>
      <c r="J69" s="2"/>
      <c r="K69" s="2" t="s">
        <v>35</v>
      </c>
      <c r="L69" s="2" t="s">
        <v>49</v>
      </c>
      <c r="M69" s="2" t="s">
        <v>61</v>
      </c>
      <c r="N69" s="2" t="s">
        <v>366</v>
      </c>
      <c r="O69" s="2" t="s">
        <v>367</v>
      </c>
      <c r="P69" s="2" t="s">
        <v>40</v>
      </c>
      <c r="Q69" s="2" t="s">
        <v>41</v>
      </c>
      <c r="R69" s="2">
        <v>2.5</v>
      </c>
      <c r="S69" s="2">
        <v>35</v>
      </c>
      <c r="T69" s="2">
        <v>2</v>
      </c>
      <c r="U69" s="3">
        <v>2</v>
      </c>
      <c r="V69" s="3">
        <v>0</v>
      </c>
      <c r="W69" s="3">
        <v>0</v>
      </c>
      <c r="X69" s="3">
        <v>0</v>
      </c>
      <c r="Y69" s="3">
        <v>0</v>
      </c>
      <c r="Z69" s="3">
        <v>0</v>
      </c>
      <c r="AA69" s="4">
        <f t="shared" si="2"/>
        <v>0</v>
      </c>
      <c r="AB69" s="3" t="s">
        <v>53</v>
      </c>
      <c r="AC69" s="3" t="s">
        <v>621</v>
      </c>
      <c r="AD69" s="2" t="s">
        <v>359</v>
      </c>
    </row>
    <row r="70" spans="1:30" x14ac:dyDescent="0.2">
      <c r="A70" s="2">
        <v>111776</v>
      </c>
      <c r="B70" s="2" t="s">
        <v>303</v>
      </c>
      <c r="C70" s="2" t="s">
        <v>368</v>
      </c>
      <c r="D70" s="2" t="s">
        <v>56</v>
      </c>
      <c r="E70" s="2"/>
      <c r="F70" s="2"/>
      <c r="G70" s="2"/>
      <c r="H70" s="2" t="s">
        <v>358</v>
      </c>
      <c r="I70" s="2" t="s">
        <v>359</v>
      </c>
      <c r="J70" s="2"/>
      <c r="K70" s="2" t="s">
        <v>35</v>
      </c>
      <c r="L70" s="2" t="s">
        <v>49</v>
      </c>
      <c r="M70" s="2" t="s">
        <v>61</v>
      </c>
      <c r="N70" s="2" t="s">
        <v>369</v>
      </c>
      <c r="O70" s="2" t="s">
        <v>370</v>
      </c>
      <c r="P70" s="2" t="s">
        <v>40</v>
      </c>
      <c r="Q70" s="2" t="s">
        <v>41</v>
      </c>
      <c r="R70" s="2">
        <v>2.5</v>
      </c>
      <c r="S70" s="2">
        <v>35</v>
      </c>
      <c r="T70" s="2">
        <v>2</v>
      </c>
      <c r="U70" s="3">
        <v>2</v>
      </c>
      <c r="V70" s="3">
        <v>0</v>
      </c>
      <c r="W70" s="3">
        <v>0</v>
      </c>
      <c r="X70" s="3">
        <v>0</v>
      </c>
      <c r="Y70" s="3">
        <v>0</v>
      </c>
      <c r="Z70" s="3">
        <v>0</v>
      </c>
      <c r="AA70" s="4">
        <f t="shared" si="2"/>
        <v>0</v>
      </c>
      <c r="AB70" s="3" t="s">
        <v>102</v>
      </c>
      <c r="AC70" s="3" t="s">
        <v>621</v>
      </c>
      <c r="AD70" s="2" t="s">
        <v>359</v>
      </c>
    </row>
    <row r="71" spans="1:30" x14ac:dyDescent="0.2">
      <c r="A71" s="2">
        <v>111777</v>
      </c>
      <c r="B71" s="2" t="s">
        <v>303</v>
      </c>
      <c r="C71" s="2" t="s">
        <v>365</v>
      </c>
      <c r="D71" s="2" t="s">
        <v>56</v>
      </c>
      <c r="E71" s="2"/>
      <c r="F71" s="2"/>
      <c r="G71" s="2"/>
      <c r="H71" s="2" t="s">
        <v>358</v>
      </c>
      <c r="I71" s="2" t="s">
        <v>359</v>
      </c>
      <c r="J71" s="2"/>
      <c r="K71" s="2" t="s">
        <v>35</v>
      </c>
      <c r="L71" s="2" t="s">
        <v>49</v>
      </c>
      <c r="M71" s="2" t="s">
        <v>50</v>
      </c>
      <c r="N71" s="2" t="s">
        <v>371</v>
      </c>
      <c r="O71" s="2" t="s">
        <v>372</v>
      </c>
      <c r="P71" s="2" t="s">
        <v>40</v>
      </c>
      <c r="Q71" s="2" t="s">
        <v>41</v>
      </c>
      <c r="R71" s="2">
        <v>2.5</v>
      </c>
      <c r="S71" s="2">
        <v>35</v>
      </c>
      <c r="T71" s="2">
        <v>2</v>
      </c>
      <c r="U71" s="3">
        <v>2</v>
      </c>
      <c r="V71" s="3">
        <v>0</v>
      </c>
      <c r="W71" s="3">
        <v>0</v>
      </c>
      <c r="X71" s="3">
        <v>0</v>
      </c>
      <c r="Y71" s="3">
        <v>0</v>
      </c>
      <c r="Z71" s="3">
        <v>3</v>
      </c>
      <c r="AA71" s="4">
        <f t="shared" si="2"/>
        <v>105</v>
      </c>
      <c r="AB71" s="3" t="s">
        <v>53</v>
      </c>
      <c r="AC71" s="3" t="s">
        <v>621</v>
      </c>
      <c r="AD71" s="2" t="s">
        <v>359</v>
      </c>
    </row>
    <row r="72" spans="1:30" x14ac:dyDescent="0.2">
      <c r="A72" s="2">
        <v>112622</v>
      </c>
      <c r="B72" s="2" t="s">
        <v>109</v>
      </c>
      <c r="C72" s="2" t="s">
        <v>373</v>
      </c>
      <c r="D72" s="2" t="s">
        <v>32</v>
      </c>
      <c r="E72" s="2" t="s">
        <v>67</v>
      </c>
      <c r="F72" s="2" t="s">
        <v>50</v>
      </c>
      <c r="G72" s="2" t="s">
        <v>374</v>
      </c>
      <c r="H72" s="2" t="s">
        <v>358</v>
      </c>
      <c r="I72" s="2" t="s">
        <v>359</v>
      </c>
      <c r="J72" s="2"/>
      <c r="K72" s="2" t="s">
        <v>35</v>
      </c>
      <c r="L72" s="2" t="s">
        <v>160</v>
      </c>
      <c r="M72" s="2" t="s">
        <v>50</v>
      </c>
      <c r="N72" s="2" t="s">
        <v>375</v>
      </c>
      <c r="O72" s="2" t="s">
        <v>376</v>
      </c>
      <c r="P72" s="2" t="s">
        <v>40</v>
      </c>
      <c r="Q72" s="2" t="s">
        <v>41</v>
      </c>
      <c r="R72" s="2">
        <v>2.5</v>
      </c>
      <c r="S72" s="2">
        <v>35</v>
      </c>
      <c r="T72" s="2">
        <v>2</v>
      </c>
      <c r="U72" s="3">
        <v>2</v>
      </c>
      <c r="V72" s="3">
        <v>0</v>
      </c>
      <c r="W72" s="3">
        <v>0</v>
      </c>
      <c r="X72" s="3">
        <v>0</v>
      </c>
      <c r="Y72" s="3">
        <v>0</v>
      </c>
      <c r="Z72" s="3">
        <v>5</v>
      </c>
      <c r="AA72" s="4">
        <f t="shared" si="2"/>
        <v>175</v>
      </c>
      <c r="AB72" s="3" t="s">
        <v>53</v>
      </c>
      <c r="AC72" s="3" t="s">
        <v>621</v>
      </c>
      <c r="AD72" s="2" t="s">
        <v>359</v>
      </c>
    </row>
    <row r="73" spans="1:30" x14ac:dyDescent="0.2">
      <c r="A73" s="2">
        <v>110443</v>
      </c>
      <c r="B73" s="2" t="s">
        <v>54</v>
      </c>
      <c r="C73" s="2" t="s">
        <v>377</v>
      </c>
      <c r="D73" s="2" t="s">
        <v>56</v>
      </c>
      <c r="E73" s="2"/>
      <c r="F73" s="2"/>
      <c r="G73" s="2"/>
      <c r="H73" s="2" t="s">
        <v>358</v>
      </c>
      <c r="I73" s="2" t="s">
        <v>359</v>
      </c>
      <c r="J73" s="2"/>
      <c r="K73" s="2" t="s">
        <v>35</v>
      </c>
      <c r="L73" s="2" t="s">
        <v>160</v>
      </c>
      <c r="M73" s="2" t="s">
        <v>50</v>
      </c>
      <c r="N73" s="2" t="s">
        <v>378</v>
      </c>
      <c r="O73" s="2" t="s">
        <v>379</v>
      </c>
      <c r="P73" s="2" t="s">
        <v>64</v>
      </c>
      <c r="Q73" s="2" t="s">
        <v>41</v>
      </c>
      <c r="R73" s="2">
        <v>2.5</v>
      </c>
      <c r="S73" s="2">
        <v>35</v>
      </c>
      <c r="T73" s="2">
        <v>2</v>
      </c>
      <c r="U73" s="3">
        <v>2</v>
      </c>
      <c r="V73" s="3">
        <v>0</v>
      </c>
      <c r="W73" s="3">
        <v>0</v>
      </c>
      <c r="X73" s="3">
        <v>0</v>
      </c>
      <c r="Y73" s="3">
        <v>0</v>
      </c>
      <c r="Z73" s="3">
        <v>3</v>
      </c>
      <c r="AA73" s="4">
        <f t="shared" si="2"/>
        <v>105</v>
      </c>
      <c r="AB73" s="3" t="s">
        <v>53</v>
      </c>
      <c r="AC73" s="3" t="s">
        <v>621</v>
      </c>
      <c r="AD73" s="2" t="s">
        <v>359</v>
      </c>
    </row>
    <row r="74" spans="1:30" x14ac:dyDescent="0.2">
      <c r="A74" s="2">
        <v>112834</v>
      </c>
      <c r="B74" s="2" t="s">
        <v>43</v>
      </c>
      <c r="C74" s="2" t="s">
        <v>380</v>
      </c>
      <c r="D74" s="2" t="s">
        <v>32</v>
      </c>
      <c r="E74" s="2"/>
      <c r="F74" s="2"/>
      <c r="G74" s="2"/>
      <c r="H74" s="2" t="s">
        <v>358</v>
      </c>
      <c r="I74" s="2" t="s">
        <v>359</v>
      </c>
      <c r="J74" s="2"/>
      <c r="K74" s="2" t="s">
        <v>35</v>
      </c>
      <c r="L74" s="2" t="s">
        <v>143</v>
      </c>
      <c r="M74" s="2" t="s">
        <v>50</v>
      </c>
      <c r="N74" s="2" t="s">
        <v>381</v>
      </c>
      <c r="O74" s="2" t="s">
        <v>382</v>
      </c>
      <c r="P74" s="2" t="s">
        <v>40</v>
      </c>
      <c r="Q74" s="2" t="s">
        <v>41</v>
      </c>
      <c r="R74" s="2">
        <v>2.5</v>
      </c>
      <c r="S74" s="2">
        <v>35</v>
      </c>
      <c r="T74" s="2">
        <v>2</v>
      </c>
      <c r="U74" s="3">
        <v>2</v>
      </c>
      <c r="V74" s="3">
        <v>0</v>
      </c>
      <c r="W74" s="3">
        <v>0</v>
      </c>
      <c r="X74" s="3">
        <v>0</v>
      </c>
      <c r="Y74" s="3">
        <v>0</v>
      </c>
      <c r="Z74" s="3">
        <v>4</v>
      </c>
      <c r="AA74" s="4">
        <f t="shared" si="2"/>
        <v>140</v>
      </c>
      <c r="AB74" s="3" t="s">
        <v>53</v>
      </c>
      <c r="AC74" s="3" t="s">
        <v>621</v>
      </c>
      <c r="AD74" s="2" t="s">
        <v>359</v>
      </c>
    </row>
    <row r="75" spans="1:30" x14ac:dyDescent="0.2">
      <c r="A75" s="2">
        <v>107430</v>
      </c>
      <c r="B75" s="2" t="s">
        <v>54</v>
      </c>
      <c r="C75" s="2" t="s">
        <v>383</v>
      </c>
      <c r="D75" s="2" t="s">
        <v>56</v>
      </c>
      <c r="E75" s="2"/>
      <c r="F75" s="2"/>
      <c r="G75" s="2"/>
      <c r="H75" s="2" t="s">
        <v>384</v>
      </c>
      <c r="I75" s="2" t="s">
        <v>385</v>
      </c>
      <c r="J75" s="2"/>
      <c r="K75" s="2" t="s">
        <v>35</v>
      </c>
      <c r="L75" s="2" t="s">
        <v>75</v>
      </c>
      <c r="M75" s="2" t="s">
        <v>61</v>
      </c>
      <c r="N75" s="2" t="s">
        <v>386</v>
      </c>
      <c r="O75" s="2" t="s">
        <v>387</v>
      </c>
      <c r="P75" s="2" t="s">
        <v>64</v>
      </c>
      <c r="Q75" s="2" t="s">
        <v>138</v>
      </c>
      <c r="R75" s="2">
        <v>51.9</v>
      </c>
      <c r="S75" s="2">
        <v>35</v>
      </c>
      <c r="T75" s="2">
        <v>3</v>
      </c>
      <c r="U75" s="3">
        <v>2</v>
      </c>
      <c r="V75" s="3">
        <v>0</v>
      </c>
      <c r="W75" s="3">
        <v>0</v>
      </c>
      <c r="X75" s="3">
        <v>0</v>
      </c>
      <c r="Y75" s="3">
        <v>0</v>
      </c>
      <c r="Z75" s="3">
        <v>0</v>
      </c>
      <c r="AA75" s="4">
        <f t="shared" si="2"/>
        <v>0</v>
      </c>
      <c r="AB75" s="3" t="s">
        <v>53</v>
      </c>
      <c r="AC75" s="3" t="s">
        <v>621</v>
      </c>
      <c r="AD75" s="2" t="s">
        <v>385</v>
      </c>
    </row>
    <row r="76" spans="1:30" x14ac:dyDescent="0.2">
      <c r="A76" s="2">
        <v>111736</v>
      </c>
      <c r="B76" s="2" t="s">
        <v>54</v>
      </c>
      <c r="C76" s="2" t="s">
        <v>388</v>
      </c>
      <c r="D76" s="2" t="s">
        <v>56</v>
      </c>
      <c r="E76" s="2" t="s">
        <v>389</v>
      </c>
      <c r="F76" s="2" t="s">
        <v>61</v>
      </c>
      <c r="G76" s="2" t="s">
        <v>390</v>
      </c>
      <c r="H76" s="2" t="s">
        <v>384</v>
      </c>
      <c r="I76" s="2" t="s">
        <v>385</v>
      </c>
      <c r="J76" s="2"/>
      <c r="K76" s="2" t="s">
        <v>35</v>
      </c>
      <c r="L76" s="2" t="s">
        <v>49</v>
      </c>
      <c r="M76" s="2" t="s">
        <v>61</v>
      </c>
      <c r="N76" s="2" t="s">
        <v>391</v>
      </c>
      <c r="O76" s="2" t="s">
        <v>392</v>
      </c>
      <c r="P76" s="2" t="s">
        <v>64</v>
      </c>
      <c r="Q76" s="2" t="s">
        <v>138</v>
      </c>
      <c r="R76" s="2">
        <v>51.9</v>
      </c>
      <c r="S76" s="2">
        <v>35</v>
      </c>
      <c r="T76" s="2">
        <v>3</v>
      </c>
      <c r="U76" s="3">
        <v>2</v>
      </c>
      <c r="V76" s="3">
        <v>0</v>
      </c>
      <c r="W76" s="3">
        <v>0</v>
      </c>
      <c r="X76" s="3">
        <v>0</v>
      </c>
      <c r="Y76" s="3">
        <v>0</v>
      </c>
      <c r="Z76" s="3">
        <v>0</v>
      </c>
      <c r="AA76" s="4">
        <f t="shared" si="2"/>
        <v>0</v>
      </c>
      <c r="AB76" s="3" t="s">
        <v>53</v>
      </c>
      <c r="AC76" s="3" t="s">
        <v>621</v>
      </c>
      <c r="AD76" s="2" t="s">
        <v>385</v>
      </c>
    </row>
    <row r="77" spans="1:30" x14ac:dyDescent="0.2">
      <c r="A77" s="2">
        <v>112975</v>
      </c>
      <c r="B77" s="2" t="s">
        <v>109</v>
      </c>
      <c r="C77" s="2" t="s">
        <v>393</v>
      </c>
      <c r="D77" s="2" t="s">
        <v>32</v>
      </c>
      <c r="E77" s="2" t="s">
        <v>394</v>
      </c>
      <c r="F77" s="2" t="s">
        <v>395</v>
      </c>
      <c r="G77" s="2" t="s">
        <v>396</v>
      </c>
      <c r="H77" s="2" t="s">
        <v>384</v>
      </c>
      <c r="I77" s="2" t="s">
        <v>385</v>
      </c>
      <c r="J77" s="2"/>
      <c r="K77" s="2" t="s">
        <v>35</v>
      </c>
      <c r="L77" s="2" t="s">
        <v>69</v>
      </c>
      <c r="M77" s="2" t="s">
        <v>50</v>
      </c>
      <c r="N77" s="2" t="s">
        <v>397</v>
      </c>
      <c r="O77" s="2" t="s">
        <v>398</v>
      </c>
      <c r="P77" s="2" t="s">
        <v>40</v>
      </c>
      <c r="Q77" s="2" t="s">
        <v>138</v>
      </c>
      <c r="R77" s="2">
        <v>51.9</v>
      </c>
      <c r="S77" s="2">
        <v>35</v>
      </c>
      <c r="T77" s="2">
        <v>3</v>
      </c>
      <c r="U77" s="3">
        <v>2</v>
      </c>
      <c r="V77" s="3">
        <v>0</v>
      </c>
      <c r="W77" s="3">
        <v>0</v>
      </c>
      <c r="X77" s="3">
        <v>0</v>
      </c>
      <c r="Y77" s="3">
        <v>0</v>
      </c>
      <c r="Z77" s="3">
        <v>4</v>
      </c>
      <c r="AA77" s="4">
        <f t="shared" si="2"/>
        <v>140</v>
      </c>
      <c r="AB77" s="3" t="s">
        <v>53</v>
      </c>
      <c r="AC77" s="3" t="s">
        <v>621</v>
      </c>
      <c r="AD77" s="2" t="s">
        <v>385</v>
      </c>
    </row>
    <row r="78" spans="1:30" x14ac:dyDescent="0.2">
      <c r="A78" s="2">
        <v>111049</v>
      </c>
      <c r="B78" s="2" t="s">
        <v>155</v>
      </c>
      <c r="C78" s="2" t="s">
        <v>399</v>
      </c>
      <c r="D78" s="2" t="s">
        <v>148</v>
      </c>
      <c r="E78" s="2" t="s">
        <v>67</v>
      </c>
      <c r="F78" s="2" t="s">
        <v>50</v>
      </c>
      <c r="G78" s="2" t="s">
        <v>400</v>
      </c>
      <c r="H78" s="2" t="s">
        <v>401</v>
      </c>
      <c r="I78" s="2" t="s">
        <v>402</v>
      </c>
      <c r="J78" s="2"/>
      <c r="K78" s="2" t="s">
        <v>35</v>
      </c>
      <c r="L78" s="2" t="s">
        <v>403</v>
      </c>
      <c r="M78" s="2" t="s">
        <v>50</v>
      </c>
      <c r="N78" s="2" t="s">
        <v>404</v>
      </c>
      <c r="O78" s="2" t="s">
        <v>405</v>
      </c>
      <c r="P78" s="2" t="s">
        <v>40</v>
      </c>
      <c r="Q78" s="2" t="s">
        <v>101</v>
      </c>
      <c r="R78" s="2">
        <v>383.1</v>
      </c>
      <c r="S78" s="2">
        <v>35</v>
      </c>
      <c r="T78" s="2">
        <v>4</v>
      </c>
      <c r="U78" s="3">
        <v>2</v>
      </c>
      <c r="V78" s="3">
        <v>0</v>
      </c>
      <c r="W78" s="3">
        <v>0</v>
      </c>
      <c r="X78" s="3">
        <v>0</v>
      </c>
      <c r="Y78" s="3">
        <v>0</v>
      </c>
      <c r="Z78" s="3">
        <v>9</v>
      </c>
      <c r="AA78" s="4">
        <f t="shared" si="2"/>
        <v>315</v>
      </c>
      <c r="AB78" s="3" t="s">
        <v>53</v>
      </c>
      <c r="AC78" s="3" t="s">
        <v>621</v>
      </c>
      <c r="AD78" s="2" t="s">
        <v>402</v>
      </c>
    </row>
    <row r="79" spans="1:30" x14ac:dyDescent="0.2">
      <c r="A79" s="2">
        <v>107174</v>
      </c>
      <c r="B79" s="2" t="s">
        <v>54</v>
      </c>
      <c r="C79" s="2" t="s">
        <v>406</v>
      </c>
      <c r="D79" s="2" t="s">
        <v>56</v>
      </c>
      <c r="E79" s="2"/>
      <c r="F79" s="2"/>
      <c r="G79" s="2"/>
      <c r="H79" s="2" t="s">
        <v>407</v>
      </c>
      <c r="I79" s="2" t="s">
        <v>408</v>
      </c>
      <c r="J79" s="2"/>
      <c r="K79" s="2" t="s">
        <v>35</v>
      </c>
      <c r="L79" s="2" t="s">
        <v>111</v>
      </c>
      <c r="M79" s="2" t="s">
        <v>61</v>
      </c>
      <c r="N79" s="2" t="s">
        <v>409</v>
      </c>
      <c r="O79" s="2" t="s">
        <v>410</v>
      </c>
      <c r="P79" s="2" t="s">
        <v>64</v>
      </c>
      <c r="Q79" s="2" t="s">
        <v>101</v>
      </c>
      <c r="R79" s="2">
        <v>646.29999999999995</v>
      </c>
      <c r="S79" s="2">
        <v>35</v>
      </c>
      <c r="T79" s="2">
        <v>4</v>
      </c>
      <c r="U79" s="3">
        <v>2</v>
      </c>
      <c r="V79" s="3">
        <v>0</v>
      </c>
      <c r="W79" s="3">
        <v>0</v>
      </c>
      <c r="X79" s="3">
        <v>0</v>
      </c>
      <c r="Y79" s="3">
        <v>0</v>
      </c>
      <c r="Z79" s="3">
        <v>4</v>
      </c>
      <c r="AA79" s="4">
        <f t="shared" si="2"/>
        <v>140</v>
      </c>
      <c r="AB79" s="3" t="s">
        <v>53</v>
      </c>
      <c r="AC79" s="3" t="s">
        <v>621</v>
      </c>
      <c r="AD79" s="2" t="s">
        <v>408</v>
      </c>
    </row>
    <row r="80" spans="1:30" x14ac:dyDescent="0.2">
      <c r="A80" s="2">
        <v>110696</v>
      </c>
      <c r="B80" s="2" t="s">
        <v>109</v>
      </c>
      <c r="C80" s="2" t="s">
        <v>411</v>
      </c>
      <c r="D80" s="2" t="s">
        <v>32</v>
      </c>
      <c r="E80" s="2"/>
      <c r="F80" s="2"/>
      <c r="G80" s="2"/>
      <c r="H80" s="2" t="s">
        <v>412</v>
      </c>
      <c r="I80" s="2" t="s">
        <v>413</v>
      </c>
      <c r="J80" s="2"/>
      <c r="K80" s="2" t="s">
        <v>35</v>
      </c>
      <c r="L80" s="2" t="s">
        <v>111</v>
      </c>
      <c r="M80" s="2" t="s">
        <v>61</v>
      </c>
      <c r="N80" s="2" t="s">
        <v>414</v>
      </c>
      <c r="O80" s="2" t="s">
        <v>415</v>
      </c>
      <c r="P80" s="2" t="s">
        <v>40</v>
      </c>
      <c r="Q80" s="2" t="s">
        <v>41</v>
      </c>
      <c r="R80" s="2">
        <v>8.1</v>
      </c>
      <c r="S80" s="2">
        <v>35</v>
      </c>
      <c r="T80" s="2">
        <v>2</v>
      </c>
      <c r="U80" s="3">
        <v>2</v>
      </c>
      <c r="V80" s="3">
        <v>0</v>
      </c>
      <c r="W80" s="3">
        <v>0</v>
      </c>
      <c r="X80" s="3">
        <v>0</v>
      </c>
      <c r="Y80" s="3">
        <v>0</v>
      </c>
      <c r="Z80" s="3">
        <v>3</v>
      </c>
      <c r="AA80" s="4">
        <f t="shared" si="2"/>
        <v>105</v>
      </c>
      <c r="AB80" s="3" t="s">
        <v>53</v>
      </c>
      <c r="AC80" s="3" t="s">
        <v>621</v>
      </c>
      <c r="AD80" s="2" t="s">
        <v>413</v>
      </c>
    </row>
    <row r="81" spans="1:30" x14ac:dyDescent="0.2">
      <c r="A81" s="2">
        <v>112258</v>
      </c>
      <c r="B81" s="2" t="s">
        <v>139</v>
      </c>
      <c r="C81" s="2" t="s">
        <v>416</v>
      </c>
      <c r="D81" s="2" t="s">
        <v>32</v>
      </c>
      <c r="E81" s="2" t="s">
        <v>67</v>
      </c>
      <c r="F81" s="2" t="s">
        <v>50</v>
      </c>
      <c r="G81" s="2" t="s">
        <v>417</v>
      </c>
      <c r="H81" s="2" t="s">
        <v>412</v>
      </c>
      <c r="I81" s="2" t="s">
        <v>413</v>
      </c>
      <c r="J81" s="2"/>
      <c r="K81" s="2" t="s">
        <v>35</v>
      </c>
      <c r="L81" s="2" t="s">
        <v>60</v>
      </c>
      <c r="M81" s="2" t="s">
        <v>50</v>
      </c>
      <c r="N81" s="2" t="s">
        <v>418</v>
      </c>
      <c r="O81" s="2" t="s">
        <v>419</v>
      </c>
      <c r="P81" s="2" t="s">
        <v>40</v>
      </c>
      <c r="Q81" s="2" t="s">
        <v>41</v>
      </c>
      <c r="R81" s="2">
        <v>8.1</v>
      </c>
      <c r="S81" s="2">
        <v>35</v>
      </c>
      <c r="T81" s="2">
        <v>2</v>
      </c>
      <c r="U81" s="3">
        <v>5</v>
      </c>
      <c r="V81" s="3">
        <v>0</v>
      </c>
      <c r="W81" s="3">
        <v>0</v>
      </c>
      <c r="X81" s="3">
        <v>0</v>
      </c>
      <c r="Y81" s="3">
        <v>0</v>
      </c>
      <c r="Z81" s="3">
        <v>4</v>
      </c>
      <c r="AA81" s="4">
        <f t="shared" si="2"/>
        <v>140</v>
      </c>
      <c r="AB81" s="3" t="s">
        <v>53</v>
      </c>
      <c r="AC81" s="3" t="s">
        <v>621</v>
      </c>
      <c r="AD81" s="2" t="s">
        <v>413</v>
      </c>
    </row>
    <row r="82" spans="1:30" x14ac:dyDescent="0.2">
      <c r="A82" s="2">
        <v>112984</v>
      </c>
      <c r="B82" s="2" t="s">
        <v>84</v>
      </c>
      <c r="C82" s="2" t="s">
        <v>420</v>
      </c>
      <c r="D82" s="2" t="s">
        <v>32</v>
      </c>
      <c r="E82" s="2"/>
      <c r="F82" s="2"/>
      <c r="G82" s="2"/>
      <c r="H82" s="2" t="s">
        <v>412</v>
      </c>
      <c r="I82" s="2" t="s">
        <v>413</v>
      </c>
      <c r="J82" s="2"/>
      <c r="K82" s="2" t="s">
        <v>124</v>
      </c>
      <c r="L82" s="2" t="s">
        <v>421</v>
      </c>
      <c r="M82" s="2" t="s">
        <v>135</v>
      </c>
      <c r="N82" s="2" t="s">
        <v>421</v>
      </c>
      <c r="O82" s="2" t="s">
        <v>422</v>
      </c>
      <c r="P82" s="2" t="s">
        <v>423</v>
      </c>
      <c r="Q82" s="2" t="s">
        <v>41</v>
      </c>
      <c r="R82" s="2">
        <v>8.1</v>
      </c>
      <c r="S82" s="2">
        <v>35</v>
      </c>
      <c r="T82" s="2">
        <v>2</v>
      </c>
      <c r="U82" s="3">
        <v>2</v>
      </c>
      <c r="V82" s="3">
        <v>0</v>
      </c>
      <c r="W82" s="3">
        <v>0</v>
      </c>
      <c r="X82" s="3">
        <v>0</v>
      </c>
      <c r="Y82" s="3">
        <v>0</v>
      </c>
      <c r="Z82" s="3">
        <v>8</v>
      </c>
      <c r="AA82" s="4">
        <f t="shared" si="2"/>
        <v>280</v>
      </c>
      <c r="AB82" s="3" t="s">
        <v>53</v>
      </c>
      <c r="AC82" s="3" t="s">
        <v>621</v>
      </c>
      <c r="AD82" s="2" t="s">
        <v>413</v>
      </c>
    </row>
    <row r="83" spans="1:30" x14ac:dyDescent="0.2">
      <c r="A83" s="2">
        <v>112858</v>
      </c>
      <c r="B83" s="2" t="s">
        <v>54</v>
      </c>
      <c r="C83" s="2" t="s">
        <v>424</v>
      </c>
      <c r="D83" s="2" t="s">
        <v>56</v>
      </c>
      <c r="E83" s="2" t="s">
        <v>425</v>
      </c>
      <c r="F83" s="2" t="s">
        <v>135</v>
      </c>
      <c r="G83" s="2" t="s">
        <v>426</v>
      </c>
      <c r="H83" s="2" t="s">
        <v>412</v>
      </c>
      <c r="I83" s="2" t="s">
        <v>413</v>
      </c>
      <c r="J83" s="2"/>
      <c r="K83" s="2" t="s">
        <v>124</v>
      </c>
      <c r="L83" s="2" t="s">
        <v>427</v>
      </c>
      <c r="M83" s="2" t="s">
        <v>135</v>
      </c>
      <c r="N83" s="2" t="s">
        <v>427</v>
      </c>
      <c r="O83" s="2" t="s">
        <v>428</v>
      </c>
      <c r="P83" s="2" t="s">
        <v>64</v>
      </c>
      <c r="Q83" s="2" t="s">
        <v>41</v>
      </c>
      <c r="R83" s="2">
        <v>8.1</v>
      </c>
      <c r="S83" s="2">
        <v>35</v>
      </c>
      <c r="T83" s="2">
        <v>2</v>
      </c>
      <c r="U83" s="3">
        <v>2</v>
      </c>
      <c r="V83" s="3">
        <v>0</v>
      </c>
      <c r="W83" s="3">
        <v>0</v>
      </c>
      <c r="X83" s="3">
        <v>0</v>
      </c>
      <c r="Y83" s="3">
        <v>0</v>
      </c>
      <c r="Z83" s="3">
        <v>0</v>
      </c>
      <c r="AA83" s="4">
        <f t="shared" si="2"/>
        <v>0</v>
      </c>
      <c r="AB83" s="3" t="s">
        <v>53</v>
      </c>
      <c r="AC83" s="3" t="s">
        <v>621</v>
      </c>
      <c r="AD83" s="2" t="s">
        <v>413</v>
      </c>
    </row>
    <row r="84" spans="1:30" x14ac:dyDescent="0.2">
      <c r="A84" s="2">
        <v>113192</v>
      </c>
      <c r="B84" s="2" t="s">
        <v>54</v>
      </c>
      <c r="C84" s="2" t="s">
        <v>429</v>
      </c>
      <c r="D84" s="2" t="s">
        <v>56</v>
      </c>
      <c r="E84" s="2"/>
      <c r="F84" s="2"/>
      <c r="G84" s="2"/>
      <c r="H84" s="2" t="s">
        <v>412</v>
      </c>
      <c r="I84" s="2" t="s">
        <v>413</v>
      </c>
      <c r="J84" s="2"/>
      <c r="K84" s="2" t="s">
        <v>124</v>
      </c>
      <c r="L84" s="2" t="s">
        <v>430</v>
      </c>
      <c r="M84" s="2" t="s">
        <v>135</v>
      </c>
      <c r="N84" s="2" t="s">
        <v>430</v>
      </c>
      <c r="O84" s="2" t="s">
        <v>431</v>
      </c>
      <c r="P84" s="2" t="s">
        <v>64</v>
      </c>
      <c r="Q84" s="2" t="s">
        <v>41</v>
      </c>
      <c r="R84" s="2">
        <v>8.1</v>
      </c>
      <c r="S84" s="2">
        <v>35</v>
      </c>
      <c r="T84" s="2">
        <v>2</v>
      </c>
      <c r="U84" s="3">
        <v>2</v>
      </c>
      <c r="V84" s="3">
        <v>0</v>
      </c>
      <c r="W84" s="3">
        <v>0</v>
      </c>
      <c r="X84" s="3">
        <v>0</v>
      </c>
      <c r="Y84" s="3">
        <v>0</v>
      </c>
      <c r="Z84" s="3">
        <v>0</v>
      </c>
      <c r="AA84" s="4">
        <f t="shared" si="2"/>
        <v>0</v>
      </c>
      <c r="AB84" s="3" t="s">
        <v>53</v>
      </c>
      <c r="AC84" s="3" t="s">
        <v>621</v>
      </c>
      <c r="AD84" s="2" t="s">
        <v>413</v>
      </c>
    </row>
    <row r="85" spans="1:30" x14ac:dyDescent="0.2">
      <c r="A85" s="2">
        <v>109904</v>
      </c>
      <c r="B85" s="2" t="s">
        <v>303</v>
      </c>
      <c r="C85" s="2" t="s">
        <v>44</v>
      </c>
      <c r="D85" s="2" t="s">
        <v>56</v>
      </c>
      <c r="E85" s="2"/>
      <c r="F85" s="2"/>
      <c r="G85" s="2"/>
      <c r="H85" s="2" t="s">
        <v>432</v>
      </c>
      <c r="I85" s="2" t="s">
        <v>433</v>
      </c>
      <c r="J85" s="2"/>
      <c r="K85" s="2" t="s">
        <v>35</v>
      </c>
      <c r="L85" s="2" t="s">
        <v>360</v>
      </c>
      <c r="M85" s="2" t="s">
        <v>61</v>
      </c>
      <c r="N85" s="2" t="s">
        <v>434</v>
      </c>
      <c r="O85" s="2" t="s">
        <v>435</v>
      </c>
      <c r="P85" s="2" t="s">
        <v>40</v>
      </c>
      <c r="Q85" s="2" t="s">
        <v>101</v>
      </c>
      <c r="R85" s="2">
        <v>278.89999999999998</v>
      </c>
      <c r="S85" s="2">
        <v>35</v>
      </c>
      <c r="T85" s="2">
        <v>4</v>
      </c>
      <c r="U85" s="3">
        <v>2</v>
      </c>
      <c r="V85" s="3">
        <v>0</v>
      </c>
      <c r="W85" s="3">
        <v>0</v>
      </c>
      <c r="X85" s="3">
        <v>0</v>
      </c>
      <c r="Y85" s="3">
        <v>0</v>
      </c>
      <c r="Z85" s="3">
        <v>4</v>
      </c>
      <c r="AA85" s="4">
        <f t="shared" si="2"/>
        <v>140</v>
      </c>
      <c r="AB85" s="3" t="s">
        <v>53</v>
      </c>
      <c r="AC85" s="3" t="s">
        <v>621</v>
      </c>
      <c r="AD85" s="2" t="s">
        <v>433</v>
      </c>
    </row>
    <row r="86" spans="1:30" x14ac:dyDescent="0.2">
      <c r="A86" s="2">
        <v>111600</v>
      </c>
      <c r="B86" s="2" t="s">
        <v>436</v>
      </c>
      <c r="C86" s="2" t="s">
        <v>437</v>
      </c>
      <c r="D86" s="2" t="s">
        <v>32</v>
      </c>
      <c r="E86" s="2" t="s">
        <v>438</v>
      </c>
      <c r="F86" s="2" t="s">
        <v>439</v>
      </c>
      <c r="G86" s="2" t="s">
        <v>440</v>
      </c>
      <c r="H86" s="2" t="s">
        <v>432</v>
      </c>
      <c r="I86" s="2" t="s">
        <v>433</v>
      </c>
      <c r="J86" s="2"/>
      <c r="K86" s="2" t="s">
        <v>35</v>
      </c>
      <c r="L86" s="2" t="s">
        <v>268</v>
      </c>
      <c r="M86" s="2" t="s">
        <v>441</v>
      </c>
      <c r="N86" s="2" t="s">
        <v>442</v>
      </c>
      <c r="O86" s="2" t="s">
        <v>443</v>
      </c>
      <c r="P86" s="2" t="s">
        <v>423</v>
      </c>
      <c r="Q86" s="2" t="s">
        <v>101</v>
      </c>
      <c r="R86" s="2">
        <v>278.89999999999998</v>
      </c>
      <c r="S86" s="2">
        <v>35</v>
      </c>
      <c r="T86" s="2">
        <v>4</v>
      </c>
      <c r="U86" s="3">
        <v>2</v>
      </c>
      <c r="V86" s="3">
        <v>0</v>
      </c>
      <c r="W86" s="3">
        <v>0</v>
      </c>
      <c r="X86" s="3">
        <v>0</v>
      </c>
      <c r="Y86" s="3">
        <v>0</v>
      </c>
      <c r="Z86" s="3">
        <v>0</v>
      </c>
      <c r="AA86" s="4">
        <f t="shared" si="2"/>
        <v>0</v>
      </c>
      <c r="AB86" s="3" t="s">
        <v>53</v>
      </c>
      <c r="AC86" s="3" t="s">
        <v>621</v>
      </c>
      <c r="AD86" s="2" t="s">
        <v>433</v>
      </c>
    </row>
    <row r="87" spans="1:30" x14ac:dyDescent="0.2">
      <c r="A87" s="2">
        <v>107722</v>
      </c>
      <c r="B87" s="2" t="s">
        <v>303</v>
      </c>
      <c r="C87" s="2" t="s">
        <v>444</v>
      </c>
      <c r="D87" s="2" t="s">
        <v>56</v>
      </c>
      <c r="E87" s="2"/>
      <c r="F87" s="2"/>
      <c r="G87" s="2"/>
      <c r="H87" s="2" t="s">
        <v>445</v>
      </c>
      <c r="I87" s="2" t="s">
        <v>446</v>
      </c>
      <c r="J87" s="2"/>
      <c r="K87" s="2" t="s">
        <v>35</v>
      </c>
      <c r="L87" s="2" t="s">
        <v>36</v>
      </c>
      <c r="M87" s="2" t="s">
        <v>50</v>
      </c>
      <c r="N87" s="2" t="s">
        <v>447</v>
      </c>
      <c r="O87" s="2" t="s">
        <v>124</v>
      </c>
      <c r="P87" s="2" t="s">
        <v>40</v>
      </c>
      <c r="Q87" s="2" t="s">
        <v>41</v>
      </c>
      <c r="R87" s="2">
        <v>5.6</v>
      </c>
      <c r="S87" s="2">
        <v>35</v>
      </c>
      <c r="T87" s="2">
        <v>2</v>
      </c>
      <c r="U87" s="3">
        <v>2</v>
      </c>
      <c r="V87" s="3">
        <v>0</v>
      </c>
      <c r="W87" s="3">
        <v>0</v>
      </c>
      <c r="X87" s="3">
        <v>0</v>
      </c>
      <c r="Y87" s="3">
        <v>0</v>
      </c>
      <c r="Z87" s="3">
        <v>2</v>
      </c>
      <c r="AA87" s="4">
        <f t="shared" si="2"/>
        <v>70</v>
      </c>
      <c r="AB87" s="3" t="s">
        <v>53</v>
      </c>
      <c r="AC87" s="3" t="s">
        <v>621</v>
      </c>
      <c r="AD87" s="2" t="s">
        <v>446</v>
      </c>
    </row>
    <row r="88" spans="1:30" x14ac:dyDescent="0.2">
      <c r="A88" s="2">
        <v>109334</v>
      </c>
      <c r="B88" s="2" t="s">
        <v>448</v>
      </c>
      <c r="C88" s="2" t="s">
        <v>449</v>
      </c>
      <c r="D88" s="2" t="s">
        <v>32</v>
      </c>
      <c r="E88" s="2"/>
      <c r="F88" s="2"/>
      <c r="G88" s="2"/>
      <c r="H88" s="2" t="s">
        <v>450</v>
      </c>
      <c r="I88" s="2" t="s">
        <v>451</v>
      </c>
      <c r="J88" s="2"/>
      <c r="K88" s="2" t="s">
        <v>35</v>
      </c>
      <c r="L88" s="2" t="s">
        <v>75</v>
      </c>
      <c r="M88" s="2" t="s">
        <v>61</v>
      </c>
      <c r="N88" s="2" t="s">
        <v>452</v>
      </c>
      <c r="O88" s="2" t="s">
        <v>453</v>
      </c>
      <c r="P88" s="2" t="s">
        <v>454</v>
      </c>
      <c r="Q88" s="2" t="s">
        <v>41</v>
      </c>
      <c r="R88" s="2">
        <v>17.399999999999999</v>
      </c>
      <c r="S88" s="2">
        <v>35</v>
      </c>
      <c r="T88" s="2">
        <v>2</v>
      </c>
      <c r="U88" s="3">
        <v>2</v>
      </c>
      <c r="V88" s="3">
        <v>0</v>
      </c>
      <c r="W88" s="3">
        <v>0</v>
      </c>
      <c r="X88" s="3">
        <v>0</v>
      </c>
      <c r="Y88" s="3">
        <v>0</v>
      </c>
      <c r="Z88" s="3">
        <v>0</v>
      </c>
      <c r="AA88" s="4">
        <f t="shared" si="2"/>
        <v>0</v>
      </c>
      <c r="AB88" s="3" t="s">
        <v>53</v>
      </c>
      <c r="AC88" s="3" t="s">
        <v>621</v>
      </c>
      <c r="AD88" s="2" t="s">
        <v>451</v>
      </c>
    </row>
    <row r="89" spans="1:30" x14ac:dyDescent="0.2">
      <c r="A89" s="2">
        <v>109341</v>
      </c>
      <c r="B89" s="2" t="s">
        <v>448</v>
      </c>
      <c r="C89" s="2" t="s">
        <v>455</v>
      </c>
      <c r="D89" s="2" t="s">
        <v>32</v>
      </c>
      <c r="E89" s="2"/>
      <c r="F89" s="2"/>
      <c r="G89" s="2"/>
      <c r="H89" s="2" t="s">
        <v>450</v>
      </c>
      <c r="I89" s="2" t="s">
        <v>451</v>
      </c>
      <c r="J89" s="2"/>
      <c r="K89" s="2" t="s">
        <v>35</v>
      </c>
      <c r="L89" s="2" t="s">
        <v>241</v>
      </c>
      <c r="M89" s="2" t="s">
        <v>61</v>
      </c>
      <c r="N89" s="2" t="s">
        <v>456</v>
      </c>
      <c r="O89" s="2" t="s">
        <v>457</v>
      </c>
      <c r="P89" s="2" t="s">
        <v>454</v>
      </c>
      <c r="Q89" s="2" t="s">
        <v>41</v>
      </c>
      <c r="R89" s="2">
        <v>17.399999999999999</v>
      </c>
      <c r="S89" s="2">
        <v>35</v>
      </c>
      <c r="T89" s="2">
        <v>2</v>
      </c>
      <c r="U89" s="3">
        <v>2</v>
      </c>
      <c r="V89" s="3">
        <v>0</v>
      </c>
      <c r="W89" s="3">
        <v>0</v>
      </c>
      <c r="X89" s="3">
        <v>0</v>
      </c>
      <c r="Y89" s="3">
        <v>0</v>
      </c>
      <c r="Z89" s="3">
        <v>0</v>
      </c>
      <c r="AA89" s="4">
        <f t="shared" si="2"/>
        <v>0</v>
      </c>
      <c r="AB89" s="3" t="s">
        <v>53</v>
      </c>
      <c r="AC89" s="3" t="s">
        <v>621</v>
      </c>
      <c r="AD89" s="2" t="s">
        <v>451</v>
      </c>
    </row>
    <row r="90" spans="1:30" x14ac:dyDescent="0.2">
      <c r="A90" s="2">
        <v>110576</v>
      </c>
      <c r="B90" s="2" t="s">
        <v>54</v>
      </c>
      <c r="C90" s="2" t="s">
        <v>458</v>
      </c>
      <c r="D90" s="2" t="s">
        <v>56</v>
      </c>
      <c r="E90" s="2"/>
      <c r="F90" s="2"/>
      <c r="G90" s="2"/>
      <c r="H90" s="2" t="s">
        <v>450</v>
      </c>
      <c r="I90" s="2" t="s">
        <v>451</v>
      </c>
      <c r="J90" s="2"/>
      <c r="K90" s="2" t="s">
        <v>35</v>
      </c>
      <c r="L90" s="2" t="s">
        <v>241</v>
      </c>
      <c r="M90" s="2" t="s">
        <v>61</v>
      </c>
      <c r="N90" s="2" t="s">
        <v>459</v>
      </c>
      <c r="O90" s="2" t="s">
        <v>460</v>
      </c>
      <c r="P90" s="2" t="s">
        <v>64</v>
      </c>
      <c r="Q90" s="2" t="s">
        <v>41</v>
      </c>
      <c r="R90" s="2">
        <v>17.399999999999999</v>
      </c>
      <c r="S90" s="2">
        <v>35</v>
      </c>
      <c r="T90" s="2">
        <v>2</v>
      </c>
      <c r="U90" s="3">
        <v>2</v>
      </c>
      <c r="V90" s="3">
        <v>0</v>
      </c>
      <c r="W90" s="3">
        <v>0</v>
      </c>
      <c r="X90" s="3">
        <v>0</v>
      </c>
      <c r="Y90" s="3">
        <v>0</v>
      </c>
      <c r="Z90" s="3">
        <v>3</v>
      </c>
      <c r="AA90" s="4">
        <f t="shared" si="2"/>
        <v>105</v>
      </c>
      <c r="AB90" s="3" t="s">
        <v>53</v>
      </c>
      <c r="AC90" s="3" t="s">
        <v>621</v>
      </c>
      <c r="AD90" s="2" t="s">
        <v>451</v>
      </c>
    </row>
    <row r="91" spans="1:30" x14ac:dyDescent="0.2">
      <c r="A91" s="2">
        <v>110811</v>
      </c>
      <c r="B91" s="2" t="s">
        <v>109</v>
      </c>
      <c r="C91" s="2" t="s">
        <v>461</v>
      </c>
      <c r="D91" s="2" t="s">
        <v>32</v>
      </c>
      <c r="E91" s="2" t="s">
        <v>462</v>
      </c>
      <c r="F91" s="2" t="s">
        <v>50</v>
      </c>
      <c r="G91" s="2" t="s">
        <v>463</v>
      </c>
      <c r="H91" s="2" t="s">
        <v>450</v>
      </c>
      <c r="I91" s="2" t="s">
        <v>451</v>
      </c>
      <c r="J91" s="2"/>
      <c r="K91" s="2" t="s">
        <v>35</v>
      </c>
      <c r="L91" s="2" t="s">
        <v>152</v>
      </c>
      <c r="M91" s="2" t="s">
        <v>50</v>
      </c>
      <c r="N91" s="2" t="s">
        <v>464</v>
      </c>
      <c r="O91" s="2" t="s">
        <v>465</v>
      </c>
      <c r="P91" s="2" t="s">
        <v>40</v>
      </c>
      <c r="Q91" s="2" t="s">
        <v>41</v>
      </c>
      <c r="R91" s="2">
        <v>17.399999999999999</v>
      </c>
      <c r="S91" s="2">
        <v>35</v>
      </c>
      <c r="T91" s="2">
        <v>2</v>
      </c>
      <c r="U91" s="3">
        <v>2</v>
      </c>
      <c r="V91" s="3">
        <v>0</v>
      </c>
      <c r="W91" s="3">
        <v>0</v>
      </c>
      <c r="X91" s="3">
        <v>0</v>
      </c>
      <c r="Y91" s="3">
        <v>0</v>
      </c>
      <c r="Z91" s="3">
        <v>3</v>
      </c>
      <c r="AA91" s="4">
        <f t="shared" si="2"/>
        <v>105</v>
      </c>
      <c r="AB91" s="3" t="s">
        <v>53</v>
      </c>
      <c r="AC91" s="3" t="s">
        <v>621</v>
      </c>
      <c r="AD91" s="2" t="s">
        <v>451</v>
      </c>
    </row>
    <row r="92" spans="1:30" x14ac:dyDescent="0.2">
      <c r="A92" s="2">
        <v>110989</v>
      </c>
      <c r="B92" s="2" t="s">
        <v>54</v>
      </c>
      <c r="C92" s="2" t="s">
        <v>466</v>
      </c>
      <c r="D92" s="2" t="s">
        <v>56</v>
      </c>
      <c r="E92" s="2"/>
      <c r="F92" s="2"/>
      <c r="G92" s="2"/>
      <c r="H92" s="2" t="s">
        <v>450</v>
      </c>
      <c r="I92" s="2" t="s">
        <v>451</v>
      </c>
      <c r="J92" s="2"/>
      <c r="K92" s="2" t="s">
        <v>35</v>
      </c>
      <c r="L92" s="2" t="s">
        <v>36</v>
      </c>
      <c r="M92" s="2" t="s">
        <v>61</v>
      </c>
      <c r="N92" s="2" t="s">
        <v>467</v>
      </c>
      <c r="O92" s="2" t="s">
        <v>468</v>
      </c>
      <c r="P92" s="2" t="s">
        <v>64</v>
      </c>
      <c r="Q92" s="2" t="s">
        <v>41</v>
      </c>
      <c r="R92" s="2">
        <v>17.399999999999999</v>
      </c>
      <c r="S92" s="2">
        <v>35</v>
      </c>
      <c r="T92" s="2">
        <v>2</v>
      </c>
      <c r="U92" s="3">
        <v>2</v>
      </c>
      <c r="V92" s="3">
        <v>0</v>
      </c>
      <c r="W92" s="3">
        <v>0</v>
      </c>
      <c r="X92" s="3">
        <v>0</v>
      </c>
      <c r="Y92" s="3">
        <v>0</v>
      </c>
      <c r="Z92" s="3">
        <v>0</v>
      </c>
      <c r="AA92" s="4">
        <f t="shared" si="2"/>
        <v>0</v>
      </c>
      <c r="AB92" s="3" t="s">
        <v>53</v>
      </c>
      <c r="AC92" s="3" t="s">
        <v>621</v>
      </c>
      <c r="AD92" s="2" t="s">
        <v>451</v>
      </c>
    </row>
    <row r="93" spans="1:30" x14ac:dyDescent="0.2">
      <c r="A93" s="2">
        <v>111189</v>
      </c>
      <c r="B93" s="2" t="s">
        <v>109</v>
      </c>
      <c r="C93" s="2" t="s">
        <v>469</v>
      </c>
      <c r="D93" s="2" t="s">
        <v>32</v>
      </c>
      <c r="E93" s="2"/>
      <c r="F93" s="2"/>
      <c r="G93" s="2"/>
      <c r="H93" s="2" t="s">
        <v>450</v>
      </c>
      <c r="I93" s="2" t="s">
        <v>451</v>
      </c>
      <c r="J93" s="2"/>
      <c r="K93" s="2" t="s">
        <v>35</v>
      </c>
      <c r="L93" s="2" t="s">
        <v>45</v>
      </c>
      <c r="M93" s="2" t="s">
        <v>37</v>
      </c>
      <c r="N93" s="2" t="s">
        <v>470</v>
      </c>
      <c r="O93" s="2" t="s">
        <v>471</v>
      </c>
      <c r="P93" s="2" t="s">
        <v>40</v>
      </c>
      <c r="Q93" s="2" t="s">
        <v>41</v>
      </c>
      <c r="R93" s="2">
        <v>17.399999999999999</v>
      </c>
      <c r="S93" s="2">
        <v>35</v>
      </c>
      <c r="T93" s="2">
        <v>2</v>
      </c>
      <c r="U93" s="3">
        <v>1</v>
      </c>
      <c r="V93" s="3">
        <v>0</v>
      </c>
      <c r="W93" s="3">
        <v>0</v>
      </c>
      <c r="X93" s="3">
        <v>0</v>
      </c>
      <c r="Y93" s="3">
        <v>20</v>
      </c>
      <c r="Z93" s="3">
        <v>3</v>
      </c>
      <c r="AA93" s="4">
        <f t="shared" si="2"/>
        <v>105</v>
      </c>
      <c r="AB93" s="3" t="s">
        <v>42</v>
      </c>
      <c r="AC93" s="3" t="s">
        <v>621</v>
      </c>
      <c r="AD93" s="2" t="s">
        <v>451</v>
      </c>
    </row>
    <row r="94" spans="1:30" x14ac:dyDescent="0.2">
      <c r="A94" s="2">
        <v>111734</v>
      </c>
      <c r="B94" s="2" t="s">
        <v>109</v>
      </c>
      <c r="C94" s="2" t="s">
        <v>472</v>
      </c>
      <c r="D94" s="2" t="s">
        <v>32</v>
      </c>
      <c r="E94" s="2"/>
      <c r="F94" s="2"/>
      <c r="G94" s="2"/>
      <c r="H94" s="2" t="s">
        <v>450</v>
      </c>
      <c r="I94" s="2" t="s">
        <v>451</v>
      </c>
      <c r="J94" s="2"/>
      <c r="K94" s="2" t="s">
        <v>35</v>
      </c>
      <c r="L94" s="2" t="s">
        <v>49</v>
      </c>
      <c r="M94" s="2" t="s">
        <v>37</v>
      </c>
      <c r="N94" s="2" t="s">
        <v>473</v>
      </c>
      <c r="O94" s="2" t="s">
        <v>474</v>
      </c>
      <c r="P94" s="2" t="s">
        <v>40</v>
      </c>
      <c r="Q94" s="2" t="s">
        <v>41</v>
      </c>
      <c r="R94" s="2">
        <v>17.399999999999999</v>
      </c>
      <c r="S94" s="2">
        <v>35</v>
      </c>
      <c r="T94" s="2">
        <v>2</v>
      </c>
      <c r="U94" s="3">
        <v>1</v>
      </c>
      <c r="V94" s="3">
        <v>0</v>
      </c>
      <c r="W94" s="3">
        <v>0</v>
      </c>
      <c r="X94" s="3">
        <v>0</v>
      </c>
      <c r="Y94" s="3">
        <v>1</v>
      </c>
      <c r="Z94" s="3">
        <v>3</v>
      </c>
      <c r="AA94" s="4">
        <f t="shared" si="2"/>
        <v>105</v>
      </c>
      <c r="AB94" s="3" t="s">
        <v>42</v>
      </c>
      <c r="AC94" s="3" t="s">
        <v>621</v>
      </c>
      <c r="AD94" s="2" t="s">
        <v>451</v>
      </c>
    </row>
    <row r="95" spans="1:30" x14ac:dyDescent="0.2">
      <c r="A95" s="2">
        <v>109337</v>
      </c>
      <c r="B95" s="2" t="s">
        <v>448</v>
      </c>
      <c r="C95" s="2" t="s">
        <v>475</v>
      </c>
      <c r="D95" s="2" t="s">
        <v>32</v>
      </c>
      <c r="E95" s="2"/>
      <c r="F95" s="2"/>
      <c r="G95" s="2"/>
      <c r="H95" s="2" t="s">
        <v>450</v>
      </c>
      <c r="I95" s="2" t="s">
        <v>451</v>
      </c>
      <c r="J95" s="2"/>
      <c r="K95" s="2" t="s">
        <v>124</v>
      </c>
      <c r="L95" s="2" t="s">
        <v>476</v>
      </c>
      <c r="M95" s="2" t="s">
        <v>37</v>
      </c>
      <c r="N95" s="2" t="s">
        <v>476</v>
      </c>
      <c r="O95" s="2" t="s">
        <v>477</v>
      </c>
      <c r="P95" s="2" t="s">
        <v>454</v>
      </c>
      <c r="Q95" s="2" t="s">
        <v>41</v>
      </c>
      <c r="R95" s="2">
        <v>17.399999999999999</v>
      </c>
      <c r="S95" s="2">
        <v>35</v>
      </c>
      <c r="T95" s="2">
        <v>2</v>
      </c>
      <c r="U95" s="3">
        <v>2</v>
      </c>
      <c r="V95" s="3">
        <v>0</v>
      </c>
      <c r="W95" s="3">
        <v>0</v>
      </c>
      <c r="X95" s="3">
        <v>0</v>
      </c>
      <c r="Y95" s="3">
        <v>0</v>
      </c>
      <c r="Z95" s="3">
        <v>0</v>
      </c>
      <c r="AA95" s="4">
        <f t="shared" si="2"/>
        <v>0</v>
      </c>
      <c r="AB95" s="3" t="s">
        <v>53</v>
      </c>
      <c r="AC95" s="3" t="s">
        <v>621</v>
      </c>
      <c r="AD95" s="2" t="s">
        <v>451</v>
      </c>
    </row>
    <row r="96" spans="1:30" x14ac:dyDescent="0.2">
      <c r="A96" s="2">
        <v>109338</v>
      </c>
      <c r="B96" s="2" t="s">
        <v>448</v>
      </c>
      <c r="C96" s="2" t="s">
        <v>478</v>
      </c>
      <c r="D96" s="2" t="s">
        <v>32</v>
      </c>
      <c r="E96" s="2"/>
      <c r="F96" s="2"/>
      <c r="G96" s="2"/>
      <c r="H96" s="2" t="s">
        <v>450</v>
      </c>
      <c r="I96" s="2" t="s">
        <v>451</v>
      </c>
      <c r="J96" s="2"/>
      <c r="K96" s="2" t="s">
        <v>124</v>
      </c>
      <c r="L96" s="2" t="s">
        <v>479</v>
      </c>
      <c r="M96" s="2" t="s">
        <v>37</v>
      </c>
      <c r="N96" s="2" t="s">
        <v>479</v>
      </c>
      <c r="O96" s="2" t="s">
        <v>480</v>
      </c>
      <c r="P96" s="2" t="s">
        <v>454</v>
      </c>
      <c r="Q96" s="2" t="s">
        <v>41</v>
      </c>
      <c r="R96" s="2">
        <v>17.399999999999999</v>
      </c>
      <c r="S96" s="2">
        <v>35</v>
      </c>
      <c r="T96" s="2">
        <v>2</v>
      </c>
      <c r="U96" s="3">
        <v>2</v>
      </c>
      <c r="V96" s="3">
        <v>0</v>
      </c>
      <c r="W96" s="3">
        <v>0</v>
      </c>
      <c r="X96" s="3">
        <v>0</v>
      </c>
      <c r="Y96" s="3">
        <v>0</v>
      </c>
      <c r="Z96" s="3">
        <v>0</v>
      </c>
      <c r="AA96" s="4">
        <f t="shared" si="2"/>
        <v>0</v>
      </c>
      <c r="AB96" s="3" t="s">
        <v>53</v>
      </c>
      <c r="AC96" s="3" t="s">
        <v>621</v>
      </c>
      <c r="AD96" s="2" t="s">
        <v>451</v>
      </c>
    </row>
    <row r="97" spans="1:30" x14ac:dyDescent="0.2">
      <c r="A97" s="2">
        <v>109339</v>
      </c>
      <c r="B97" s="2" t="s">
        <v>448</v>
      </c>
      <c r="C97" s="2" t="s">
        <v>481</v>
      </c>
      <c r="D97" s="2" t="s">
        <v>32</v>
      </c>
      <c r="E97" s="2"/>
      <c r="F97" s="2"/>
      <c r="G97" s="2"/>
      <c r="H97" s="2" t="s">
        <v>450</v>
      </c>
      <c r="I97" s="2" t="s">
        <v>451</v>
      </c>
      <c r="J97" s="2"/>
      <c r="K97" s="2" t="s">
        <v>124</v>
      </c>
      <c r="L97" s="2" t="s">
        <v>482</v>
      </c>
      <c r="M97" s="2" t="s">
        <v>37</v>
      </c>
      <c r="N97" s="2" t="s">
        <v>483</v>
      </c>
      <c r="O97" s="2" t="s">
        <v>477</v>
      </c>
      <c r="P97" s="2" t="s">
        <v>454</v>
      </c>
      <c r="Q97" s="2" t="s">
        <v>41</v>
      </c>
      <c r="R97" s="2">
        <v>17.399999999999999</v>
      </c>
      <c r="S97" s="2">
        <v>35</v>
      </c>
      <c r="T97" s="2">
        <v>2</v>
      </c>
      <c r="U97" s="3">
        <v>2</v>
      </c>
      <c r="V97" s="3">
        <v>0</v>
      </c>
      <c r="W97" s="3">
        <v>0</v>
      </c>
      <c r="X97" s="3">
        <v>0</v>
      </c>
      <c r="Y97" s="3">
        <v>0</v>
      </c>
      <c r="Z97" s="3">
        <v>0</v>
      </c>
      <c r="AA97" s="4">
        <f t="shared" si="2"/>
        <v>0</v>
      </c>
      <c r="AB97" s="3" t="s">
        <v>53</v>
      </c>
      <c r="AC97" s="3" t="s">
        <v>621</v>
      </c>
      <c r="AD97" s="2" t="s">
        <v>451</v>
      </c>
    </row>
    <row r="98" spans="1:30" x14ac:dyDescent="0.2">
      <c r="A98" s="2">
        <v>113006</v>
      </c>
      <c r="B98" s="2" t="s">
        <v>54</v>
      </c>
      <c r="C98" s="2" t="s">
        <v>484</v>
      </c>
      <c r="D98" s="2" t="s">
        <v>56</v>
      </c>
      <c r="E98" s="2"/>
      <c r="F98" s="2"/>
      <c r="G98" s="2"/>
      <c r="H98" s="2" t="s">
        <v>450</v>
      </c>
      <c r="I98" s="2" t="s">
        <v>451</v>
      </c>
      <c r="J98" s="2"/>
      <c r="K98" s="2" t="s">
        <v>124</v>
      </c>
      <c r="L98" s="2" t="s">
        <v>485</v>
      </c>
      <c r="M98" s="2" t="s">
        <v>37</v>
      </c>
      <c r="N98" s="2" t="s">
        <v>485</v>
      </c>
      <c r="O98" s="2" t="s">
        <v>486</v>
      </c>
      <c r="P98" s="2" t="s">
        <v>64</v>
      </c>
      <c r="Q98" s="2" t="s">
        <v>41</v>
      </c>
      <c r="R98" s="2">
        <v>17.399999999999999</v>
      </c>
      <c r="S98" s="2">
        <v>35</v>
      </c>
      <c r="T98" s="2">
        <v>2</v>
      </c>
      <c r="U98" s="3">
        <v>2</v>
      </c>
      <c r="V98" s="3">
        <v>0</v>
      </c>
      <c r="W98" s="3">
        <v>0</v>
      </c>
      <c r="X98" s="3">
        <v>0</v>
      </c>
      <c r="Y98" s="3">
        <v>0</v>
      </c>
      <c r="Z98" s="3">
        <v>4</v>
      </c>
      <c r="AA98" s="4">
        <f t="shared" ref="AA98:AA129" si="3">Z98*35</f>
        <v>140</v>
      </c>
      <c r="AB98" s="3" t="s">
        <v>53</v>
      </c>
      <c r="AC98" s="3" t="s">
        <v>621</v>
      </c>
      <c r="AD98" s="2" t="s">
        <v>451</v>
      </c>
    </row>
    <row r="99" spans="1:30" x14ac:dyDescent="0.2">
      <c r="A99" s="2">
        <v>109336</v>
      </c>
      <c r="B99" s="2" t="s">
        <v>84</v>
      </c>
      <c r="C99" s="2" t="s">
        <v>487</v>
      </c>
      <c r="D99" s="2" t="s">
        <v>32</v>
      </c>
      <c r="E99" s="2"/>
      <c r="F99" s="2"/>
      <c r="G99" s="2"/>
      <c r="H99" s="2" t="s">
        <v>450</v>
      </c>
      <c r="I99" s="2" t="s">
        <v>451</v>
      </c>
      <c r="J99" s="2"/>
      <c r="K99" s="2" t="s">
        <v>124</v>
      </c>
      <c r="L99" s="2" t="s">
        <v>488</v>
      </c>
      <c r="M99" s="2" t="s">
        <v>37</v>
      </c>
      <c r="N99" s="2" t="s">
        <v>488</v>
      </c>
      <c r="O99" s="2" t="s">
        <v>489</v>
      </c>
      <c r="P99" s="2" t="s">
        <v>40</v>
      </c>
      <c r="Q99" s="2" t="s">
        <v>41</v>
      </c>
      <c r="R99" s="2">
        <v>17.399999999999999</v>
      </c>
      <c r="S99" s="2">
        <v>35</v>
      </c>
      <c r="T99" s="2">
        <v>2</v>
      </c>
      <c r="U99" s="3">
        <v>2</v>
      </c>
      <c r="V99" s="3">
        <v>0</v>
      </c>
      <c r="W99" s="3">
        <v>0</v>
      </c>
      <c r="X99" s="3">
        <v>0</v>
      </c>
      <c r="Y99" s="3">
        <v>0</v>
      </c>
      <c r="Z99" s="3">
        <v>2</v>
      </c>
      <c r="AA99" s="4">
        <f t="shared" si="3"/>
        <v>70</v>
      </c>
      <c r="AB99" s="3" t="s">
        <v>53</v>
      </c>
      <c r="AC99" s="3" t="s">
        <v>621</v>
      </c>
      <c r="AD99" s="2" t="s">
        <v>451</v>
      </c>
    </row>
    <row r="100" spans="1:30" x14ac:dyDescent="0.2">
      <c r="A100" s="2">
        <v>113136</v>
      </c>
      <c r="B100" s="2" t="s">
        <v>54</v>
      </c>
      <c r="C100" s="2" t="s">
        <v>490</v>
      </c>
      <c r="D100" s="2" t="s">
        <v>56</v>
      </c>
      <c r="E100" s="2"/>
      <c r="F100" s="2"/>
      <c r="G100" s="2"/>
      <c r="H100" s="2" t="s">
        <v>450</v>
      </c>
      <c r="I100" s="2" t="s">
        <v>451</v>
      </c>
      <c r="J100" s="2"/>
      <c r="K100" s="2" t="s">
        <v>124</v>
      </c>
      <c r="L100" s="2" t="s">
        <v>491</v>
      </c>
      <c r="M100" s="2" t="s">
        <v>37</v>
      </c>
      <c r="N100" s="2" t="s">
        <v>491</v>
      </c>
      <c r="O100" s="2" t="s">
        <v>492</v>
      </c>
      <c r="P100" s="2" t="s">
        <v>64</v>
      </c>
      <c r="Q100" s="2" t="s">
        <v>41</v>
      </c>
      <c r="R100" s="2">
        <v>17.399999999999999</v>
      </c>
      <c r="S100" s="2">
        <v>35</v>
      </c>
      <c r="T100" s="2">
        <v>2</v>
      </c>
      <c r="U100" s="3">
        <v>2</v>
      </c>
      <c r="V100" s="3">
        <v>0</v>
      </c>
      <c r="W100" s="3">
        <v>0</v>
      </c>
      <c r="X100" s="3">
        <v>0</v>
      </c>
      <c r="Y100" s="3">
        <v>0</v>
      </c>
      <c r="Z100" s="3">
        <v>2</v>
      </c>
      <c r="AA100" s="4">
        <f t="shared" si="3"/>
        <v>70</v>
      </c>
      <c r="AB100" s="3" t="s">
        <v>53</v>
      </c>
      <c r="AC100" s="3" t="s">
        <v>621</v>
      </c>
      <c r="AD100" s="2" t="s">
        <v>451</v>
      </c>
    </row>
    <row r="101" spans="1:30" x14ac:dyDescent="0.2">
      <c r="A101" s="2">
        <v>113008</v>
      </c>
      <c r="B101" s="2" t="s">
        <v>54</v>
      </c>
      <c r="C101" s="2" t="s">
        <v>493</v>
      </c>
      <c r="D101" s="2" t="s">
        <v>56</v>
      </c>
      <c r="E101" s="2"/>
      <c r="F101" s="2"/>
      <c r="G101" s="2"/>
      <c r="H101" s="2" t="s">
        <v>450</v>
      </c>
      <c r="I101" s="2" t="s">
        <v>451</v>
      </c>
      <c r="J101" s="2"/>
      <c r="K101" s="2" t="s">
        <v>124</v>
      </c>
      <c r="L101" s="2" t="s">
        <v>494</v>
      </c>
      <c r="M101" s="2" t="s">
        <v>37</v>
      </c>
      <c r="N101" s="2" t="s">
        <v>494</v>
      </c>
      <c r="O101" s="2" t="s">
        <v>495</v>
      </c>
      <c r="P101" s="2" t="s">
        <v>64</v>
      </c>
      <c r="Q101" s="2" t="s">
        <v>41</v>
      </c>
      <c r="R101" s="2">
        <v>17.399999999999999</v>
      </c>
      <c r="S101" s="2">
        <v>35</v>
      </c>
      <c r="T101" s="2">
        <v>2</v>
      </c>
      <c r="U101" s="3">
        <v>2</v>
      </c>
      <c r="V101" s="3">
        <v>0</v>
      </c>
      <c r="W101" s="3">
        <v>0</v>
      </c>
      <c r="X101" s="3">
        <v>0</v>
      </c>
      <c r="Y101" s="3">
        <v>0</v>
      </c>
      <c r="Z101" s="3">
        <v>2</v>
      </c>
      <c r="AA101" s="4">
        <f t="shared" si="3"/>
        <v>70</v>
      </c>
      <c r="AB101" s="3" t="s">
        <v>53</v>
      </c>
      <c r="AC101" s="3" t="s">
        <v>621</v>
      </c>
      <c r="AD101" s="2" t="s">
        <v>451</v>
      </c>
    </row>
    <row r="102" spans="1:30" x14ac:dyDescent="0.2">
      <c r="A102" s="2">
        <v>113009</v>
      </c>
      <c r="B102" s="2" t="s">
        <v>54</v>
      </c>
      <c r="C102" s="2" t="s">
        <v>496</v>
      </c>
      <c r="D102" s="2" t="s">
        <v>56</v>
      </c>
      <c r="E102" s="2"/>
      <c r="F102" s="2"/>
      <c r="G102" s="2"/>
      <c r="H102" s="2" t="s">
        <v>450</v>
      </c>
      <c r="I102" s="2" t="s">
        <v>451</v>
      </c>
      <c r="J102" s="2"/>
      <c r="K102" s="2" t="s">
        <v>124</v>
      </c>
      <c r="L102" s="2" t="s">
        <v>497</v>
      </c>
      <c r="M102" s="2" t="s">
        <v>37</v>
      </c>
      <c r="N102" s="2" t="s">
        <v>497</v>
      </c>
      <c r="O102" s="2" t="s">
        <v>498</v>
      </c>
      <c r="P102" s="2" t="s">
        <v>64</v>
      </c>
      <c r="Q102" s="2" t="s">
        <v>41</v>
      </c>
      <c r="R102" s="2">
        <v>17.399999999999999</v>
      </c>
      <c r="S102" s="2">
        <v>35</v>
      </c>
      <c r="T102" s="2">
        <v>2</v>
      </c>
      <c r="U102" s="3">
        <v>2</v>
      </c>
      <c r="V102" s="3">
        <v>0</v>
      </c>
      <c r="W102" s="3">
        <v>0</v>
      </c>
      <c r="X102" s="3">
        <v>0</v>
      </c>
      <c r="Y102" s="3">
        <v>0</v>
      </c>
      <c r="Z102" s="3">
        <v>2</v>
      </c>
      <c r="AA102" s="4">
        <f t="shared" si="3"/>
        <v>70</v>
      </c>
      <c r="AB102" s="3" t="s">
        <v>53</v>
      </c>
      <c r="AC102" s="3" t="s">
        <v>621</v>
      </c>
      <c r="AD102" s="2" t="s">
        <v>451</v>
      </c>
    </row>
    <row r="103" spans="1:30" x14ac:dyDescent="0.2">
      <c r="A103" s="2">
        <v>113012</v>
      </c>
      <c r="B103" s="2" t="s">
        <v>54</v>
      </c>
      <c r="C103" s="2" t="s">
        <v>499</v>
      </c>
      <c r="D103" s="2" t="s">
        <v>56</v>
      </c>
      <c r="E103" s="2"/>
      <c r="F103" s="2"/>
      <c r="G103" s="2"/>
      <c r="H103" s="2" t="s">
        <v>450</v>
      </c>
      <c r="I103" s="2" t="s">
        <v>451</v>
      </c>
      <c r="J103" s="2"/>
      <c r="K103" s="2" t="s">
        <v>124</v>
      </c>
      <c r="L103" s="2" t="s">
        <v>500</v>
      </c>
      <c r="M103" s="2" t="s">
        <v>37</v>
      </c>
      <c r="N103" s="2" t="s">
        <v>500</v>
      </c>
      <c r="O103" s="2" t="s">
        <v>501</v>
      </c>
      <c r="P103" s="2" t="s">
        <v>64</v>
      </c>
      <c r="Q103" s="2" t="s">
        <v>41</v>
      </c>
      <c r="R103" s="2">
        <v>17.399999999999999</v>
      </c>
      <c r="S103" s="2">
        <v>35</v>
      </c>
      <c r="T103" s="2">
        <v>2</v>
      </c>
      <c r="U103" s="3">
        <v>2</v>
      </c>
      <c r="V103" s="3">
        <v>0</v>
      </c>
      <c r="W103" s="3">
        <v>0</v>
      </c>
      <c r="X103" s="3">
        <v>0</v>
      </c>
      <c r="Y103" s="3">
        <v>0</v>
      </c>
      <c r="Z103" s="3">
        <v>0</v>
      </c>
      <c r="AA103" s="4">
        <f t="shared" si="3"/>
        <v>0</v>
      </c>
      <c r="AB103" s="3" t="s">
        <v>53</v>
      </c>
      <c r="AC103" s="3" t="s">
        <v>621</v>
      </c>
      <c r="AD103" s="2" t="s">
        <v>451</v>
      </c>
    </row>
    <row r="104" spans="1:30" x14ac:dyDescent="0.2">
      <c r="A104" s="2">
        <v>113007</v>
      </c>
      <c r="B104" s="2" t="s">
        <v>54</v>
      </c>
      <c r="C104" s="2" t="s">
        <v>502</v>
      </c>
      <c r="D104" s="2" t="s">
        <v>56</v>
      </c>
      <c r="E104" s="2"/>
      <c r="F104" s="2"/>
      <c r="G104" s="2"/>
      <c r="H104" s="2" t="s">
        <v>450</v>
      </c>
      <c r="I104" s="2" t="s">
        <v>451</v>
      </c>
      <c r="J104" s="2"/>
      <c r="K104" s="2" t="s">
        <v>124</v>
      </c>
      <c r="L104" s="2" t="s">
        <v>503</v>
      </c>
      <c r="M104" s="2" t="s">
        <v>37</v>
      </c>
      <c r="N104" s="2" t="s">
        <v>503</v>
      </c>
      <c r="O104" s="2" t="s">
        <v>504</v>
      </c>
      <c r="P104" s="2" t="s">
        <v>64</v>
      </c>
      <c r="Q104" s="2" t="s">
        <v>41</v>
      </c>
      <c r="R104" s="2">
        <v>17.399999999999999</v>
      </c>
      <c r="S104" s="2">
        <v>35</v>
      </c>
      <c r="T104" s="2">
        <v>2</v>
      </c>
      <c r="U104" s="3">
        <v>2</v>
      </c>
      <c r="V104" s="3">
        <v>0</v>
      </c>
      <c r="W104" s="3">
        <v>0</v>
      </c>
      <c r="X104" s="3">
        <v>0</v>
      </c>
      <c r="Y104" s="3">
        <v>0</v>
      </c>
      <c r="Z104" s="3">
        <v>8</v>
      </c>
      <c r="AA104" s="4">
        <f t="shared" si="3"/>
        <v>280</v>
      </c>
      <c r="AB104" s="3" t="s">
        <v>53</v>
      </c>
      <c r="AC104" s="3" t="s">
        <v>621</v>
      </c>
      <c r="AD104" s="2" t="s">
        <v>451</v>
      </c>
    </row>
    <row r="105" spans="1:30" x14ac:dyDescent="0.2">
      <c r="A105" s="2">
        <v>109685</v>
      </c>
      <c r="B105" s="2" t="s">
        <v>303</v>
      </c>
      <c r="C105" s="2" t="s">
        <v>505</v>
      </c>
      <c r="D105" s="2" t="s">
        <v>56</v>
      </c>
      <c r="E105" s="2"/>
      <c r="F105" s="2"/>
      <c r="G105" s="2"/>
      <c r="H105" s="2" t="s">
        <v>506</v>
      </c>
      <c r="I105" s="2" t="s">
        <v>507</v>
      </c>
      <c r="J105" s="2"/>
      <c r="K105" s="2" t="s">
        <v>35</v>
      </c>
      <c r="L105" s="2" t="s">
        <v>75</v>
      </c>
      <c r="M105" s="2" t="s">
        <v>61</v>
      </c>
      <c r="N105" s="2" t="s">
        <v>508</v>
      </c>
      <c r="O105" s="2" t="s">
        <v>509</v>
      </c>
      <c r="P105" s="2" t="s">
        <v>40</v>
      </c>
      <c r="Q105" s="2" t="s">
        <v>101</v>
      </c>
      <c r="R105" s="2">
        <v>278.89999999999998</v>
      </c>
      <c r="S105" s="2">
        <v>35</v>
      </c>
      <c r="T105" s="2">
        <v>4</v>
      </c>
      <c r="U105" s="3">
        <v>2</v>
      </c>
      <c r="V105" s="3">
        <v>0</v>
      </c>
      <c r="W105" s="3">
        <v>0</v>
      </c>
      <c r="X105" s="3">
        <v>0</v>
      </c>
      <c r="Y105" s="3">
        <v>0</v>
      </c>
      <c r="Z105" s="3">
        <v>4</v>
      </c>
      <c r="AA105" s="4">
        <f t="shared" si="3"/>
        <v>140</v>
      </c>
      <c r="AB105" s="3" t="s">
        <v>53</v>
      </c>
      <c r="AC105" s="3" t="s">
        <v>621</v>
      </c>
      <c r="AD105" s="2" t="s">
        <v>507</v>
      </c>
    </row>
    <row r="106" spans="1:30" x14ac:dyDescent="0.2">
      <c r="A106" s="2">
        <v>110083</v>
      </c>
      <c r="B106" s="2" t="s">
        <v>510</v>
      </c>
      <c r="C106" s="2" t="s">
        <v>511</v>
      </c>
      <c r="D106" s="2" t="s">
        <v>148</v>
      </c>
      <c r="E106" s="2"/>
      <c r="F106" s="2"/>
      <c r="G106" s="2"/>
      <c r="H106" s="2" t="s">
        <v>512</v>
      </c>
      <c r="I106" s="2" t="s">
        <v>513</v>
      </c>
      <c r="J106" s="2"/>
      <c r="K106" s="2" t="s">
        <v>35</v>
      </c>
      <c r="L106" s="2" t="s">
        <v>514</v>
      </c>
      <c r="M106" s="2" t="s">
        <v>61</v>
      </c>
      <c r="N106" s="2" t="s">
        <v>515</v>
      </c>
      <c r="O106" s="2" t="s">
        <v>516</v>
      </c>
      <c r="P106" s="2" t="s">
        <v>40</v>
      </c>
      <c r="Q106" s="2" t="s">
        <v>101</v>
      </c>
      <c r="R106" s="2">
        <v>278.89999999999998</v>
      </c>
      <c r="S106" s="2">
        <v>35</v>
      </c>
      <c r="T106" s="2">
        <v>4</v>
      </c>
      <c r="U106" s="3">
        <v>2</v>
      </c>
      <c r="V106" s="3">
        <v>0</v>
      </c>
      <c r="W106" s="3">
        <v>0</v>
      </c>
      <c r="X106" s="3">
        <v>0</v>
      </c>
      <c r="Y106" s="3">
        <v>0</v>
      </c>
      <c r="Z106" s="3">
        <v>8</v>
      </c>
      <c r="AA106" s="4">
        <f t="shared" si="3"/>
        <v>280</v>
      </c>
      <c r="AB106" s="3" t="s">
        <v>53</v>
      </c>
      <c r="AC106" s="3" t="s">
        <v>621</v>
      </c>
      <c r="AD106" s="2" t="s">
        <v>513</v>
      </c>
    </row>
    <row r="107" spans="1:30" x14ac:dyDescent="0.2">
      <c r="A107" s="2">
        <v>110705</v>
      </c>
      <c r="B107" s="2" t="s">
        <v>54</v>
      </c>
      <c r="C107" s="2" t="s">
        <v>517</v>
      </c>
      <c r="D107" s="2" t="s">
        <v>56</v>
      </c>
      <c r="E107" s="2"/>
      <c r="F107" s="2"/>
      <c r="G107" s="2"/>
      <c r="H107" s="2" t="s">
        <v>512</v>
      </c>
      <c r="I107" s="2" t="s">
        <v>513</v>
      </c>
      <c r="J107" s="2"/>
      <c r="K107" s="2" t="s">
        <v>35</v>
      </c>
      <c r="L107" s="2" t="s">
        <v>69</v>
      </c>
      <c r="M107" s="2" t="s">
        <v>61</v>
      </c>
      <c r="N107" s="2" t="s">
        <v>518</v>
      </c>
      <c r="O107" s="2" t="s">
        <v>519</v>
      </c>
      <c r="P107" s="2" t="s">
        <v>64</v>
      </c>
      <c r="Q107" s="2" t="s">
        <v>101</v>
      </c>
      <c r="R107" s="2">
        <v>278.89999999999998</v>
      </c>
      <c r="S107" s="2">
        <v>35</v>
      </c>
      <c r="T107" s="2">
        <v>4</v>
      </c>
      <c r="U107" s="3">
        <v>2</v>
      </c>
      <c r="V107" s="3">
        <v>0</v>
      </c>
      <c r="W107" s="3">
        <v>0</v>
      </c>
      <c r="X107" s="3">
        <v>0</v>
      </c>
      <c r="Y107" s="3">
        <v>0</v>
      </c>
      <c r="Z107" s="3">
        <v>0</v>
      </c>
      <c r="AA107" s="4">
        <f t="shared" si="3"/>
        <v>0</v>
      </c>
      <c r="AB107" s="3" t="s">
        <v>53</v>
      </c>
      <c r="AC107" s="3" t="s">
        <v>621</v>
      </c>
      <c r="AD107" s="2" t="s">
        <v>513</v>
      </c>
    </row>
    <row r="108" spans="1:30" x14ac:dyDescent="0.2">
      <c r="A108" s="2">
        <v>111659</v>
      </c>
      <c r="B108" s="2" t="s">
        <v>109</v>
      </c>
      <c r="C108" s="2" t="s">
        <v>520</v>
      </c>
      <c r="D108" s="2" t="s">
        <v>32</v>
      </c>
      <c r="E108" s="2"/>
      <c r="F108" s="2"/>
      <c r="G108" s="2"/>
      <c r="H108" s="2" t="s">
        <v>521</v>
      </c>
      <c r="I108" s="2" t="s">
        <v>522</v>
      </c>
      <c r="J108" s="2"/>
      <c r="K108" s="2" t="s">
        <v>35</v>
      </c>
      <c r="L108" s="2" t="s">
        <v>49</v>
      </c>
      <c r="M108" s="2" t="s">
        <v>61</v>
      </c>
      <c r="N108" s="2" t="s">
        <v>523</v>
      </c>
      <c r="O108" s="2" t="s">
        <v>524</v>
      </c>
      <c r="P108" s="2" t="s">
        <v>40</v>
      </c>
      <c r="Q108" s="2" t="s">
        <v>101</v>
      </c>
      <c r="R108" s="2">
        <v>278.89999999999998</v>
      </c>
      <c r="S108" s="2">
        <v>35</v>
      </c>
      <c r="T108" s="2">
        <v>4</v>
      </c>
      <c r="U108" s="3">
        <v>2</v>
      </c>
      <c r="V108" s="3">
        <v>0</v>
      </c>
      <c r="W108" s="3">
        <v>0</v>
      </c>
      <c r="X108" s="3">
        <v>0</v>
      </c>
      <c r="Y108" s="3">
        <v>0</v>
      </c>
      <c r="Z108" s="3">
        <v>4</v>
      </c>
      <c r="AA108" s="4">
        <f t="shared" si="3"/>
        <v>140</v>
      </c>
      <c r="AB108" s="3" t="s">
        <v>53</v>
      </c>
      <c r="AC108" s="3" t="s">
        <v>621</v>
      </c>
      <c r="AD108" s="2" t="s">
        <v>522</v>
      </c>
    </row>
    <row r="109" spans="1:30" x14ac:dyDescent="0.2">
      <c r="A109" s="2">
        <v>110400</v>
      </c>
      <c r="B109" s="2" t="s">
        <v>146</v>
      </c>
      <c r="C109" s="2" t="s">
        <v>525</v>
      </c>
      <c r="D109" s="2" t="s">
        <v>148</v>
      </c>
      <c r="E109" s="2"/>
      <c r="F109" s="2"/>
      <c r="G109" s="2"/>
      <c r="H109" s="2" t="s">
        <v>526</v>
      </c>
      <c r="I109" s="2" t="s">
        <v>527</v>
      </c>
      <c r="J109" s="2"/>
      <c r="K109" s="2" t="s">
        <v>35</v>
      </c>
      <c r="L109" s="2" t="s">
        <v>79</v>
      </c>
      <c r="M109" s="2" t="s">
        <v>61</v>
      </c>
      <c r="N109" s="2" t="s">
        <v>528</v>
      </c>
      <c r="O109" s="2" t="s">
        <v>174</v>
      </c>
      <c r="P109" s="2" t="s">
        <v>40</v>
      </c>
      <c r="Q109" s="2" t="s">
        <v>138</v>
      </c>
      <c r="R109" s="2">
        <v>52.8</v>
      </c>
      <c r="S109" s="2">
        <v>35</v>
      </c>
      <c r="T109" s="2">
        <v>3</v>
      </c>
      <c r="U109" s="3">
        <v>2</v>
      </c>
      <c r="V109" s="3">
        <v>2</v>
      </c>
      <c r="W109" s="3">
        <v>0</v>
      </c>
      <c r="X109" s="3">
        <v>1</v>
      </c>
      <c r="Y109" s="3">
        <v>0</v>
      </c>
      <c r="Z109" s="3">
        <v>5</v>
      </c>
      <c r="AA109" s="4">
        <f t="shared" si="3"/>
        <v>175</v>
      </c>
      <c r="AB109" s="3" t="s">
        <v>529</v>
      </c>
      <c r="AC109" s="3" t="s">
        <v>621</v>
      </c>
      <c r="AD109" s="2" t="s">
        <v>527</v>
      </c>
    </row>
    <row r="110" spans="1:30" x14ac:dyDescent="0.2">
      <c r="A110" s="2">
        <v>110633</v>
      </c>
      <c r="B110" s="2" t="s">
        <v>43</v>
      </c>
      <c r="C110" s="2" t="s">
        <v>530</v>
      </c>
      <c r="D110" s="2" t="s">
        <v>32</v>
      </c>
      <c r="E110" s="2" t="s">
        <v>531</v>
      </c>
      <c r="F110" s="2" t="s">
        <v>50</v>
      </c>
      <c r="G110" s="2" t="s">
        <v>532</v>
      </c>
      <c r="H110" s="2" t="s">
        <v>533</v>
      </c>
      <c r="I110" s="2" t="s">
        <v>534</v>
      </c>
      <c r="J110" s="2"/>
      <c r="K110" s="2" t="s">
        <v>35</v>
      </c>
      <c r="L110" s="2" t="s">
        <v>111</v>
      </c>
      <c r="M110" s="2" t="s">
        <v>37</v>
      </c>
      <c r="N110" s="2" t="s">
        <v>535</v>
      </c>
      <c r="O110" s="2" t="s">
        <v>536</v>
      </c>
      <c r="P110" s="2" t="s">
        <v>40</v>
      </c>
      <c r="Q110" s="2" t="s">
        <v>41</v>
      </c>
      <c r="R110" s="2">
        <v>24.5</v>
      </c>
      <c r="S110" s="2">
        <v>35</v>
      </c>
      <c r="T110" s="2">
        <v>2</v>
      </c>
      <c r="U110" s="3">
        <v>1</v>
      </c>
      <c r="V110" s="3">
        <v>0</v>
      </c>
      <c r="W110" s="3">
        <v>0</v>
      </c>
      <c r="X110" s="3">
        <v>2</v>
      </c>
      <c r="Y110" s="3">
        <v>1</v>
      </c>
      <c r="Z110" s="3">
        <v>4</v>
      </c>
      <c r="AA110" s="4">
        <f t="shared" si="3"/>
        <v>140</v>
      </c>
      <c r="AB110" s="3" t="s">
        <v>114</v>
      </c>
      <c r="AC110" s="3" t="s">
        <v>621</v>
      </c>
      <c r="AD110" s="2" t="s">
        <v>534</v>
      </c>
    </row>
    <row r="111" spans="1:30" x14ac:dyDescent="0.2">
      <c r="A111" s="2">
        <v>112536</v>
      </c>
      <c r="B111" s="2" t="s">
        <v>84</v>
      </c>
      <c r="C111" s="2" t="s">
        <v>537</v>
      </c>
      <c r="D111" s="2" t="s">
        <v>32</v>
      </c>
      <c r="E111" s="2"/>
      <c r="F111" s="2"/>
      <c r="G111" s="2"/>
      <c r="H111" s="2" t="s">
        <v>533</v>
      </c>
      <c r="I111" s="2" t="s">
        <v>534</v>
      </c>
      <c r="J111" s="2"/>
      <c r="K111" s="2" t="s">
        <v>35</v>
      </c>
      <c r="L111" s="2" t="s">
        <v>325</v>
      </c>
      <c r="M111" s="2" t="s">
        <v>50</v>
      </c>
      <c r="N111" s="2" t="s">
        <v>538</v>
      </c>
      <c r="O111" s="2" t="s">
        <v>539</v>
      </c>
      <c r="P111" s="2" t="s">
        <v>40</v>
      </c>
      <c r="Q111" s="2" t="s">
        <v>41</v>
      </c>
      <c r="R111" s="2">
        <v>24.5</v>
      </c>
      <c r="S111" s="2">
        <v>35</v>
      </c>
      <c r="T111" s="2">
        <v>2</v>
      </c>
      <c r="U111" s="3">
        <v>2</v>
      </c>
      <c r="V111" s="3">
        <v>0</v>
      </c>
      <c r="W111" s="3">
        <v>0</v>
      </c>
      <c r="X111" s="3">
        <v>0</v>
      </c>
      <c r="Y111" s="3">
        <v>0</v>
      </c>
      <c r="Z111" s="3">
        <v>3</v>
      </c>
      <c r="AA111" s="4">
        <f t="shared" si="3"/>
        <v>105</v>
      </c>
      <c r="AB111" s="3" t="s">
        <v>53</v>
      </c>
      <c r="AC111" s="3" t="s">
        <v>621</v>
      </c>
      <c r="AD111" s="2" t="s">
        <v>534</v>
      </c>
    </row>
    <row r="112" spans="1:30" x14ac:dyDescent="0.2">
      <c r="A112" s="2">
        <v>112948</v>
      </c>
      <c r="B112" s="2" t="s">
        <v>179</v>
      </c>
      <c r="C112" s="2" t="s">
        <v>540</v>
      </c>
      <c r="D112" s="2" t="s">
        <v>32</v>
      </c>
      <c r="E112" s="2" t="s">
        <v>67</v>
      </c>
      <c r="F112" s="2" t="s">
        <v>50</v>
      </c>
      <c r="G112" s="2" t="s">
        <v>541</v>
      </c>
      <c r="H112" s="2" t="s">
        <v>533</v>
      </c>
      <c r="I112" s="2" t="s">
        <v>534</v>
      </c>
      <c r="J112" s="2"/>
      <c r="K112" s="2" t="s">
        <v>35</v>
      </c>
      <c r="L112" s="2" t="s">
        <v>69</v>
      </c>
      <c r="M112" s="2" t="s">
        <v>50</v>
      </c>
      <c r="N112" s="2" t="s">
        <v>542</v>
      </c>
      <c r="O112" s="2" t="s">
        <v>543</v>
      </c>
      <c r="P112" s="2" t="s">
        <v>40</v>
      </c>
      <c r="Q112" s="2" t="s">
        <v>41</v>
      </c>
      <c r="R112" s="2">
        <v>24.5</v>
      </c>
      <c r="S112" s="2">
        <v>35</v>
      </c>
      <c r="T112" s="2">
        <v>2</v>
      </c>
      <c r="U112" s="3">
        <v>2</v>
      </c>
      <c r="V112" s="3">
        <v>0</v>
      </c>
      <c r="W112" s="3">
        <v>0</v>
      </c>
      <c r="X112" s="3">
        <v>0</v>
      </c>
      <c r="Y112" s="3">
        <v>0</v>
      </c>
      <c r="Z112" s="3">
        <v>5</v>
      </c>
      <c r="AA112" s="4">
        <f t="shared" si="3"/>
        <v>175</v>
      </c>
      <c r="AB112" s="3" t="s">
        <v>53</v>
      </c>
      <c r="AC112" s="3" t="s">
        <v>621</v>
      </c>
      <c r="AD112" s="2" t="s">
        <v>534</v>
      </c>
    </row>
    <row r="113" spans="1:30" x14ac:dyDescent="0.2">
      <c r="A113" s="2">
        <v>111580</v>
      </c>
      <c r="B113" s="2" t="s">
        <v>544</v>
      </c>
      <c r="C113" s="2" t="s">
        <v>545</v>
      </c>
      <c r="D113" s="2" t="s">
        <v>32</v>
      </c>
      <c r="E113" s="2"/>
      <c r="F113" s="2"/>
      <c r="G113" s="2"/>
      <c r="H113" s="2" t="s">
        <v>546</v>
      </c>
      <c r="I113" s="2" t="s">
        <v>547</v>
      </c>
      <c r="J113" s="2"/>
      <c r="K113" s="2" t="s">
        <v>35</v>
      </c>
      <c r="L113" s="2" t="s">
        <v>49</v>
      </c>
      <c r="M113" s="2" t="s">
        <v>61</v>
      </c>
      <c r="N113" s="2" t="s">
        <v>548</v>
      </c>
      <c r="O113" s="2" t="s">
        <v>549</v>
      </c>
      <c r="P113" s="2" t="s">
        <v>423</v>
      </c>
      <c r="Q113" s="2" t="s">
        <v>41</v>
      </c>
      <c r="R113" s="2">
        <v>19.2</v>
      </c>
      <c r="S113" s="2">
        <v>35</v>
      </c>
      <c r="T113" s="2">
        <v>2</v>
      </c>
      <c r="U113" s="3">
        <v>2</v>
      </c>
      <c r="V113" s="3">
        <v>0</v>
      </c>
      <c r="W113" s="3">
        <v>0</v>
      </c>
      <c r="X113" s="3">
        <v>0</v>
      </c>
      <c r="Y113" s="3">
        <v>0</v>
      </c>
      <c r="Z113" s="3">
        <v>5</v>
      </c>
      <c r="AA113" s="4">
        <f t="shared" si="3"/>
        <v>175</v>
      </c>
      <c r="AB113" s="3" t="s">
        <v>53</v>
      </c>
      <c r="AC113" s="3" t="s">
        <v>621</v>
      </c>
      <c r="AD113" s="2" t="s">
        <v>547</v>
      </c>
    </row>
    <row r="114" spans="1:30" x14ac:dyDescent="0.2">
      <c r="A114" s="2">
        <v>110749</v>
      </c>
      <c r="B114" s="2" t="s">
        <v>155</v>
      </c>
      <c r="C114" s="2"/>
      <c r="D114" s="2" t="s">
        <v>148</v>
      </c>
      <c r="E114" s="2"/>
      <c r="F114" s="2"/>
      <c r="G114" s="2"/>
      <c r="H114" s="2" t="s">
        <v>550</v>
      </c>
      <c r="I114" s="2" t="s">
        <v>551</v>
      </c>
      <c r="J114" s="2"/>
      <c r="K114" s="2" t="s">
        <v>35</v>
      </c>
      <c r="L114" s="2" t="s">
        <v>111</v>
      </c>
      <c r="M114" s="2" t="s">
        <v>61</v>
      </c>
      <c r="N114" s="2" t="s">
        <v>552</v>
      </c>
      <c r="O114" s="2" t="s">
        <v>553</v>
      </c>
      <c r="P114" s="2" t="s">
        <v>40</v>
      </c>
      <c r="Q114" s="2" t="s">
        <v>41</v>
      </c>
      <c r="R114" s="2">
        <v>17.5</v>
      </c>
      <c r="S114" s="2">
        <v>35</v>
      </c>
      <c r="T114" s="2">
        <v>2</v>
      </c>
      <c r="U114" s="3">
        <v>2</v>
      </c>
      <c r="V114" s="3">
        <v>0</v>
      </c>
      <c r="W114" s="3">
        <v>0</v>
      </c>
      <c r="X114" s="3">
        <v>0</v>
      </c>
      <c r="Y114" s="3">
        <v>0</v>
      </c>
      <c r="Z114" s="3">
        <v>0</v>
      </c>
      <c r="AA114" s="4">
        <f t="shared" si="3"/>
        <v>0</v>
      </c>
      <c r="AB114" s="3" t="s">
        <v>102</v>
      </c>
      <c r="AC114" s="3" t="s">
        <v>621</v>
      </c>
      <c r="AD114" s="2" t="s">
        <v>551</v>
      </c>
    </row>
    <row r="115" spans="1:30" x14ac:dyDescent="0.2">
      <c r="A115" s="2">
        <v>110740</v>
      </c>
      <c r="B115" s="2" t="s">
        <v>155</v>
      </c>
      <c r="C115" s="2" t="s">
        <v>554</v>
      </c>
      <c r="D115" s="2" t="s">
        <v>148</v>
      </c>
      <c r="E115" s="2"/>
      <c r="F115" s="2"/>
      <c r="G115" s="2"/>
      <c r="H115" s="2" t="s">
        <v>550</v>
      </c>
      <c r="I115" s="2" t="s">
        <v>551</v>
      </c>
      <c r="J115" s="2"/>
      <c r="K115" s="2" t="s">
        <v>35</v>
      </c>
      <c r="L115" s="2" t="s">
        <v>152</v>
      </c>
      <c r="M115" s="2" t="s">
        <v>80</v>
      </c>
      <c r="N115" s="2" t="s">
        <v>555</v>
      </c>
      <c r="O115" s="2" t="s">
        <v>556</v>
      </c>
      <c r="P115" s="2" t="s">
        <v>40</v>
      </c>
      <c r="Q115" s="2" t="s">
        <v>41</v>
      </c>
      <c r="R115" s="2">
        <v>17.5</v>
      </c>
      <c r="S115" s="2">
        <v>35</v>
      </c>
      <c r="T115" s="2">
        <v>2</v>
      </c>
      <c r="U115" s="3">
        <v>2</v>
      </c>
      <c r="V115" s="3">
        <v>6</v>
      </c>
      <c r="W115" s="3">
        <v>0</v>
      </c>
      <c r="X115" s="3">
        <v>0</v>
      </c>
      <c r="Y115" s="3">
        <v>3</v>
      </c>
      <c r="Z115" s="3">
        <v>5</v>
      </c>
      <c r="AA115" s="4">
        <f t="shared" si="3"/>
        <v>175</v>
      </c>
      <c r="AB115" s="3" t="s">
        <v>178</v>
      </c>
      <c r="AC115" s="3" t="s">
        <v>621</v>
      </c>
      <c r="AD115" s="2" t="s">
        <v>551</v>
      </c>
    </row>
    <row r="116" spans="1:30" x14ac:dyDescent="0.2">
      <c r="A116" s="2">
        <v>110919</v>
      </c>
      <c r="B116" s="2" t="s">
        <v>54</v>
      </c>
      <c r="C116" s="2" t="s">
        <v>557</v>
      </c>
      <c r="D116" s="2" t="s">
        <v>56</v>
      </c>
      <c r="E116" s="2"/>
      <c r="F116" s="2"/>
      <c r="G116" s="2"/>
      <c r="H116" s="2" t="s">
        <v>550</v>
      </c>
      <c r="I116" s="2" t="s">
        <v>551</v>
      </c>
      <c r="J116" s="2"/>
      <c r="K116" s="2" t="s">
        <v>35</v>
      </c>
      <c r="L116" s="2" t="s">
        <v>152</v>
      </c>
      <c r="M116" s="2" t="s">
        <v>80</v>
      </c>
      <c r="N116" s="2" t="s">
        <v>558</v>
      </c>
      <c r="O116" s="2" t="s">
        <v>559</v>
      </c>
      <c r="P116" s="2" t="s">
        <v>64</v>
      </c>
      <c r="Q116" s="2" t="s">
        <v>41</v>
      </c>
      <c r="R116" s="2">
        <v>17.5</v>
      </c>
      <c r="S116" s="2">
        <v>35</v>
      </c>
      <c r="T116" s="2">
        <v>2</v>
      </c>
      <c r="U116" s="3">
        <v>2</v>
      </c>
      <c r="V116" s="3">
        <v>1</v>
      </c>
      <c r="W116" s="3">
        <v>0</v>
      </c>
      <c r="X116" s="3">
        <v>0</v>
      </c>
      <c r="Y116" s="3">
        <v>1</v>
      </c>
      <c r="Z116" s="3">
        <v>2</v>
      </c>
      <c r="AA116" s="4">
        <f t="shared" si="3"/>
        <v>70</v>
      </c>
      <c r="AB116" s="3" t="s">
        <v>178</v>
      </c>
      <c r="AC116" s="3" t="s">
        <v>621</v>
      </c>
      <c r="AD116" s="2" t="s">
        <v>551</v>
      </c>
    </row>
    <row r="117" spans="1:30" x14ac:dyDescent="0.2">
      <c r="A117" s="2">
        <v>111964</v>
      </c>
      <c r="B117" s="2" t="s">
        <v>84</v>
      </c>
      <c r="C117" s="2" t="s">
        <v>560</v>
      </c>
      <c r="D117" s="2" t="s">
        <v>32</v>
      </c>
      <c r="E117" s="2" t="s">
        <v>67</v>
      </c>
      <c r="F117" s="2" t="s">
        <v>50</v>
      </c>
      <c r="G117" s="2" t="s">
        <v>561</v>
      </c>
      <c r="H117" s="2" t="s">
        <v>550</v>
      </c>
      <c r="I117" s="2" t="s">
        <v>551</v>
      </c>
      <c r="J117" s="2"/>
      <c r="K117" s="2" t="s">
        <v>35</v>
      </c>
      <c r="L117" s="2" t="s">
        <v>94</v>
      </c>
      <c r="M117" s="2" t="s">
        <v>50</v>
      </c>
      <c r="N117" s="2" t="s">
        <v>562</v>
      </c>
      <c r="O117" s="2" t="s">
        <v>563</v>
      </c>
      <c r="P117" s="2" t="s">
        <v>40</v>
      </c>
      <c r="Q117" s="2" t="s">
        <v>41</v>
      </c>
      <c r="R117" s="2">
        <v>17.5</v>
      </c>
      <c r="S117" s="2">
        <v>35</v>
      </c>
      <c r="T117" s="2">
        <v>2</v>
      </c>
      <c r="U117" s="3">
        <v>2</v>
      </c>
      <c r="V117" s="3">
        <v>0</v>
      </c>
      <c r="W117" s="3">
        <v>0</v>
      </c>
      <c r="X117" s="3">
        <v>0</v>
      </c>
      <c r="Y117" s="3">
        <v>0</v>
      </c>
      <c r="Z117" s="3">
        <v>5</v>
      </c>
      <c r="AA117" s="4">
        <f t="shared" si="3"/>
        <v>175</v>
      </c>
      <c r="AB117" s="3" t="s">
        <v>53</v>
      </c>
      <c r="AC117" s="3" t="s">
        <v>621</v>
      </c>
      <c r="AD117" s="2" t="s">
        <v>551</v>
      </c>
    </row>
    <row r="118" spans="1:30" x14ac:dyDescent="0.2">
      <c r="A118" s="2">
        <v>112607</v>
      </c>
      <c r="B118" s="2" t="s">
        <v>303</v>
      </c>
      <c r="C118" s="2" t="s">
        <v>564</v>
      </c>
      <c r="D118" s="2" t="s">
        <v>56</v>
      </c>
      <c r="E118" s="2"/>
      <c r="F118" s="2"/>
      <c r="G118" s="2"/>
      <c r="H118" s="2" t="s">
        <v>550</v>
      </c>
      <c r="I118" s="2" t="s">
        <v>551</v>
      </c>
      <c r="J118" s="2"/>
      <c r="K118" s="2" t="s">
        <v>35</v>
      </c>
      <c r="L118" s="2" t="s">
        <v>565</v>
      </c>
      <c r="M118" s="2" t="s">
        <v>50</v>
      </c>
      <c r="N118" s="2" t="s">
        <v>566</v>
      </c>
      <c r="O118" s="2" t="s">
        <v>567</v>
      </c>
      <c r="P118" s="2" t="s">
        <v>40</v>
      </c>
      <c r="Q118" s="2" t="s">
        <v>41</v>
      </c>
      <c r="R118" s="2">
        <v>17.5</v>
      </c>
      <c r="S118" s="2">
        <v>35</v>
      </c>
      <c r="T118" s="2">
        <v>2</v>
      </c>
      <c r="U118" s="3">
        <v>2</v>
      </c>
      <c r="V118" s="3">
        <v>0</v>
      </c>
      <c r="W118" s="3">
        <v>0</v>
      </c>
      <c r="X118" s="3">
        <v>0</v>
      </c>
      <c r="Y118" s="3">
        <v>0</v>
      </c>
      <c r="Z118" s="3">
        <v>0</v>
      </c>
      <c r="AA118" s="4">
        <f t="shared" si="3"/>
        <v>0</v>
      </c>
      <c r="AB118" s="3" t="s">
        <v>53</v>
      </c>
      <c r="AC118" s="3" t="s">
        <v>621</v>
      </c>
      <c r="AD118" s="2" t="s">
        <v>551</v>
      </c>
    </row>
    <row r="119" spans="1:30" x14ac:dyDescent="0.2">
      <c r="A119" s="2">
        <v>112910</v>
      </c>
      <c r="B119" s="2" t="s">
        <v>228</v>
      </c>
      <c r="C119" s="2" t="s">
        <v>568</v>
      </c>
      <c r="D119" s="2" t="s">
        <v>148</v>
      </c>
      <c r="E119" s="2"/>
      <c r="F119" s="2"/>
      <c r="G119" s="2"/>
      <c r="H119" s="2" t="s">
        <v>550</v>
      </c>
      <c r="I119" s="2" t="s">
        <v>551</v>
      </c>
      <c r="J119" s="2"/>
      <c r="K119" s="2" t="s">
        <v>124</v>
      </c>
      <c r="L119" s="2" t="s">
        <v>569</v>
      </c>
      <c r="M119" s="2" t="s">
        <v>80</v>
      </c>
      <c r="N119" s="2" t="s">
        <v>569</v>
      </c>
      <c r="O119" s="2" t="s">
        <v>124</v>
      </c>
      <c r="P119" s="2" t="s">
        <v>40</v>
      </c>
      <c r="Q119" s="2" t="s">
        <v>41</v>
      </c>
      <c r="R119" s="2">
        <v>17.5</v>
      </c>
      <c r="S119" s="2">
        <v>35</v>
      </c>
      <c r="T119" s="2">
        <v>2</v>
      </c>
      <c r="U119" s="3">
        <v>1</v>
      </c>
      <c r="V119" s="3">
        <v>0</v>
      </c>
      <c r="W119" s="3">
        <v>0</v>
      </c>
      <c r="X119" s="3">
        <v>0</v>
      </c>
      <c r="Y119" s="3">
        <v>0</v>
      </c>
      <c r="Z119" s="3">
        <v>3</v>
      </c>
      <c r="AA119" s="4">
        <f t="shared" si="3"/>
        <v>105</v>
      </c>
      <c r="AB119" s="3" t="s">
        <v>53</v>
      </c>
      <c r="AC119" s="3" t="s">
        <v>621</v>
      </c>
      <c r="AD119" s="2" t="s">
        <v>551</v>
      </c>
    </row>
    <row r="120" spans="1:30" x14ac:dyDescent="0.2">
      <c r="A120" s="2">
        <v>113068</v>
      </c>
      <c r="B120" s="2" t="s">
        <v>171</v>
      </c>
      <c r="C120" s="2" t="s">
        <v>570</v>
      </c>
      <c r="D120" s="2" t="s">
        <v>148</v>
      </c>
      <c r="E120" s="2"/>
      <c r="F120" s="2"/>
      <c r="G120" s="2"/>
      <c r="H120" s="2" t="s">
        <v>550</v>
      </c>
      <c r="I120" s="2" t="s">
        <v>551</v>
      </c>
      <c r="J120" s="2"/>
      <c r="K120" s="2" t="s">
        <v>124</v>
      </c>
      <c r="L120" s="2" t="s">
        <v>571</v>
      </c>
      <c r="M120" s="2" t="s">
        <v>80</v>
      </c>
      <c r="N120" s="2" t="s">
        <v>571</v>
      </c>
      <c r="O120" s="2" t="s">
        <v>572</v>
      </c>
      <c r="P120" s="2" t="s">
        <v>40</v>
      </c>
      <c r="Q120" s="2" t="s">
        <v>41</v>
      </c>
      <c r="R120" s="2">
        <v>17.5</v>
      </c>
      <c r="S120" s="2">
        <v>35</v>
      </c>
      <c r="T120" s="2">
        <v>2</v>
      </c>
      <c r="U120" s="3">
        <v>0</v>
      </c>
      <c r="V120" s="3">
        <v>0</v>
      </c>
      <c r="W120" s="3">
        <v>0</v>
      </c>
      <c r="X120" s="3">
        <v>0</v>
      </c>
      <c r="Y120" s="3">
        <v>0</v>
      </c>
      <c r="Z120" s="3">
        <v>0</v>
      </c>
      <c r="AA120" s="4">
        <f t="shared" si="3"/>
        <v>0</v>
      </c>
      <c r="AB120" s="3" t="s">
        <v>216</v>
      </c>
      <c r="AC120" s="3" t="s">
        <v>621</v>
      </c>
      <c r="AD120" s="2" t="s">
        <v>551</v>
      </c>
    </row>
    <row r="121" spans="1:30" x14ac:dyDescent="0.2">
      <c r="A121" s="2">
        <v>112937</v>
      </c>
      <c r="B121" s="2" t="s">
        <v>43</v>
      </c>
      <c r="C121" s="2"/>
      <c r="D121" s="2" t="s">
        <v>32</v>
      </c>
      <c r="E121" s="2" t="s">
        <v>67</v>
      </c>
      <c r="F121" s="2" t="s">
        <v>50</v>
      </c>
      <c r="G121" s="2" t="s">
        <v>573</v>
      </c>
      <c r="H121" s="2" t="s">
        <v>574</v>
      </c>
      <c r="I121" s="2" t="s">
        <v>575</v>
      </c>
      <c r="J121" s="2"/>
      <c r="K121" s="2" t="s">
        <v>35</v>
      </c>
      <c r="L121" s="2" t="s">
        <v>69</v>
      </c>
      <c r="M121" s="2" t="s">
        <v>50</v>
      </c>
      <c r="N121" s="2" t="s">
        <v>576</v>
      </c>
      <c r="O121" s="2" t="s">
        <v>577</v>
      </c>
      <c r="P121" s="2" t="s">
        <v>40</v>
      </c>
      <c r="Q121" s="2" t="s">
        <v>41</v>
      </c>
      <c r="R121" s="2">
        <v>24.8</v>
      </c>
      <c r="S121" s="2">
        <v>35</v>
      </c>
      <c r="T121" s="2">
        <v>2</v>
      </c>
      <c r="U121" s="3">
        <v>2</v>
      </c>
      <c r="V121" s="3">
        <v>0</v>
      </c>
      <c r="W121" s="3">
        <v>0</v>
      </c>
      <c r="X121" s="3">
        <v>0</v>
      </c>
      <c r="Y121" s="3">
        <v>0</v>
      </c>
      <c r="Z121" s="3">
        <v>4</v>
      </c>
      <c r="AA121" s="4">
        <f t="shared" si="3"/>
        <v>140</v>
      </c>
      <c r="AB121" s="3" t="s">
        <v>53</v>
      </c>
      <c r="AC121" s="3" t="s">
        <v>621</v>
      </c>
      <c r="AD121" s="2" t="s">
        <v>575</v>
      </c>
    </row>
    <row r="122" spans="1:30" x14ac:dyDescent="0.2">
      <c r="A122" s="2">
        <v>110977</v>
      </c>
      <c r="B122" s="2" t="s">
        <v>109</v>
      </c>
      <c r="C122" s="2" t="s">
        <v>578</v>
      </c>
      <c r="D122" s="2" t="s">
        <v>32</v>
      </c>
      <c r="E122" s="2"/>
      <c r="F122" s="2"/>
      <c r="G122" s="2"/>
      <c r="H122" s="2" t="s">
        <v>579</v>
      </c>
      <c r="I122" s="2" t="s">
        <v>580</v>
      </c>
      <c r="J122" s="2"/>
      <c r="K122" s="2" t="s">
        <v>35</v>
      </c>
      <c r="L122" s="2" t="s">
        <v>90</v>
      </c>
      <c r="M122" s="2" t="s">
        <v>441</v>
      </c>
      <c r="N122" s="2" t="s">
        <v>581</v>
      </c>
      <c r="O122" s="2" t="s">
        <v>443</v>
      </c>
      <c r="P122" s="2" t="s">
        <v>40</v>
      </c>
      <c r="Q122" s="2" t="s">
        <v>101</v>
      </c>
      <c r="R122" s="2">
        <v>1162.5999999999999</v>
      </c>
      <c r="S122" s="2">
        <v>35</v>
      </c>
      <c r="T122" s="2">
        <v>4</v>
      </c>
      <c r="U122" s="3">
        <v>2</v>
      </c>
      <c r="V122" s="3">
        <v>0</v>
      </c>
      <c r="W122" s="3">
        <v>0</v>
      </c>
      <c r="X122" s="3">
        <v>0</v>
      </c>
      <c r="Y122" s="3">
        <v>0</v>
      </c>
      <c r="Z122" s="3">
        <v>0</v>
      </c>
      <c r="AA122" s="4">
        <f t="shared" si="3"/>
        <v>0</v>
      </c>
      <c r="AB122" s="3" t="s">
        <v>53</v>
      </c>
      <c r="AC122" s="3" t="s">
        <v>621</v>
      </c>
      <c r="AD122" s="2" t="s">
        <v>580</v>
      </c>
    </row>
    <row r="123" spans="1:30" x14ac:dyDescent="0.2">
      <c r="A123" s="2">
        <v>110271</v>
      </c>
      <c r="B123" s="2" t="s">
        <v>139</v>
      </c>
      <c r="C123" s="2"/>
      <c r="D123" s="2" t="s">
        <v>32</v>
      </c>
      <c r="E123" s="2" t="s">
        <v>582</v>
      </c>
      <c r="F123" s="2" t="s">
        <v>583</v>
      </c>
      <c r="G123" s="2" t="s">
        <v>584</v>
      </c>
      <c r="H123" s="2" t="s">
        <v>579</v>
      </c>
      <c r="I123" s="2" t="s">
        <v>580</v>
      </c>
      <c r="J123" s="2"/>
      <c r="K123" s="2" t="s">
        <v>35</v>
      </c>
      <c r="L123" s="2" t="s">
        <v>90</v>
      </c>
      <c r="M123" s="2" t="s">
        <v>441</v>
      </c>
      <c r="N123" s="2" t="s">
        <v>585</v>
      </c>
      <c r="O123" s="2" t="s">
        <v>586</v>
      </c>
      <c r="P123" s="2" t="s">
        <v>40</v>
      </c>
      <c r="Q123" s="2" t="s">
        <v>101</v>
      </c>
      <c r="R123" s="2">
        <v>1162.5999999999999</v>
      </c>
      <c r="S123" s="2">
        <v>35</v>
      </c>
      <c r="T123" s="2">
        <v>4</v>
      </c>
      <c r="U123" s="3">
        <v>2</v>
      </c>
      <c r="V123" s="3">
        <v>0</v>
      </c>
      <c r="W123" s="3">
        <v>0</v>
      </c>
      <c r="X123" s="3">
        <v>0</v>
      </c>
      <c r="Y123" s="3">
        <v>0</v>
      </c>
      <c r="Z123" s="3">
        <v>6</v>
      </c>
      <c r="AA123" s="4">
        <f t="shared" si="3"/>
        <v>210</v>
      </c>
      <c r="AB123" s="3" t="s">
        <v>53</v>
      </c>
      <c r="AC123" s="3" t="s">
        <v>621</v>
      </c>
      <c r="AD123" s="2" t="s">
        <v>580</v>
      </c>
    </row>
    <row r="124" spans="1:30" x14ac:dyDescent="0.2">
      <c r="A124" s="2">
        <v>110285</v>
      </c>
      <c r="B124" s="2" t="s">
        <v>109</v>
      </c>
      <c r="C124" s="2" t="s">
        <v>587</v>
      </c>
      <c r="D124" s="2" t="s">
        <v>32</v>
      </c>
      <c r="E124" s="2"/>
      <c r="F124" s="2"/>
      <c r="G124" s="2"/>
      <c r="H124" s="2" t="s">
        <v>588</v>
      </c>
      <c r="I124" s="2" t="s">
        <v>589</v>
      </c>
      <c r="J124" s="2"/>
      <c r="K124" s="2" t="s">
        <v>35</v>
      </c>
      <c r="L124" s="2" t="s">
        <v>241</v>
      </c>
      <c r="M124" s="2" t="s">
        <v>61</v>
      </c>
      <c r="N124" s="2" t="s">
        <v>590</v>
      </c>
      <c r="O124" s="2" t="s">
        <v>591</v>
      </c>
      <c r="P124" s="2" t="s">
        <v>40</v>
      </c>
      <c r="Q124" s="2" t="s">
        <v>101</v>
      </c>
      <c r="R124" s="2">
        <v>993.7</v>
      </c>
      <c r="S124" s="2">
        <v>35</v>
      </c>
      <c r="T124" s="2">
        <v>4</v>
      </c>
      <c r="U124" s="3">
        <v>2</v>
      </c>
      <c r="V124" s="3">
        <v>0</v>
      </c>
      <c r="W124" s="3">
        <v>0</v>
      </c>
      <c r="X124" s="3">
        <v>0</v>
      </c>
      <c r="Y124" s="3">
        <v>0</v>
      </c>
      <c r="Z124" s="3">
        <v>0</v>
      </c>
      <c r="AA124" s="4">
        <f t="shared" si="3"/>
        <v>0</v>
      </c>
      <c r="AB124" s="3" t="s">
        <v>53</v>
      </c>
      <c r="AC124" s="3" t="s">
        <v>621</v>
      </c>
      <c r="AD124" s="2" t="s">
        <v>589</v>
      </c>
    </row>
    <row r="125" spans="1:30" x14ac:dyDescent="0.2">
      <c r="A125" s="2">
        <v>111052</v>
      </c>
      <c r="B125" s="2" t="s">
        <v>30</v>
      </c>
      <c r="C125" s="2" t="s">
        <v>592</v>
      </c>
      <c r="D125" s="2" t="s">
        <v>32</v>
      </c>
      <c r="E125" s="2" t="s">
        <v>593</v>
      </c>
      <c r="F125" s="2" t="s">
        <v>61</v>
      </c>
      <c r="G125" s="2" t="s">
        <v>594</v>
      </c>
      <c r="H125" s="2" t="s">
        <v>595</v>
      </c>
      <c r="I125" s="2" t="s">
        <v>596</v>
      </c>
      <c r="J125" s="2"/>
      <c r="K125" s="2" t="s">
        <v>35</v>
      </c>
      <c r="L125" s="2" t="s">
        <v>49</v>
      </c>
      <c r="M125" s="2" t="s">
        <v>61</v>
      </c>
      <c r="N125" s="2" t="s">
        <v>597</v>
      </c>
      <c r="O125" s="2" t="s">
        <v>598</v>
      </c>
      <c r="P125" s="2" t="s">
        <v>40</v>
      </c>
      <c r="Q125" s="2" t="s">
        <v>101</v>
      </c>
      <c r="R125" s="2">
        <v>357.9</v>
      </c>
      <c r="S125" s="2">
        <v>35</v>
      </c>
      <c r="T125" s="2">
        <v>4</v>
      </c>
      <c r="U125" s="3">
        <v>2</v>
      </c>
      <c r="V125" s="3">
        <v>0</v>
      </c>
      <c r="W125" s="3">
        <v>0</v>
      </c>
      <c r="X125" s="3">
        <v>0</v>
      </c>
      <c r="Y125" s="3">
        <v>0</v>
      </c>
      <c r="Z125" s="3">
        <v>0</v>
      </c>
      <c r="AA125" s="4">
        <f t="shared" si="3"/>
        <v>0</v>
      </c>
      <c r="AB125" s="3" t="s">
        <v>53</v>
      </c>
      <c r="AC125" s="3" t="s">
        <v>621</v>
      </c>
      <c r="AD125" s="2" t="s">
        <v>596</v>
      </c>
    </row>
    <row r="126" spans="1:30" x14ac:dyDescent="0.2">
      <c r="A126" s="2">
        <v>113242</v>
      </c>
      <c r="B126" s="2" t="s">
        <v>88</v>
      </c>
      <c r="C126" s="2"/>
      <c r="D126" s="2" t="s">
        <v>32</v>
      </c>
      <c r="E126" s="2"/>
      <c r="F126" s="2"/>
      <c r="G126" s="2"/>
      <c r="H126" s="2" t="s">
        <v>595</v>
      </c>
      <c r="I126" s="2" t="s">
        <v>596</v>
      </c>
      <c r="J126" s="2"/>
      <c r="K126" s="2" t="s">
        <v>124</v>
      </c>
      <c r="L126" s="2" t="s">
        <v>599</v>
      </c>
      <c r="M126" s="2" t="s">
        <v>37</v>
      </c>
      <c r="N126" s="2" t="s">
        <v>599</v>
      </c>
      <c r="O126" s="2" t="s">
        <v>600</v>
      </c>
      <c r="P126" s="2" t="s">
        <v>40</v>
      </c>
      <c r="Q126" s="2" t="s">
        <v>101</v>
      </c>
      <c r="R126" s="2">
        <v>357.9</v>
      </c>
      <c r="S126" s="2">
        <v>35</v>
      </c>
      <c r="T126" s="2">
        <v>4</v>
      </c>
      <c r="U126" s="3">
        <v>2</v>
      </c>
      <c r="V126" s="3">
        <v>0</v>
      </c>
      <c r="W126" s="3">
        <v>0</v>
      </c>
      <c r="X126" s="3">
        <v>0</v>
      </c>
      <c r="Y126" s="3">
        <v>0</v>
      </c>
      <c r="Z126" s="3">
        <v>0</v>
      </c>
      <c r="AA126" s="4">
        <f t="shared" si="3"/>
        <v>0</v>
      </c>
      <c r="AB126" s="3" t="s">
        <v>53</v>
      </c>
      <c r="AC126" s="3" t="s">
        <v>621</v>
      </c>
      <c r="AD126" s="2" t="s">
        <v>596</v>
      </c>
    </row>
    <row r="127" spans="1:30" x14ac:dyDescent="0.2">
      <c r="A127" s="2">
        <v>111011</v>
      </c>
      <c r="B127" s="2" t="s">
        <v>109</v>
      </c>
      <c r="C127" s="2" t="s">
        <v>601</v>
      </c>
      <c r="D127" s="2" t="s">
        <v>32</v>
      </c>
      <c r="E127" s="2"/>
      <c r="F127" s="2"/>
      <c r="G127" s="2"/>
      <c r="H127" s="2" t="s">
        <v>602</v>
      </c>
      <c r="I127" s="2" t="s">
        <v>603</v>
      </c>
      <c r="J127" s="2"/>
      <c r="K127" s="2" t="s">
        <v>35</v>
      </c>
      <c r="L127" s="2" t="s">
        <v>36</v>
      </c>
      <c r="M127" s="2" t="s">
        <v>61</v>
      </c>
      <c r="N127" s="2" t="s">
        <v>604</v>
      </c>
      <c r="O127" s="2" t="s">
        <v>605</v>
      </c>
      <c r="P127" s="2" t="s">
        <v>40</v>
      </c>
      <c r="Q127" s="2" t="s">
        <v>101</v>
      </c>
      <c r="R127" s="2">
        <v>2374.4</v>
      </c>
      <c r="S127" s="2">
        <v>35</v>
      </c>
      <c r="T127" s="2">
        <v>4</v>
      </c>
      <c r="U127" s="3">
        <v>2</v>
      </c>
      <c r="V127" s="3">
        <v>0</v>
      </c>
      <c r="W127" s="3">
        <v>0</v>
      </c>
      <c r="X127" s="3">
        <v>0</v>
      </c>
      <c r="Y127" s="3">
        <v>0</v>
      </c>
      <c r="Z127" s="3">
        <v>0</v>
      </c>
      <c r="AA127" s="4">
        <f t="shared" si="3"/>
        <v>0</v>
      </c>
      <c r="AB127" s="3" t="s">
        <v>53</v>
      </c>
      <c r="AC127" s="3" t="s">
        <v>621</v>
      </c>
      <c r="AD127" s="2" t="s">
        <v>603</v>
      </c>
    </row>
    <row r="128" spans="1:30" x14ac:dyDescent="0.2">
      <c r="A128" s="2">
        <v>111536</v>
      </c>
      <c r="B128" s="2" t="s">
        <v>303</v>
      </c>
      <c r="C128" s="2" t="s">
        <v>606</v>
      </c>
      <c r="D128" s="2" t="s">
        <v>56</v>
      </c>
      <c r="E128" s="2" t="s">
        <v>607</v>
      </c>
      <c r="F128" s="2" t="s">
        <v>135</v>
      </c>
      <c r="G128" s="2" t="s">
        <v>608</v>
      </c>
      <c r="H128" s="2" t="s">
        <v>602</v>
      </c>
      <c r="I128" s="2" t="s">
        <v>603</v>
      </c>
      <c r="J128" s="2"/>
      <c r="K128" s="2" t="s">
        <v>124</v>
      </c>
      <c r="L128" s="2" t="s">
        <v>609</v>
      </c>
      <c r="M128" s="2" t="s">
        <v>135</v>
      </c>
      <c r="N128" s="2" t="s">
        <v>609</v>
      </c>
      <c r="O128" s="2" t="s">
        <v>610</v>
      </c>
      <c r="P128" s="2" t="s">
        <v>40</v>
      </c>
      <c r="Q128" s="2" t="s">
        <v>101</v>
      </c>
      <c r="R128" s="2">
        <v>2374.4</v>
      </c>
      <c r="S128" s="2">
        <v>35</v>
      </c>
      <c r="T128" s="2">
        <v>4</v>
      </c>
      <c r="U128" s="3">
        <v>2</v>
      </c>
      <c r="V128" s="3">
        <v>0</v>
      </c>
      <c r="W128" s="3">
        <v>0</v>
      </c>
      <c r="X128" s="3">
        <v>0</v>
      </c>
      <c r="Y128" s="3">
        <v>0</v>
      </c>
      <c r="Z128" s="3">
        <v>0</v>
      </c>
      <c r="AA128" s="4">
        <f t="shared" si="3"/>
        <v>0</v>
      </c>
      <c r="AB128" s="3" t="s">
        <v>53</v>
      </c>
      <c r="AC128" s="3" t="s">
        <v>621</v>
      </c>
      <c r="AD128" s="2" t="s">
        <v>603</v>
      </c>
    </row>
    <row r="129" spans="1:31" x14ac:dyDescent="0.2">
      <c r="A129" s="2">
        <v>110627</v>
      </c>
      <c r="B129" s="2" t="s">
        <v>109</v>
      </c>
      <c r="C129" s="2" t="s">
        <v>611</v>
      </c>
      <c r="D129" s="2" t="s">
        <v>32</v>
      </c>
      <c r="E129" s="2"/>
      <c r="F129" s="2"/>
      <c r="G129" s="2"/>
      <c r="H129" s="2" t="s">
        <v>612</v>
      </c>
      <c r="I129" s="2" t="s">
        <v>613</v>
      </c>
      <c r="J129" s="2"/>
      <c r="K129" s="2" t="s">
        <v>35</v>
      </c>
      <c r="L129" s="2" t="s">
        <v>79</v>
      </c>
      <c r="M129" s="2" t="s">
        <v>80</v>
      </c>
      <c r="N129" s="2" t="s">
        <v>614</v>
      </c>
      <c r="O129" s="2" t="s">
        <v>615</v>
      </c>
      <c r="P129" s="2" t="s">
        <v>40</v>
      </c>
      <c r="Q129" s="2" t="s">
        <v>41</v>
      </c>
      <c r="R129" s="2">
        <v>9.6999999999999993</v>
      </c>
      <c r="S129" s="2">
        <v>35</v>
      </c>
      <c r="T129" s="2">
        <v>2</v>
      </c>
      <c r="U129" s="3">
        <v>3</v>
      </c>
      <c r="V129" s="3">
        <v>2</v>
      </c>
      <c r="W129" s="3">
        <v>0</v>
      </c>
      <c r="X129" s="3">
        <v>1</v>
      </c>
      <c r="Y129" s="3">
        <v>1</v>
      </c>
      <c r="Z129" s="3">
        <v>3</v>
      </c>
      <c r="AA129" s="4">
        <f t="shared" si="3"/>
        <v>105</v>
      </c>
      <c r="AB129" s="3" t="s">
        <v>83</v>
      </c>
      <c r="AC129" s="3" t="s">
        <v>621</v>
      </c>
      <c r="AD129" s="2" t="s">
        <v>613</v>
      </c>
    </row>
    <row r="130" spans="1:31" x14ac:dyDescent="0.2">
      <c r="A130" s="2">
        <v>112238</v>
      </c>
      <c r="B130" s="2" t="s">
        <v>84</v>
      </c>
      <c r="C130" s="2"/>
      <c r="D130" s="2" t="s">
        <v>32</v>
      </c>
      <c r="E130" s="2" t="s">
        <v>616</v>
      </c>
      <c r="F130" s="2" t="s">
        <v>61</v>
      </c>
      <c r="G130" s="2" t="s">
        <v>617</v>
      </c>
      <c r="H130" s="2" t="s">
        <v>612</v>
      </c>
      <c r="I130" s="2" t="s">
        <v>613</v>
      </c>
      <c r="J130" s="2"/>
      <c r="K130" s="2" t="s">
        <v>35</v>
      </c>
      <c r="L130" s="2" t="s">
        <v>192</v>
      </c>
      <c r="M130" s="2" t="s">
        <v>61</v>
      </c>
      <c r="N130" s="2" t="s">
        <v>618</v>
      </c>
      <c r="O130" s="2" t="s">
        <v>619</v>
      </c>
      <c r="P130" s="2" t="s">
        <v>40</v>
      </c>
      <c r="Q130" s="2" t="s">
        <v>41</v>
      </c>
      <c r="R130" s="2">
        <v>9.6999999999999993</v>
      </c>
      <c r="S130" s="2">
        <v>35</v>
      </c>
      <c r="T130" s="2">
        <v>2</v>
      </c>
      <c r="U130" s="3">
        <v>2</v>
      </c>
      <c r="V130" s="3">
        <v>0</v>
      </c>
      <c r="W130" s="3">
        <v>0</v>
      </c>
      <c r="X130" s="3">
        <v>0</v>
      </c>
      <c r="Y130" s="3">
        <v>0</v>
      </c>
      <c r="Z130" s="3">
        <v>3</v>
      </c>
      <c r="AA130" s="4">
        <f t="shared" ref="AA130" si="4">Z130*35</f>
        <v>105</v>
      </c>
      <c r="AB130" s="3" t="s">
        <v>53</v>
      </c>
      <c r="AC130" s="3" t="s">
        <v>621</v>
      </c>
      <c r="AD130" s="2" t="s">
        <v>613</v>
      </c>
    </row>
    <row r="131" spans="1:31" x14ac:dyDescent="0.2">
      <c r="A131" s="5" t="s">
        <v>620</v>
      </c>
      <c r="B131" s="5"/>
      <c r="C131" s="5"/>
      <c r="D131" s="5"/>
      <c r="E131" s="5"/>
      <c r="F131" s="5"/>
      <c r="G131" s="5"/>
      <c r="H131" s="5"/>
      <c r="I131" s="5"/>
      <c r="J131" s="5"/>
      <c r="K131" s="5"/>
      <c r="L131" s="5"/>
      <c r="M131" s="5"/>
      <c r="N131" s="5"/>
      <c r="O131" s="5"/>
      <c r="P131" s="5"/>
      <c r="Q131" s="5"/>
      <c r="R131" s="5"/>
      <c r="S131" s="5"/>
      <c r="T131" s="5"/>
      <c r="U131" s="5"/>
      <c r="V131" s="5"/>
      <c r="W131" s="5"/>
      <c r="X131" s="5"/>
      <c r="Y131" s="5"/>
      <c r="Z131" s="5">
        <f>SUMIF($AC$2:$AC$130,"X",Z2:Z130)</f>
        <v>401</v>
      </c>
      <c r="AA131" s="6">
        <f>SUMIF($AC$2:$AC$130,"X",AA2:AA130)</f>
        <v>13965</v>
      </c>
      <c r="AB131" s="5"/>
      <c r="AC131" s="5"/>
      <c r="AD131" s="5"/>
    </row>
    <row r="132" spans="1:31" x14ac:dyDescent="0.2">
      <c r="AA132" s="7"/>
    </row>
    <row r="133" spans="1:31" x14ac:dyDescent="0.2">
      <c r="A133" s="11"/>
      <c r="B133" s="11"/>
      <c r="C133" s="11"/>
      <c r="D133" s="11"/>
      <c r="E133" s="11"/>
      <c r="F133" s="11"/>
      <c r="G133" s="11"/>
      <c r="H133" s="11"/>
      <c r="I133" s="2" t="s">
        <v>623</v>
      </c>
      <c r="J133" s="11"/>
      <c r="K133" s="11"/>
      <c r="L133" s="11"/>
      <c r="M133" s="2" t="s">
        <v>61</v>
      </c>
      <c r="N133" s="11"/>
      <c r="O133" s="2" t="s">
        <v>625</v>
      </c>
      <c r="P133" s="11"/>
      <c r="Q133" s="11"/>
      <c r="R133" s="11"/>
      <c r="S133" s="11"/>
      <c r="T133" s="11"/>
      <c r="U133" s="11"/>
      <c r="V133" s="11"/>
      <c r="W133" s="11"/>
      <c r="X133" s="11"/>
      <c r="Y133" s="11"/>
      <c r="Z133" s="3">
        <v>70</v>
      </c>
      <c r="AA133" s="12">
        <f>Z133*S130</f>
        <v>2450</v>
      </c>
      <c r="AB133" s="2" t="s">
        <v>625</v>
      </c>
      <c r="AC133" s="3" t="s">
        <v>621</v>
      </c>
      <c r="AD133" s="2" t="s">
        <v>623</v>
      </c>
      <c r="AE133" t="s">
        <v>629</v>
      </c>
    </row>
    <row r="134" spans="1:31" x14ac:dyDescent="0.2">
      <c r="A134" s="11"/>
      <c r="B134" s="11"/>
      <c r="C134" s="11"/>
      <c r="D134" s="11"/>
      <c r="E134" s="11"/>
      <c r="F134" s="11"/>
      <c r="G134" s="11"/>
      <c r="H134" s="11"/>
      <c r="I134" s="2" t="s">
        <v>624</v>
      </c>
      <c r="J134" s="11"/>
      <c r="K134" s="11"/>
      <c r="L134" s="11"/>
      <c r="M134" s="2" t="s">
        <v>37</v>
      </c>
      <c r="N134" s="11"/>
      <c r="O134" s="2" t="s">
        <v>625</v>
      </c>
      <c r="P134" s="11"/>
      <c r="Q134" s="11"/>
      <c r="R134" s="11"/>
      <c r="S134" s="11"/>
      <c r="T134" s="11"/>
      <c r="U134" s="11"/>
      <c r="V134" s="11"/>
      <c r="W134" s="11"/>
      <c r="X134" s="11"/>
      <c r="Y134" s="11"/>
      <c r="Z134" s="3">
        <v>80</v>
      </c>
      <c r="AA134" s="12">
        <f>Z134*S130</f>
        <v>2800</v>
      </c>
      <c r="AB134" s="2" t="s">
        <v>625</v>
      </c>
      <c r="AC134" s="3" t="s">
        <v>621</v>
      </c>
      <c r="AD134" s="2" t="s">
        <v>624</v>
      </c>
      <c r="AE134" t="s">
        <v>629</v>
      </c>
    </row>
    <row r="135" spans="1:31" x14ac:dyDescent="0.2">
      <c r="Z135" s="13">
        <f>SUM(Z133:Z134)</f>
        <v>150</v>
      </c>
      <c r="AA135" s="14">
        <f>SUM(AA133:AA134)</f>
        <v>5250</v>
      </c>
    </row>
    <row r="136" spans="1:31" ht="16" thickBot="1" x14ac:dyDescent="0.25"/>
    <row r="137" spans="1:31" ht="20" thickBot="1" x14ac:dyDescent="0.3">
      <c r="AA137" s="17">
        <f>AA131</f>
        <v>13965</v>
      </c>
      <c r="AB137" s="8" t="s">
        <v>626</v>
      </c>
      <c r="AD137" t="s">
        <v>629</v>
      </c>
    </row>
    <row r="138" spans="1:31" ht="16" thickBot="1" x14ac:dyDescent="0.25"/>
    <row r="139" spans="1:31" ht="20" thickBot="1" x14ac:dyDescent="0.3">
      <c r="Z139" s="9">
        <f>Z135+Z131</f>
        <v>551</v>
      </c>
      <c r="AA139" s="10" t="s">
        <v>627</v>
      </c>
    </row>
    <row r="140" spans="1:31" ht="16" thickBot="1" x14ac:dyDescent="0.25"/>
    <row r="141" spans="1:31" ht="20" thickBot="1" x14ac:dyDescent="0.3">
      <c r="Z141" s="16">
        <v>129</v>
      </c>
      <c r="AA141" s="15" t="s">
        <v>628</v>
      </c>
    </row>
    <row r="142" spans="1:31" ht="16" thickBot="1" x14ac:dyDescent="0.25"/>
    <row r="143" spans="1:31" ht="22" thickBot="1" x14ac:dyDescent="0.3">
      <c r="AA143" s="18">
        <f>AA131+AA133+AA134</f>
        <v>19215</v>
      </c>
      <c r="AB143" s="19"/>
      <c r="AD143" s="20" t="s">
        <v>630</v>
      </c>
    </row>
  </sheetData>
  <mergeCells count="1">
    <mergeCell ref="AA143:AB143"/>
  </mergeCells>
  <conditionalFormatting sqref="A2:AD130 I133:I134 Z133:Z134">
    <cfRule type="expression" dxfId="4" priority="8">
      <formula>$AC2="X"</formula>
    </cfRule>
  </conditionalFormatting>
  <conditionalFormatting sqref="M133:M134">
    <cfRule type="expression" dxfId="3" priority="3">
      <formula>$AC133="X"</formula>
    </cfRule>
  </conditionalFormatting>
  <conditionalFormatting sqref="O133:O134">
    <cfRule type="expression" dxfId="2" priority="5">
      <formula>$Y133="X"</formula>
    </cfRule>
  </conditionalFormatting>
  <conditionalFormatting sqref="AB133:AB134">
    <cfRule type="expression" dxfId="1" priority="1">
      <formula>$Y133="X"</formula>
    </cfRule>
  </conditionalFormatting>
  <conditionalFormatting sqref="AC133:AD134">
    <cfRule type="expression" dxfId="0" priority="2">
      <formula>$AC133="X"</formula>
    </cfRule>
  </conditionalFormatting>
  <dataValidations count="259">
    <dataValidation type="custom" allowBlank="1" showInputMessage="1" promptTitle="📋 Descripción" prompt="Buen día! Contamos en el local con los repuestos para la reparación de la cafetera, las válvulas y sensores que se detallaron en diferentes tk. Para su pronta reparación. Gracias" sqref="C2" xr:uid="{00000000-0002-0000-0000-000000000000}">
      <formula1>TRUE</formula1>
    </dataValidation>
    <dataValidation type="custom" allowBlank="1" showInputMessage="1" promptTitle="📋 Descripción" prompt="No sale cafe" sqref="C3 C85" xr:uid="{00000000-0002-0000-0000-000001000000}">
      <formula1>TRUE</formula1>
    </dataValidation>
    <dataValidation type="custom" allowBlank="1" showInputMessage="1" promptTitle="📋 Descripción" prompt="Se compró el repuesto que se solicitó tienen que venir a cambiarlo urgente gracias" sqref="C4" xr:uid="{00000000-0002-0000-0000-000002000000}">
      <formula1>TRUE</formula1>
    </dataValidation>
    <dataValidation type="custom" allowBlank="1" showInputMessage="1" promptTitle="📋 Descripción" prompt="Puerta automática no funciona no abre ni cierra solo manual hace un mes ." sqref="C5" xr:uid="{00000000-0002-0000-0000-000003000000}">
      <formula1>TRUE</formula1>
    </dataValidation>
    <dataValidation type="custom" allowBlank="1" showInputMessage="1" promptTitle="📋 Descripción" prompt="Buen día la cafetera hoy falló y el tobogán se llenó de café húmedo. El dia sábado 14/2 se cambia este repuesto que adjunto para que no suceda este problema y hoy dos semanas después lo volvemos a tener." sqref="C6" xr:uid="{00000000-0002-0000-0000-000004000000}">
      <formula1>TRUE</formula1>
    </dataValidation>
    <dataValidation type="custom" allowBlank="1" showInputMessage="1" promptTitle="📋 Descripción" prompt="Buenas no sale café en ninguna molienda." sqref="C7" xr:uid="{00000000-0002-0000-0000-000005000000}">
      <formula1>TRUE</formula1>
    </dataValidation>
    <dataValidation type="custom" allowBlank="1" showInputMessage="1" promptTitle="📋 Descripción" prompt="Buenas, tobogan roto y barredora doblada" sqref="C8" xr:uid="{00000000-0002-0000-0000-000006000000}">
      <formula1>TRUE</formula1>
    </dataValidation>
    <dataValidation type="custom" allowBlank="1" showInputMessage="1" promptTitle="📋 Descripción" prompt="Buen día salta la térmica de la cafetera" sqref="C9" xr:uid="{00000000-0002-0000-0000-000007000000}">
      <formula1>TRUE</formula1>
    </dataValidation>
    <dataValidation type="custom" allowBlank="1" showInputMessage="1" promptTitle="📋 Descripción" prompt="No corta el agua. Error 66" sqref="C10" xr:uid="{00000000-0002-0000-0000-000008000000}">
      <formula1>TRUE</formula1>
    </dataValidation>
    <dataValidation type="custom" allowBlank="1" showInputMessage="1" promptTitle="📋 Descripción" prompt="Buen día, salta la térmica cuando prendo la cafetera." sqref="C11" xr:uid="{00000000-0002-0000-0000-000009000000}">
      <formula1>TRUE</formula1>
    </dataValidation>
    <dataValidation type="custom" allowBlank="1" showInputMessage="1" promptTitle="📋 Descripción" prompt="No sale cafe y está húmedo por dentro" sqref="C14" xr:uid="{00000000-0002-0000-0000-00000A000000}">
      <formula1>TRUE</formula1>
    </dataValidation>
    <dataValidation type="custom" allowBlank="1" showInputMessage="1" promptTitle="📋 Descripción" prompt="Se tapa la cafetera" sqref="C15" xr:uid="{00000000-0002-0000-0000-00000B000000}">
      <formula1>TRUE</formula1>
    </dataValidation>
    <dataValidation type="custom" allowBlank="1" showInputMessage="1" promptTitle="📋 Descripción" prompt="Hola, buen dia. Una de las cafeteras no se encuentra funcionando correctamente. No sale cafe" sqref="C16" xr:uid="{00000000-0002-0000-0000-00000C000000}">
      <formula1>TRUE</formula1>
    </dataValidation>
    <dataValidation type="custom" allowBlank="1" showInputMessage="1" promptTitle="📋 Descripción" prompt="Shake no funciona!" sqref="C17" xr:uid="{00000000-0002-0000-0000-00000D000000}">
      <formula1>TRUE</formula1>
    </dataValidation>
    <dataValidation type="custom" allowBlank="1" showInputMessage="1" promptTitle="📋 Descripción" prompt="Muelas de cafetera 2 trabadas más especifico mm1_x000a_Cafetera 1 no sale latte ni expreso corto" sqref="C18" xr:uid="{00000000-0002-0000-0000-00000E000000}">
      <formula1>TRUE</formula1>
    </dataValidation>
    <dataValidation type="custom" allowBlank="1" showInputMessage="1" promptTitle="📋 Descripción" prompt="Ambas cafeteras se encuentran con una de las moliendas trabadas. Por ejemplo: Cafetera 1: solo sale café con capu/cortado. Cafetera 2: Solo con latte y expreso." sqref="C19" xr:uid="{00000000-0002-0000-0000-00000F000000}">
      <formula1>TRUE</formula1>
    </dataValidation>
    <dataValidation type="custom" allowBlank="1" showInputMessage="1" promptTitle="📋 Descripción" prompt="Hola la cafetera esta pidiendo lavado constantemente ,no sale agua ni café, tira el error 8  ,esta así desde las 6am" sqref="C20" xr:uid="{00000000-0002-0000-0000-000010000000}">
      <formula1>TRUE</formula1>
    </dataValidation>
    <dataValidation type="custom" allowBlank="1" showInputMessage="1" promptTitle="📋 Descripción" prompt="Buenos dias! La cafetera tira error 58 y pide el lavado reiteradas veces. No pertime realizar el lavado" sqref="C21" xr:uid="{00000000-0002-0000-0000-000011000000}">
      <formula1>TRUE</formula1>
    </dataValidation>
    <dataValidation type="custom" allowBlank="1" showInputMessage="1" promptTitle="📋 Descripción" prompt="Buenas,al día de la fecha la cafetera no logra realizar el lavado de leche,haciendo que no la podamos utilizar._x000a_Aguardo respuesta, muchas gracias" sqref="C22" xr:uid="{00000000-0002-0000-0000-000012000000}">
      <formula1>TRUE</formula1>
    </dataValidation>
    <dataValidation type="custom" allowBlank="1" showInputMessage="1" promptTitle="📋 Descripción" prompt="Buenos días. El día sábado le cambiaron repuestos al equipo y al día de hoy seguimos sin poder sacar café, el técnico que vino el sábado dijo que ayer domingo iba a venir otro técnico pero no vino nadie. Va una semana sin vender café, es realmente ur" sqref="C24" xr:uid="{00000000-0002-0000-0000-000013000000}">
      <formula1>TRUE</formula1>
    </dataValidation>
    <dataValidation type="custom" allowBlank="1" showInputMessage="1" promptTitle="📋 Descripción" prompt="Buenos dias, antes de ayer nos dejaron una cafetera de prestamo, ayer teniamos problema con los cafes ya que salian frios y hoy al intentar prenderla me hizo saltar en varias ocasiones el diyuntor, necesito una solución urgente ya que hace dias venim" sqref="C25" xr:uid="{00000000-0002-0000-0000-000014000000}">
      <formula1>TRUE</formula1>
    </dataValidation>
    <dataValidation type="custom" allowBlank="1" showInputMessage="1" promptTitle="📋 Descripción" prompt="Buenas tardes, el día de ayer nos dejaron una cafetera de préstamo, estaba todo funcionando correctamente hasta el día de hoy que el latte, lágrima y capuchino empezaron a salir fríos, también la cafetera empezó a pedir el lavado de leche a cada 15 m" sqref="C26" xr:uid="{00000000-0002-0000-0000-000015000000}">
      <formula1>TRUE</formula1>
    </dataValidation>
    <dataValidation type="custom" allowBlank="1" showInputMessage="1" promptTitle="📋 Descripción" prompt="Buen dia, ayer realizamos un ticket ya que saltaba el diyuntor al ensender la cafetera, vinieron a verla, supuestamente habia quedado ok y hoy devuelta estoy teniendo el mismo problema, necesito alguna solución urgente" sqref="C27" xr:uid="{00000000-0002-0000-0000-000016000000}">
      <formula1>TRUE</formula1>
    </dataValidation>
    <dataValidation type="custom" allowBlank="1" showInputMessage="1" promptTitle="📋 Descripción" prompt="Corresponde a la acarameladora que falla y no puede girar" sqref="C28" xr:uid="{00000000-0002-0000-0000-000017000000}">
      <formula1>TRUE</formula1>
    </dataValidation>
    <dataValidation type="custom" allowBlank="1" showInputMessage="1" promptTitle="📋 Descripción" prompt="Pierde agua y salta térmica" sqref="C29" xr:uid="{00000000-0002-0000-0000-000018000000}">
      <formula1>TRUE</formula1>
    </dataValidation>
    <dataValidation type="custom" allowBlank="1" showInputMessage="1" promptTitle="📋 Descripción" prompt="Se detalla la supervisora iris con equipo mtm manda fotos y videos respeto a la perdida de agua , cafetera 2 lado catta" sqref="C30" xr:uid="{00000000-0002-0000-0000-000019000000}">
      <formula1>TRUE</formula1>
    </dataValidation>
    <dataValidation type="custom" allowBlank="1" showInputMessage="1" promptTitle="📋 Descripción" prompt="Estimados, buenas tardes._x000a_Solicito la visita de un técnico debido a una falla en el funcionamiento de la molienda 1 de la cafetera. _x000a_Quedamos a la espera de una respuesta._x000a_Desde ya, muchas gracias." sqref="C31" xr:uid="{00000000-0002-0000-0000-00001A000000}">
      <formula1>TRUE</formula1>
    </dataValidation>
    <dataValidation type="custom" allowBlank="1" showInputMessage="1" promptTitle="📋 Descripción" prompt="No contamos con la segunda línea ya que la Pc no funciona la conexión de red" sqref="C32" xr:uid="{00000000-0002-0000-0000-00001B000000}">
      <formula1>TRUE</formula1>
    </dataValidation>
    <dataValidation type="custom" allowBlank="1" showInputMessage="1" promptTitle="📋 Descripción" prompt="Buenas tardes, el café sale corto y aguado. No sale la espuma correspondiente y a su vez no contamos con el filtro de la leche" sqref="C33" xr:uid="{00000000-0002-0000-0000-00001C000000}">
      <formula1>TRUE</formula1>
    </dataValidation>
    <dataValidation type="custom" allowBlank="1" showInputMessage="1" promptTitle="📋 Descripción" prompt="Salta la termica porque el agua pierde y sale por otro lado y no hace ningun cafe" sqref="C34" xr:uid="{00000000-0002-0000-0000-00001D000000}">
      <formula1>TRUE</formula1>
    </dataValidation>
    <dataValidation type="custom" allowBlank="1" showInputMessage="1" promptTitle="📋 Descripción" prompt="Buenass se nos traban las moliendas y la cafetera dice error 55" sqref="C35" xr:uid="{00000000-0002-0000-0000-00001E000000}">
      <formula1>TRUE</formula1>
    </dataValidation>
    <dataValidation type="custom" allowBlank="1" showInputMessage="1" promptTitle="📋 Descripción" prompt="Hola!! Las molienda siguen trabándose mucho. Las muelas son nuevas ." sqref="C36" xr:uid="{00000000-0002-0000-0000-00001F000000}">
      <formula1>TRUE</formula1>
    </dataValidation>
    <dataValidation type="custom" allowBlank="1" showInputMessage="1" promptTitle="📋 Descripción" prompt="Buen día! La cafetera pierde agua por la parte de abajo. Y salta la térmica. Por favor solicito revisión" sqref="C37" xr:uid="{00000000-0002-0000-0000-000020000000}">
      <formula1>TRUE</formula1>
    </dataValidation>
    <dataValidation type="custom" allowBlank="1" showInputMessage="1" promptTitle="📋 Descripción" prompt="Buenos días, generamos tk para la revisión y colocación de los filmsback luminosos. Gracias" sqref="C38" xr:uid="{00000000-0002-0000-0000-000021000000}">
      <formula1>TRUE</formula1>
    </dataValidation>
    <dataValidation type="custom" allowBlank="1" showInputMessage="1" promptTitle="📋 Descripción" prompt="Buen día, además del error sigue saliendo agua por abajo de la cafetera derramando café" sqref="C39" xr:uid="{00000000-0002-0000-0000-000022000000}">
      <formula1>TRUE</formula1>
    </dataValidation>
    <dataValidation type="custom" allowBlank="1" showInputMessage="1" promptTitle="📋 Descripción" prompt="Buenas tardes, solicito a la brevedad una visita ya que la molienda se encuentra trabada y no sale el café" sqref="C40" xr:uid="{00000000-0002-0000-0000-000023000000}">
      <formula1>TRUE</formula1>
    </dataValidation>
    <dataValidation type="custom" allowBlank="1" showInputMessage="1" promptTitle="📋 Descripción" prompt="Buenos días, pierde agua por debajo no sale café y salta la térmica" sqref="C41" xr:uid="{00000000-0002-0000-0000-000024000000}">
      <formula1>TRUE</formula1>
    </dataValidation>
    <dataValidation type="custom" allowBlank="1" showInputMessage="1" promptTitle="📋 Descripción" prompt="No sale leche" sqref="C42" xr:uid="{00000000-0002-0000-0000-000025000000}">
      <formula1>TRUE</formula1>
    </dataValidation>
    <dataValidation type="custom" allowBlank="1" showInputMessage="1" promptTitle="📋 Descripción" prompt="Buenas noches, _x000a_La cafetera pierde agua. _x000a_Repuesto pedido anteriormente: Manguera de desagote azul ya presente en el local." sqref="C43" xr:uid="{00000000-0002-0000-0000-000026000000}">
      <formula1>TRUE</formula1>
    </dataValidation>
    <dataValidation type="custom" allowBlank="1" showInputMessage="1" promptTitle="📋 Descripción" prompt="Ambas moliendas trabadas" sqref="C44" xr:uid="{00000000-0002-0000-0000-000027000000}">
      <formula1>TRUE</formula1>
    </dataValidation>
    <dataValidation type="custom" allowBlank="1" showInputMessage="1" promptTitle="📋 Descripción" prompt="No sale café de ninguna de las dos moliendas." sqref="C45" xr:uid="{00000000-0002-0000-0000-000028000000}">
      <formula1>TRUE</formula1>
    </dataValidation>
    <dataValidation type="custom" allowBlank="1" showInputMessage="1" promptTitle="📋 Descripción" prompt="Buenas tardes, se traban las moliendas a cada rato." sqref="C46" xr:uid="{00000000-0002-0000-0000-000029000000}">
      <formula1>TRUE</formula1>
    </dataValidation>
    <dataValidation type="custom" allowBlank="1" showInputMessage="1" promptTitle="📋 Descripción" prompt="Buenas noches, la cafetera esta haciendo saltar un disyuntor" sqref="C47" xr:uid="{00000000-0002-0000-0000-00002A000000}">
      <formula1>TRUE</formula1>
    </dataValidation>
    <dataValidation type="custom" allowBlank="1" showInputMessage="1" promptTitle="📋 Descripción" prompt="Hace 2 dias cambiaron varios repuestos,  no anda la mm1 y encima quedó como desconectada la vaporera de la leche y sale vapor por cualquier lado. Lo arreglaron a medias" sqref="C48" xr:uid="{00000000-0002-0000-0000-00002B000000}">
      <formula1>TRUE</formula1>
    </dataValidation>
    <dataValidation type="custom" allowBlank="1" showInputMessage="1" promptTitle="📋 Descripción" prompt="Están los repuestos para cambiar." sqref="C49" xr:uid="{00000000-0002-0000-0000-00002C000000}">
      <formula1>TRUE</formula1>
    </dataValidation>
    <dataValidation type="custom" allowBlank="1" showInputMessage="1" promptTitle="📋 Descripción" prompt="Estimados, solicitamos la colocación del cuadro luminoso en la parte frontal del local Lomas Auto _x000a_ Quedo a disposición." sqref="C50" xr:uid="{00000000-0002-0000-0000-00002D000000}">
      <formula1>TRUE</formula1>
    </dataValidation>
    <dataValidation type="custom" allowBlank="1" showInputMessage="1" promptTitle="📋 Descripción" prompt="No se llenan los cafés , la leche sale sin espuma" sqref="C51" xr:uid="{00000000-0002-0000-0000-00002E000000}">
      <formula1>TRUE</formula1>
    </dataValidation>
    <dataValidation type="custom" allowBlank="1" showInputMessage="1" promptTitle="📋 Descripción" prompt="Buenas nesesito que vengan a ver la cafetera _x000a_Pierde agua y se traban muccho las miliendas" sqref="C52" xr:uid="{00000000-0002-0000-0000-00002F000000}">
      <formula1>TRUE</formula1>
    </dataValidation>
    <dataValidation type="custom" allowBlank="1" showInputMessage="1" promptTitle="📋 Descripción" prompt="Buenas tardes._x000a_Solicito el adaptador de carnes junior para broiler JF64._x000a_Muchas gracias" sqref="C53" xr:uid="{00000000-0002-0000-0000-000030000000}">
      <formula1>TRUE</formula1>
    </dataValidation>
    <dataValidation type="custom" allowBlank="1" showInputMessage="1" promptTitle="📋 Descripción" prompt="Marca error 8" sqref="C54" xr:uid="{00000000-0002-0000-0000-000031000000}">
      <formula1>TRUE</formula1>
    </dataValidation>
    <dataValidation type="custom" allowBlank="1" showInputMessage="1" promptTitle="📋 Descripción" prompt="Buenas tardes, solicito un técnico para ver los siguientes inconvenientes de ambas cafeteras: _x000a__x000a_Cafetera 1: falta el pastico de ajustes de los recipientes, Limpieza interna _x000a_Temperatura de agua y leche _x000a_Mm 1 Est trabada cafetera derecha_x000a__x000a_Cafetera 2 t" sqref="C58" xr:uid="{00000000-0002-0000-0000-000032000000}">
      <formula1>TRUE</formula1>
    </dataValidation>
    <dataValidation type="custom" allowBlank="1" showInputMessage="1" promptTitle="📋 Descripción" prompt="Buenos días, genero tk ya que tengo ambas cimballis inoperativas, una esta fría, no calienta, no sale leche ni café. La otra no sale leche, necesito mto urgente por favor" sqref="C59" xr:uid="{00000000-0002-0000-0000-000033000000}">
      <formula1>TRUE</formula1>
    </dataValidation>
    <dataValidation type="custom" allowBlank="1" showInputMessage="1" promptTitle="📋 Descripción" prompt="Hola buena, genero tk para que puedan venir a colocar la caterlera de luz !" sqref="C60" xr:uid="{00000000-0002-0000-0000-000034000000}">
      <formula1>TRUE</formula1>
    </dataValidation>
    <dataValidation type="custom" allowBlank="1" showInputMessage="1" promptTitle="📋 Descripción" prompt="falla a la hora de salir café" sqref="C61" xr:uid="{00000000-0002-0000-0000-000035000000}">
      <formula1>TRUE</formula1>
    </dataValidation>
    <dataValidation type="custom" allowBlank="1" showInputMessage="1" promptTitle="📋 Descripción" prompt="Hola buenos dias, la acarameladora me quema los panes, tienen los botones reguladores falseados!" sqref="C62" xr:uid="{00000000-0002-0000-0000-000036000000}">
      <formula1>TRUE</formula1>
    </dataValidation>
    <dataValidation type="custom" allowBlank="1" showInputMessage="1" promptTitle="📋 Descripción" prompt="Hola, buenos días._x000a_Informamos inconveniente con la cafetera Cimbali. El equipo no llega a la temperatura necesaria, por lo que no se pueden realizar cafés ni utilizar la cafetera de ninguna forma._x000a__x000a_Este problema ya fue revisado en una visita anterior" sqref="C63" xr:uid="{00000000-0002-0000-0000-000037000000}">
      <formula1>TRUE</formula1>
    </dataValidation>
    <dataValidation type="custom" allowBlank="1" showInputMessage="1" promptTitle="📋 Descripción" prompt="Hola buen dia! El dia 4/2 #110366 recibimos la visita técnica y el dia de hoy la máquina pide lavado y sale agua por debajo,a su vez una manguera se encuentra salida,salta la termina y se encuentra en corto,solicito una visita técnica y de ser posibl" sqref="C64" xr:uid="{00000000-0002-0000-0000-000038000000}">
      <formula1>TRUE</formula1>
    </dataValidation>
    <dataValidation type="custom" allowBlank="1" showInputMessage="1" promptTitle="📋 Descripción" prompt="Hola buenas noches,el día de hoy nos encontramos utilizando una cafetera ya que la otra tiene problemas con el suministro de agua nuevamente,ya vinieron a verla anteriormente y seguimos con el mismo problema" sqref="C65" xr:uid="{00000000-0002-0000-0000-000039000000}">
      <formula1>TRUE</formula1>
    </dataValidation>
    <dataValidation type="custom" allowBlank="1" showInputMessage="1" promptTitle="📋 Descripción" prompt="Hola buenas tardes,una de las cafeteras no tuene temperatura del 18/2 hasta el momento ya realice un tik anteriormente #112256" sqref="C66" xr:uid="{00000000-0002-0000-0000-00003A000000}">
      <formula1>TRUE</formula1>
    </dataValidation>
    <dataValidation type="custom" allowBlank="1" showInputMessage="1" promptTitle="📋 Descripción" prompt="No sale café" sqref="C67" xr:uid="{00000000-0002-0000-0000-00003B000000}">
      <formula1>TRUE</formula1>
    </dataValidation>
    <dataValidation type="custom" allowBlank="1" showInputMessage="1" promptTitle="📋 Descripción" prompt="Hola buen día, el café no sale espuma sale mira agua" sqref="C68" xr:uid="{00000000-0002-0000-0000-00003C000000}">
      <formula1>TRUE</formula1>
    </dataValidation>
    <dataValidation type="custom" allowBlank="1" showInputMessage="1" promptTitle="📋 Descripción" prompt="No sale leche, solo vapor" sqref="C69 C71" xr:uid="{00000000-0002-0000-0000-00003D000000}">
      <formula1>TRUE</formula1>
    </dataValidation>
    <dataValidation type="custom" allowBlank="1" showInputMessage="1" promptTitle="📋 Descripción" prompt="No sale leche, solo sale vapor" sqref="C70" xr:uid="{00000000-0002-0000-0000-00003E000000}">
      <formula1>TRUE</formula1>
    </dataValidation>
    <dataValidation type="custom" allowBlank="1" showInputMessage="1" promptTitle="📋 Descripción" prompt="Buenas tardes en el equipo no dale café,ponemos la opción y no sale agua tampoco _x000a_," sqref="C72" xr:uid="{00000000-0002-0000-0000-000040000000}">
      <formula1>TRUE</formula1>
    </dataValidation>
    <dataValidation type="custom" allowBlank="1" showInputMessage="1" promptTitle="📋 Descripción" prompt="Horno de práctica,  no tuesta bien el pan. Tarda mucho y sale un error de magnetron" sqref="C73" xr:uid="{00000000-0002-0000-0000-000041000000}">
      <formula1>TRUE</formula1>
    </dataValidation>
    <dataValidation type="custom" allowBlank="1" showInputMessage="1" promptTitle="📋 Descripción" prompt="Cambiar repuesto ya se encuentra en el local" sqref="C74" xr:uid="{00000000-0002-0000-0000-000042000000}">
      <formula1>TRUE</formula1>
    </dataValidation>
    <dataValidation type="custom" allowBlank="1" showInputMessage="1" promptTitle="📋 Descripción" prompt="Dos microondas sin calentar" sqref="C75" xr:uid="{00000000-0002-0000-0000-000043000000}">
      <formula1>TRUE</formula1>
    </dataValidation>
    <dataValidation type="custom" allowBlank="1" showInputMessage="1" promptTitle="📋 Descripción" prompt="Hola! No me funciona el horno. Prende pero el motor no arranca." sqref="C76" xr:uid="{00000000-0002-0000-0000-000044000000}">
      <formula1>TRUE</formula1>
    </dataValidation>
    <dataValidation type="custom" allowBlank="1" showInputMessage="1" promptTitle="📋 Descripción" prompt="Buenas tardes! Las moliendas no muelan el café!" sqref="C77" xr:uid="{00000000-0002-0000-0000-000045000000}">
      <formula1>TRUE</formula1>
    </dataValidation>
    <dataValidation type="custom" allowBlank="1" showInputMessage="1" promptTitle="📋 Descripción" prompt="Ambas cafeteras dejan los cafés sin rellenar._x000a_Pastillas de café salen incompletas y rotas._x000a_Suele saltar la térmica de la cafetera izquierda" sqref="C78" xr:uid="{00000000-0002-0000-0000-000046000000}">
      <formula1>TRUE</formula1>
    </dataValidation>
    <dataValidation type="custom" allowBlank="1" showInputMessage="1" promptTitle="📋 Descripción" prompt="- Bases de carteles lijar y pintar , atornillar los nuevos🔴_x000a_- ⁠Arreglar enchufes de cocina🔴_x000a_- ⁠Arreglar durlok de escalera🔴_x000a_- ⁠Arreglar techo de luces de cocina🔴_x000a_- ⁠Pintar columnas _x000a_- ⁠Cambiar portafoco de bin de papas y asegurar luces🔴_x000a_- ⁠Colocar ca" sqref="C79" xr:uid="{00000000-0002-0000-0000-000047000000}">
      <formula1>TRUE</formula1>
    </dataValidation>
    <dataValidation type="custom" allowBlank="1" showInputMessage="1" promptTitle="📋 Descripción" prompt="El café no cumple con la calidad y la calibración del café no es la correcta." sqref="C80" xr:uid="{00000000-0002-0000-0000-000048000000}">
      <formula1>TRUE</formula1>
    </dataValidation>
    <dataValidation type="custom" allowBlank="1" showInputMessage="1" promptTitle="📋 Descripción" prompt="Cafetera presenta anomalías y pide el lavado reiterada veces, además tiene el armazón izquierdo fuera de posición." sqref="C81" xr:uid="{00000000-0002-0000-0000-000049000000}">
      <formula1>TRUE</formula1>
    </dataValidation>
    <dataValidation type="custom" allowBlank="1" showInputMessage="1" promptTitle="📋 Descripción" prompt="Buenas tardes, estamos necesitando instalar la nueva melita y en lo posible con urgencia ya que no damos abasto con la cimballi" sqref="C82" xr:uid="{00000000-0002-0000-0000-00004A000000}">
      <formula1>TRUE</formula1>
    </dataValidation>
    <dataValidation type="custom" allowBlank="1" showInputMessage="1" promptTitle="📋 Descripción" prompt="El CPU de local el cual da a funcionar el sistema operativo de cinet nose matiene encendido , impidiendo realizar tareas administrativas en las pantallas por que estas no encienden." sqref="C83" xr:uid="{00000000-0002-0000-0000-00004B000000}">
      <formula1>TRUE</formula1>
    </dataValidation>
    <dataValidation type="custom" allowBlank="1" showInputMessage="1" promptTitle="📋 Descripción" prompt="hola buenas, estoy teniendo problemas con el sistema de cinet, se me apaga el equipo lo prendo y se vuelve apagar, necesitaría que lo vengan a ver urgente, ya que no me deja operar como corresponde. gracias" sqref="C84" xr:uid="{00000000-0002-0000-0000-00004C000000}">
      <formula1>TRUE</formula1>
    </dataValidation>
    <dataValidation type="custom" allowBlank="1" showInputMessage="1" promptTitle="📋 Descripción" prompt="Buenas. La cafetera no hace café." sqref="C86" xr:uid="{00000000-0002-0000-0000-00004E000000}">
      <formula1>TRUE</formula1>
    </dataValidation>
    <dataValidation type="custom" allowBlank="1" showInputMessage="1" promptTitle="📋 Descripción" prompt="Buenas! La cimballi no larga agua caliente para te, el agua es tibia casi fria" sqref="C87" xr:uid="{00000000-0002-0000-0000-00004F000000}">
      <formula1>TRUE</formula1>
    </dataValidation>
    <dataValidation type="custom" allowBlank="1" showInputMessage="1" promptTitle="📋 Descripción" prompt="Buenas, tenemos el horno UNOX sin funcionar" sqref="C88" xr:uid="{00000000-0002-0000-0000-000050000000}">
      <formula1>TRUE</formula1>
    </dataValidation>
    <dataValidation type="custom" allowBlank="1" showInputMessage="1" promptTitle="📋 Descripción" prompt="Buenas, no funciona el condensador trasero de la cámara congeladora y las luces del sector trasero no funciona" sqref="C89" xr:uid="{00000000-0002-0000-0000-000051000000}">
      <formula1>TRUE</formula1>
    </dataValidation>
    <dataValidation type="custom" allowBlank="1" showInputMessage="1" promptTitle="📋 Descripción" prompt="Solicito mtm para poner portarollos en baños. Gracias" sqref="C90" xr:uid="{00000000-0002-0000-0000-000052000000}">
      <formula1>TRUE</formula1>
    </dataValidation>
    <dataValidation type="custom" allowBlank="1" showInputMessage="1" promptTitle="📋 Descripción" prompt="Buenas, cafetera izquierda moliendas trabadas." sqref="C91" xr:uid="{00000000-0002-0000-0000-000053000000}">
      <formula1>TRUE</formula1>
    </dataValidation>
    <dataValidation type="custom" allowBlank="1" showInputMessage="1" promptTitle="📋 Descripción" prompt="Buenas, se solicita tecnico para soldar pata de Bacha de baño de discapacitados." sqref="C92" xr:uid="{00000000-0002-0000-0000-000054000000}">
      <formula1>TRUE</formula1>
    </dataValidation>
    <dataValidation type="custom" allowBlank="1" showInputMessage="1" promptTitle="📋 Descripción" prompt="No funcionan molienda de cafetera 1" sqref="C93" xr:uid="{00000000-0002-0000-0000-000055000000}">
      <formula1>TRUE</formula1>
    </dataValidation>
    <dataValidation type="custom" allowBlank="1" showInputMessage="1" promptTitle="📋 Descripción" prompt="Buenas, cafetera 1 está trabada molienda 1. Necesitamos un tecnico por favor" sqref="C94" xr:uid="{00000000-0002-0000-0000-000056000000}">
      <formula1>TRUE</formula1>
    </dataValidation>
    <dataValidation type="custom" allowBlank="1" showInputMessage="1" promptTitle="📋 Descripción" prompt="Tenemos varios zócalos de pared caídos" sqref="C95" xr:uid="{00000000-0002-0000-0000-000057000000}">
      <formula1>TRUE</formula1>
    </dataValidation>
    <dataValidation type="custom" allowBlank="1" showInputMessage="1" promptTitle="📋 Descripción" prompt="Nos faltan trabas del phu (dos)" sqref="C96" xr:uid="{00000000-0002-0000-0000-000058000000}">
      <formula1>TRUE</formula1>
    </dataValidation>
    <dataValidation type="custom" allowBlank="1" showInputMessage="1" promptTitle="📋 Descripción" prompt="Tenemos pisos rotos en sector cocina, servicio y producción" sqref="C97" xr:uid="{00000000-0002-0000-0000-000059000000}">
      <formula1>TRUE</formula1>
    </dataValidation>
    <dataValidation type="custom" allowBlank="1" showInputMessage="1" promptTitle="📋 Descripción" prompt="Arreglar enchufes de abajo del Broiler." sqref="C98" xr:uid="{00000000-0002-0000-0000-00005A000000}">
      <formula1>TRUE</formula1>
    </dataValidation>
    <dataValidation type="custom" allowBlank="1" showInputMessage="1" promptTitle="📋 Descripción" prompt="Buenas, tenemos luces quemadas en varios sectores del local" sqref="C99" xr:uid="{00000000-0002-0000-0000-00005B000000}">
      <formula1>TRUE</formula1>
    </dataValidation>
    <dataValidation type="custom" allowBlank="1" showInputMessage="1" promptTitle="📋 Descripción" prompt="Cableado de hielera pelado y hace corto" sqref="C100" xr:uid="{00000000-0002-0000-0000-00005C000000}">
      <formula1>TRUE</formula1>
    </dataValidation>
    <dataValidation type="custom" allowBlank="1" showInputMessage="1" promptTitle="📋 Descripción" prompt="Verificar clabeado interno del totem, ya que hace corto y se apaga." sqref="C101" xr:uid="{00000000-0002-0000-0000-00005D000000}">
      <formula1>TRUE</formula1>
    </dataValidation>
    <dataValidation type="custom" allowBlank="1" showInputMessage="1" promptTitle="📋 Descripción" prompt="Colocar azulejos y zócalos caídos de todo el local." sqref="C102" xr:uid="{00000000-0002-0000-0000-00005E000000}">
      <formula1>TRUE</formula1>
    </dataValidation>
    <dataValidation type="custom" allowBlank="1" showInputMessage="1" promptTitle="📋 Descripción" prompt="Reparar techo de Durlock de baño de hombres." sqref="C103" xr:uid="{00000000-0002-0000-0000-00005F000000}">
      <formula1>TRUE</formula1>
    </dataValidation>
    <dataValidation type="custom" allowBlank="1" showInputMessage="1" promptTitle="📋 Descripción" prompt="Colocar luces faltantes en lobby y baños." sqref="C104" xr:uid="{00000000-0002-0000-0000-000060000000}">
      <formula1>TRUE</formula1>
    </dataValidation>
    <dataValidation type="custom" allowBlank="1" showInputMessage="1" promptTitle="📋 Descripción" prompt="Llego la bomba nueva, precisamos colocarla" sqref="C105" xr:uid="{00000000-0002-0000-0000-000061000000}">
      <formula1>TRUE</formula1>
    </dataValidation>
    <dataValidation type="custom" allowBlank="1" showInputMessage="1" promptTitle="📋 Descripción" prompt="Se colocan filtros de cafetera solicitados, cafetera bloqueada." sqref="C106" xr:uid="{00000000-0002-0000-0000-000062000000}">
      <formula1>TRUE</formula1>
    </dataValidation>
    <dataValidation type="custom" allowBlank="1" showInputMessage="1" promptTitle="📋 Descripción" prompt="Horno Pratica - No tuesta el pan como corresponde, se siente frío el interior del tostado." sqref="C107" xr:uid="{00000000-0002-0000-0000-000063000000}">
      <formula1>TRUE</formula1>
    </dataValidation>
    <dataValidation type="custom" allowBlank="1" showInputMessage="1" promptTitle="📋 Descripción" prompt="De ambas tolvas no sale cafe._x000a_No da ningun error" sqref="C108" xr:uid="{00000000-0002-0000-0000-000064000000}">
      <formula1>TRUE</formula1>
    </dataValidation>
    <dataValidation type="custom" allowBlank="1" showInputMessage="1" promptTitle="📋 Descripción" prompt="Buenas tardes, quería solicitar una revisión a la cafetera debido a que estos días tuvimos problemas con la misma, la falla que tiene es que al momento de realizar al rededor de 2/4 cafés a la vez se enfría el equipo , debemos esperar que vuelva a le" sqref="C109" xr:uid="{00000000-0002-0000-0000-000065000000}">
      <formula1>TRUE</formula1>
    </dataValidation>
    <dataValidation type="custom" allowBlank="1" showInputMessage="1" promptTitle="📋 Descripción" prompt="Estimados buen día, tenemos una falla en la maquina cada vez que hacemos un cafe de cualquier tipo toda la leche se deborda ya me fije donde se encuentra colocada las mangueras y estan ok! La cañería no esta tapada tampoco. _x000a_Es un problema de la maqu" sqref="C110" xr:uid="{00000000-0002-0000-0000-000066000000}">
      <formula1>TRUE</formula1>
    </dataValidation>
    <dataValidation type="custom" allowBlank="1" showInputMessage="1" promptTitle="📋 Descripción" prompt="Se escuchan ruidos de explosiones, se apaga la cimballi y luego prende pero tarda demasiado en tomar temperatura." sqref="C111" xr:uid="{00000000-0002-0000-0000-000067000000}">
      <formula1>TRUE</formula1>
    </dataValidation>
    <dataValidation type="custom" allowBlank="1" showInputMessage="1" promptTitle="📋 Descripción" prompt="Buen día! Cafe aguado y sin espuma._x000a_Se deja de vender ya que tenemos quejas de clientes por mal sabor." sqref="C112" xr:uid="{00000000-0002-0000-0000-000068000000}">
      <formula1>TRUE</formula1>
    </dataValidation>
    <dataValidation type="custom" allowBlank="1" showInputMessage="1" promptTitle="📋 Descripción" prompt="Error crítico" sqref="C113" xr:uid="{00000000-0002-0000-0000-000069000000}">
      <formula1>TRUE</formula1>
    </dataValidation>
    <dataValidation type="custom" allowBlank="1" showInputMessage="1" promptTitle="📋 Descripción" prompt="Urgente , el cafe sale aguado" sqref="C115" xr:uid="{00000000-0002-0000-0000-00006A000000}">
      <formula1>TRUE</formula1>
    </dataValidation>
    <dataValidation type="custom" allowBlank="1" showInputMessage="1" promptTitle="📋 Descripción" prompt="Buenas, tenemos que cambiar el timer de la freidora ya que el mismo se deterioró, solo tenemos que poner uno nuevo" sqref="C116" xr:uid="{00000000-0002-0000-0000-00006B000000}">
      <formula1>TRUE</formula1>
    </dataValidation>
    <dataValidation type="custom" allowBlank="1" showInputMessage="1" promptTitle="📋 Descripción" prompt="Hola buenas, de la segunda cafetera sale agua y leche por debajo de una manguera qué tiene, pero sale todo... muchisima" sqref="C117" xr:uid="{00000000-0002-0000-0000-00006C000000}">
      <formula1>TRUE</formula1>
    </dataValidation>
    <dataValidation type="custom" allowBlank="1" showInputMessage="1" promptTitle="📋 Descripción" prompt="Buenas, la cafetera pierde agua por este sector" sqref="C118" xr:uid="{00000000-0002-0000-0000-00006D000000}">
      <formula1>TRUE</formula1>
    </dataValidation>
    <dataValidation type="custom" allowBlank="1" showInputMessage="1" promptTitle="📋 Descripción" prompt="Buenas, la cafetera presenta una perdida de agua desde la valvula de te, adjunto fotos._x000a_Por favor pido solución cuanto antes" sqref="C119" xr:uid="{00000000-0002-0000-0000-00006E000000}">
      <formula1>TRUE</formula1>
    </dataValidation>
    <dataValidation type="custom" allowBlank="1" showInputMessage="1" promptTitle="📋 Descripción" prompt="No calienta el café, por ende no se puede usar" sqref="C120" xr:uid="{00000000-0002-0000-0000-00006F000000}">
      <formula1>TRUE</formula1>
    </dataValidation>
    <dataValidation type="custom" allowBlank="1" showInputMessage="1" promptTitle="📋 Descripción" prompt="Buenos días ... _x000a_En el día de ayer se presentó Francisco de Mantenimiento propios en nuestro local para arreglar las cafeteras  1 sola había quedado operativa , Pero no realiza espuma , la misma solo funcionó el día de ayer. Hoy nuevamente volvió a f" sqref="C122" xr:uid="{00000000-0002-0000-0000-000070000000}">
      <formula1>TRUE</formula1>
    </dataValidation>
    <dataValidation type="custom" allowBlank="1" showInputMessage="1" promptTitle="📋 Descripción" prompt="MM2 TRABADA NO SALE CAFE, TAMPOCO SE SIENTE EL RUIDO DE LAS MIENDAS ACCIONANDO, SALE AGUA" sqref="C124" xr:uid="{00000000-0002-0000-0000-000071000000}">
      <formula1>TRUE</formula1>
    </dataValidation>
    <dataValidation type="custom" allowBlank="1" showInputMessage="1" promptTitle="📋 Descripción" prompt="Hola buenas tardes,no sale la leche de la cafetera y sale directamente del desagüe" sqref="C125" xr:uid="{00000000-0002-0000-0000-000072000000}">
      <formula1>TRUE</formula1>
    </dataValidation>
    <dataValidation type="custom" allowBlank="1" showInputMessage="1" promptTitle="📋 Descripción" prompt="Se trabó una molienda, solicitamos asistencia por video llamada" sqref="C127" xr:uid="{00000000-0002-0000-0000-000073000000}">
      <formula1>TRUE</formula1>
    </dataValidation>
    <dataValidation type="custom" allowBlank="1" showInputMessage="1" promptTitle="📋 Descripción" prompt="Buenas tardes. Se solicita asistencia para una puesta a cero de la cafetera CIMBALLI._x000a_Local Ushuaia FSHU" sqref="C128" xr:uid="{00000000-0002-0000-0000-000074000000}">
      <formula1>TRUE</formula1>
    </dataValidation>
    <dataValidation type="custom" allowBlank="1" showInputMessage="1" promptTitle="📋 Descripción" prompt="Buenos días la cafetera no está moliendo correctamente el café, está saliendo agua._x000a_Necesitamos con suma urgencia su resolución _x000a_Gracias" sqref="C129" xr:uid="{00000000-0002-0000-0000-000075000000}">
      <formula1>TRUE</formula1>
    </dataValidation>
    <dataValidation type="custom" allowBlank="1" showInputMessage="1" promptTitle="📋 Última Respuesta" prompt="Buen día! Hay novedades de este tk??? Gracias" sqref="E5" xr:uid="{00000000-0002-0000-0000-000076000000}">
      <formula1>TRUE</formula1>
    </dataValidation>
    <dataValidation type="custom" allowBlank="1" showInputMessage="1" promptTitle="📋 Última Respuesta" prompt="Confirmando las condiciones de servicio." sqref="E31" xr:uid="{00000000-0002-0000-0000-000077000000}">
      <formula1>TRUE</formula1>
    </dataValidation>
    <dataValidation type="custom" allowBlank="1" showInputMessage="1" promptTitle="📋 Última Respuesta" prompt="Estimados, _x000a__x000a_Esto fue resuelto?_x000a__x000a_Saludos." sqref="E39" xr:uid="{00000000-0002-0000-0000-000078000000}">
      <formula1>TRUE</formula1>
    </dataValidation>
    <dataValidation type="custom" allowBlank="1" showInputMessage="1" promptTitle="📋 Última Respuesta" prompt="Las moliendas siguen las dos trabadas" sqref="E44" xr:uid="{00000000-0002-0000-0000-000079000000}">
      <formula1>TRUE</formula1>
    </dataValidation>
    <dataValidation type="custom" allowBlank="1" showInputMessage="1" promptTitle="📋 Última Respuesta" prompt="Paso el tecnico de Propios por el local y lo estaban viendo con Advance._x000a__x000a_Saludos," sqref="E57" xr:uid="{00000000-0002-0000-0000-00007A000000}">
      <formula1>TRUE</formula1>
    </dataValidation>
    <dataValidation type="custom" allowBlank="1" showInputMessage="1" promptTitle="📋 Última Respuesta" prompt="Hola me pueden brindar algun número para comunicarme o decirme si fue resuelto por el local? Gracias" sqref="E62" xr:uid="{00000000-0002-0000-0000-00007B000000}">
      <formula1>TRUE</formula1>
    </dataValidation>
    <dataValidation type="custom" allowBlank="1" showInputMessage="1" promptTitle="📋 Última Respuesta" prompt="Buenos días,_x000a__x000a_Nos podrán brindar un número de contacto por favor?_x000a__x000a_Muchas gracias" sqref="E76" xr:uid="{00000000-0002-0000-0000-00007C000000}">
      <formula1>TRUE</formula1>
    </dataValidation>
    <dataValidation type="custom" allowBlank="1" showInputMessage="1" promptTitle="📋 Última Respuesta" prompt="Voy a necesitar por favor si se puede acercar un técnico al local. Mi asistente está operando y se le complica ponerse a arreglar la cafetera.... gracias" sqref="E77" xr:uid="{00000000-0002-0000-0000-00007D000000}">
      <formula1>TRUE</formula1>
    </dataValidation>
    <dataValidation type="custom" allowBlank="1" showInputMessage="1" promptTitle="📋 Última Respuesta" prompt="Buen dia, nos solicitarion verificar si las instalaciones del sector cafeteria estan aptas para instalar un equipo Melitta, vamos a utiliza el ticket para esta tarea._x000a__x000a_Slds," sqref="E83" xr:uid="{00000000-0002-0000-0000-00007E000000}">
      <formula1>TRUE</formula1>
    </dataValidation>
    <dataValidation type="custom" allowBlank="1" showInputMessage="1" promptTitle="📋 Última Respuesta" prompt="No funciona las moliendas" sqref="E86" xr:uid="{00000000-0002-0000-0000-00007F000000}">
      <formula1>TRUE</formula1>
    </dataValidation>
    <dataValidation type="custom" allowBlank="1" showInputMessage="1" promptTitle="📋 Última Respuesta" prompt="Adjunto fotos" sqref="E91" xr:uid="{00000000-0002-0000-0000-000080000000}">
      <formula1>TRUE</formula1>
    </dataValidation>
    <dataValidation type="custom" allowBlank="1" showInputMessage="1" promptTitle="📋 Última Respuesta" prompt="Hola, se fijaron la manguera de Desagote de la leche? Atrás de la heladera bajo mesada." sqref="E110" xr:uid="{00000000-0002-0000-0000-000081000000}">
      <formula1>TRUE</formula1>
    </dataValidation>
    <dataValidation type="custom" allowBlank="1" showInputMessage="1" promptTitle="📋 Última Respuesta" prompt="De nada, saludos!" sqref="E123" xr:uid="{00000000-0002-0000-0000-000082000000}">
      <formula1>TRUE</formula1>
    </dataValidation>
    <dataValidation type="custom" allowBlank="1" showInputMessage="1" promptTitle="📋 Última Respuesta" prompt="Estimados, buenos dias._x000a__x000a_¿Nos puede brindar un contacto para poder realizar un diagnostico?_x000a__x000a_Saludos" sqref="E125" xr:uid="{00000000-0002-0000-0000-000083000000}">
      <formula1>TRUE</formula1>
    </dataValidation>
    <dataValidation type="custom" allowBlank="1" showInputMessage="1" promptTitle="📋 Última Respuesta" prompt="Buenas tardes, nos podras compartir un contacto asi coordinamos un dia para realizar la videollamada" sqref="E128" xr:uid="{00000000-0002-0000-0000-000084000000}">
      <formula1>TRUE</formula1>
    </dataValidation>
    <dataValidation type="custom" allowBlank="1" showInputMessage="1" promptTitle="📋 Última Respuesta" prompt="Estimados,_x000a__x000a_Cuáles es el problema con el equipo? La imagen adjuntada no muestra error. Eso dicen cuando prenden el equipo._x000a__x000a_Saludos" sqref="E130" xr:uid="{00000000-0002-0000-0000-000085000000}">
      <formula1>TRUE</formula1>
    </dataValidation>
    <dataValidation type="custom" allowBlank="1" showInputMessage="1" promptTitle="📋 Mensaje de Resolución" prompt="Tiempo de servicio: 5 hrs_x000a__x000a_Se cambió valvula de sobrepresion con el capuchón, elf3 y kit de oring superior e inferior. También se dejó calibrada  y se ajusto y enderezó la barredora de pastillas. Se le hizo una limpieza especifica al grupo por fuera " sqref="O2" xr:uid="{00000000-0002-0000-0000-000086000000}">
      <formula1>TRUE</formula1>
    </dataValidation>
    <dataValidation type="custom" allowBlank="1" showInputMessage="1" promptTitle="📋 Mensaje de Resolución" prompt="Tiempo de servicio: 1hr_x000a_El grupo de la cafetera se encontraba bloqueado por lo q no permitía sacar café,, se saco el grupo y se limpiaron sensores para descartar que haya alguno averiado. Se coloco y activaron los 4 sensores por lo que la cafetera qu" sqref="O3" xr:uid="{00000000-0002-0000-0000-000087000000}">
      <formula1>TRUE</formula1>
    </dataValidation>
    <dataValidation type="custom" allowBlank="1" showInputMessage="1" promptTitle="📋 Mensaje de Resolución" prompt="Cafetera Avellaneda _x000a_Ticket número :111676_x000a_Serie número:1977238_x000a_Hora de servicio: 1h_x000a__x000a_Se realizó el recambio de la resistencia (error 55)._x000a__x000a_Cafetera operando." sqref="O4" xr:uid="{00000000-0002-0000-0000-000088000000}">
      <formula1>TRUE</formula1>
    </dataValidation>
    <dataValidation type="custom" allowBlank="1" showInputMessage="1" promptTitle="📋 Mensaje de Resolución" prompt="Estimados, _x000a__x000a_Se hablo con Aylen y por el elevado costo, se vera de otras opciones._x000a__x000a_Se cierra tk._x000a__x000a_Saludos" sqref="O5" xr:uid="{00000000-0002-0000-0000-000089000000}">
      <formula1>TRUE</formula1>
    </dataValidation>
    <dataValidation type="custom" allowBlank="1" showInputMessage="1" promptTitle="📋 Mensaje de Resolución" prompt="Cafetera Avellaneda_x000a_Número de ticket:112916_x000a_Número de serie:1977238_x000a_Hora de servicio: 1h50m_x000a__x000a_Se encontró con el tobogán lleno de café obstruyendo el paso y eso provocada a que en ves de café salga agua._x000a_Se hizo una profunda limpieza del grupo tanto c" sqref="O6" xr:uid="{00000000-0002-0000-0000-00008A000000}">
      <formula1>TRUE</formula1>
    </dataValidation>
    <dataValidation type="custom" allowBlank="1" showInputMessage="1" promptTitle="📋 Mensaje de Resolución" prompt="Estimados,_x000a__x000a_Se encuentra el tobogan roto. Se envia cotizacion por el mismo._x000a_Una vez que tengan el repuesto, por favor generar un nuevo tk._x000a__x000a_Saludos." sqref="O7" xr:uid="{00000000-0002-0000-0000-00008B000000}">
      <formula1>TRUE</formula1>
    </dataValidation>
    <dataValidation type="custom" allowBlank="1" showInputMessage="1" promptTitle="📋 Mensaje de Resolución" prompt="Cafetera boedo ( 2 horas de trabajo)_x000a_Cimbali 1860967_x000a_Tiket#110651_x000a_Se cambió tobogán y barredor de porra de café , se lubrico sistema de barredora, se armó todo y se realizó todos los lavados pendientes, lam máquina quedó operando" sqref="O8" xr:uid="{00000000-0002-0000-0000-00008C000000}">
      <formula1>TRUE</formula1>
    </dataValidation>
    <dataValidation type="custom" allowBlank="1" showInputMessage="1" promptTitle="📋 Mensaje de Resolución" prompt="Tiempo de servicio: 1:30hrs_x000a_A la hora de realizar el lavado la cafetera hacia saltar el disyuntor, ya que tenía la valvula de sobrepresion abierta y la salida hacia el desagüe tapado por lo que condensaba el vapor dentro de la cafetera y mojaba cable" sqref="O9" xr:uid="{00000000-0002-0000-0000-00008D000000}">
      <formula1>TRUE</formula1>
    </dataValidation>
    <dataValidation type="custom" allowBlank="1" showInputMessage="1" promptTitle="📋 Mensaje de Resolución" prompt="Estimados, _x000a__x000a_Café n: 1860967_x000a_Días de uso 1236_x000a_Solicitar volumetrico por falla, se le enseño al local a calibrar volumetrico en caso que falle pero es esporádica la falla._x000a_Se usó limpia contacto y mostró mejoría pero aún persiste la falla._x000a_Cafetera op" sqref="O10" xr:uid="{00000000-0002-0000-0000-00008E000000}">
      <formula1>TRUE</formula1>
    </dataValidation>
    <dataValidation type="custom" allowBlank="1" showInputMessage="1" promptTitle="📋 Mensaje de Resolución" prompt="Cafetera boedo_x000a_Ticket número: 111940_x000a_Serie número:1860967_x000a_Hora de servicio: 30m_x000a__x000a_Se revisó cafetera y se encontró pérdida de vapor por la válvula de seguridad que está abierta por lo tanto va seguir perdiendo vapor seguir condensando el agua y haga s" sqref="O11" xr:uid="{00000000-0002-0000-0000-00008F000000}">
      <formula1>TRUE</formula1>
    </dataValidation>
    <dataValidation type="custom" allowBlank="1" showInputMessage="1" promptTitle="📋 Mensaje de Resolución" prompt="Tk duplicado" sqref="O12" xr:uid="{00000000-0002-0000-0000-000090000000}">
      <formula1>TRUE</formula1>
    </dataValidation>
    <dataValidation type="custom" allowBlank="1" showInputMessage="1" promptTitle="📋 Mensaje de Resolución" prompt="Cafetera  Cabildo _x000a_Tk n:110586_x000a_Hora de servicio: 2h_x000a__x000a_Se encontró con la cafetera apagada._x000a_Se realizó cambio de válvula de seguridad y se hizo los lavados requeridos._x000a_Se realizó una limpieza profunda muelas y grupo._x000a_Se realizó puesta 0 y calibración d" sqref="O13" xr:uid="{00000000-0002-0000-0000-000091000000}">
      <formula1>TRUE</formula1>
    </dataValidation>
    <dataValidation type="custom" allowBlank="1" showInputMessage="1" promptTitle="📋 Mensaje de Resolución" prompt="Tiempo de servicio: 4;00 hrs_x000a__x000a_Se le coloco el oring de la valvula de sobrepresion cambiada a la nueva que estaba colocada ya que tenía una pequeña fuga de vapor y humedeció todo el cafe y la maquina, también se destrabo y calibro las muelas en donde " sqref="O14" xr:uid="{00000000-0002-0000-0000-000092000000}">
      <formula1>TRUE</formula1>
    </dataValidation>
    <dataValidation type="custom" allowBlank="1" showInputMessage="1" promptTitle="📋 Mensaje de Resolución" prompt="Tiempo de servicio: 4;00 hrs_x000a_Se destapó la salida de la cafetera, se calibro._x000a_ Ya quedo operando correctamente ambas cafeteras" sqref="O15" xr:uid="{00000000-0002-0000-0000-000093000000}">
      <formula1>TRUE</formula1>
    </dataValidation>
    <dataValidation type="custom" allowBlank="1" showInputMessage="1" promptTitle="📋 Mensaje de Resolución" prompt="Cafetera Cabildo _x000a_Tk n: 110888_x000a_Serie n 1840650_x000a_Hora de servicio 2h_x000a__x000a_Se encontraron con las cafeteras sin que anden las moliendas._x000a_Se notó que algunas de las tolvas estaban mal colocadas de igual manera se hizo una puesta 0 y calibración ya que la otr" sqref="O16" xr:uid="{00000000-0002-0000-0000-000094000000}">
      <formula1>TRUE</formula1>
    </dataValidation>
    <dataValidation type="custom" allowBlank="1" showInputMessage="1" promptTitle="📋 Mensaje de Resolución" prompt="Estimados,_x000a__x000a_Por favor no duplicar los tk_x000a__x000a_Saludos" sqref="O18" xr:uid="{00000000-0002-0000-0000-000095000000}">
      <formula1>TRUE</formula1>
    </dataValidation>
    <dataValidation type="custom" allowBlank="1" showInputMessage="1" promptTitle="📋 Mensaje de Resolución" prompt="Tiempo de servicio: 2:10 hrs_x000a_La cafetera se encontraba trabada por pedazo de plástico, se dejó calibrada._x000a_Observaciones: tiene una fuga de vapor en un acople. Pistón superior y kit de oring desgastados, elf 3 faltante _x000a__x000a_Repuestos a solicitar:_x000a_•acople" sqref="O19" xr:uid="{00000000-0002-0000-0000-000096000000}">
      <formula1>TRUE</formula1>
    </dataValidation>
    <dataValidation type="custom" allowBlank="1" showInputMessage="1" promptTitle="📋 Mensaje de Resolución" prompt="3 horas de trabajo bajo el concepto de &quot;Mantenimiento Profundo/Desarme&quot;, dado que la extracción de sólidos acumulados suele implicar desarmar partes del chasis o el grupo para acceder a zonas críticas._x000a_INFORME DE SERVICIO TÉCNICO_x000a__x000a_1. DATOS DE LA INTE" sqref="O20" xr:uid="{00000000-0002-0000-0000-000097000000}">
      <formula1>TRUE</formula1>
    </dataValidation>
    <dataValidation type="custom" allowBlank="1" showInputMessage="1" promptTitle="📋 Mensaje de Resolución" prompt="Tiempo de servicio: 3hrs_x000a_Cafetera no levantaba temperatura y no permitía hacer lavado. Se limpio circuito de leche la cual estaba lleno de leche condensada por falta del uso de líquido de lavado, se limpio elf3, bomba de leche y esm. Se encontró térm" sqref="O21" xr:uid="{00000000-0002-0000-0000-000098000000}">
      <formula1>TRUE</formula1>
    </dataValidation>
    <dataValidation type="custom" allowBlank="1" showInputMessage="1" promptTitle="📋 Mensaje de Resolución" prompt="Cafetera Ezeiza _x000a_Tk n:110774_x000a_Serie n:1980865_x000a_Hora de servicio: 3h_x000a__x000a_Se encontró con la cafetera sin poder hacer lavados._x000a_Se limpió el pescador de la caldera llena de sarro._x000a_Se purgó flexible de agua_x000a_Se calibró leche y espuma_x000a__x000a__x000a_Observaciones: error 54 " sqref="O22" xr:uid="{00000000-0002-0000-0000-000099000000}">
      <formula1>TRUE</formula1>
    </dataValidation>
    <dataValidation type="custom" allowBlank="1" showInputMessage="1" promptTitle="📋 Mensaje de Resolución" prompt="Sin repuesta del local" sqref="O23" xr:uid="{00000000-0002-0000-0000-00009A000000}">
      <formula1>TRUE</formula1>
    </dataValidation>
    <dataValidation type="custom" allowBlank="1" showInputMessage="1" promptTitle="📋 Mensaje de Resolución" prompt="Cafetera grand Burg (10 horas de trabajo) _x000a_Cimbali 1859984_x000a_Tiket#1010347_x000a_Se encuentra equipo con problemas de circulación de agua continua en el esquipo, haciendo q levanté presión a la hora de realizar el lavado, llegando a 2.1 de presión de caldera" sqref="O24" xr:uid="{00000000-0002-0000-0000-00009B000000}">
      <formula1>TRUE</formula1>
    </dataValidation>
    <dataValidation type="custom" allowBlank="1" showInputMessage="1" promptTitle="📋 Mensaje de Resolución" prompt="Cafetera grand Burg (2 horas de trabajo)_x000a_Cimbali 1842013(cafetera de depo)_x000a_Tiket#110729_x000a_Equipo con válvula gsol en falso contacto por eso saltaba el disyuntor,se legalizó todos los lavados pendientes y no volvió a saltar el mismo, con respecto a la l" sqref="O25" xr:uid="{00000000-0002-0000-0000-00009C000000}">
      <formula1>TRUE</formula1>
    </dataValidation>
    <dataValidation type="custom" allowBlank="1" showInputMessage="1" promptTitle="📋 Mensaje de Resolución" prompt="Estimados,_x000a__x000a_Esto fue resuelto por Nicolas Franco_x000a__x000a_Saludos." sqref="O26 O109" xr:uid="{00000000-0002-0000-0000-00009D000000}">
      <formula1>TRUE</formula1>
    </dataValidation>
    <dataValidation type="custom" allowBlank="1" showInputMessage="1" promptTitle="📋 Mensaje de Resolución" prompt="Cafetera grand Burg (1 hora de trabajo)_x000a_Cimbali de depo (1840208)_x000a_Tiket#110853_x000a_Cafetera saltaba el disyuntor se testeo  con tierra suelto dando 91v de pérdida, se reviso y era la caldera q quedó en corto por falta de agua, máquina sin operar, se reco" sqref="O27" xr:uid="{00000000-0002-0000-0000-00009E000000}">
      <formula1>TRUE</formula1>
    </dataValidation>
    <dataValidation type="custom" allowBlank="1" showInputMessage="1" promptTitle="📋 Mensaje de Resolución" prompt="Estimados,_x000a__x000a_Se reemplaza el equipo por garantia._x000a__x000a_Saludos." sqref="O28" xr:uid="{00000000-0002-0000-0000-00009F000000}">
      <formula1>TRUE</formula1>
    </dataValidation>
    <dataValidation type="custom" allowBlank="1" showInputMessage="1" promptTitle="📋 Mensaje de Resolución" prompt="Cafetera guemes_x000a_Tk n:110870_x000a_Serie n:1977235_x000a_Hora de servicio: 1h_x000a__x000a_Se encontró con la cafetera con perdida de agua._x000a_Se encontró una fuga de vapor por la misma válvula de seguridad que se encuentra abierta._x000a_En consecuencia de eso hace que condense y ha" sqref="O29" xr:uid="{00000000-0002-0000-0000-0000A0000000}">
      <formula1>TRUE</formula1>
    </dataValidation>
    <dataValidation type="custom" allowBlank="1" showInputMessage="1" promptTitle="📋 Mensaje de Resolución" prompt="Cafetera guemes_x000a_Ticket número:112232_x000a_Serie número:1976012_x000a_Hora de servicio 2h:30_x000a__x000a_Se encontró la cafetera con que saltaba el diyuntor se observó que perdía por el acople rápido de arriba del pistón superior._x000a_El local ya contaba con el repuesto asi qu" sqref="O30" xr:uid="{00000000-0002-0000-0000-0000A1000000}">
      <formula1>TRUE</formula1>
    </dataValidation>
    <dataValidation type="custom" allowBlank="1" showInputMessage="1" promptTitle="📋 Mensaje de Resolución" prompt="Buenas tardes, nos confirman que lo siguen con personal propio._x000a__x000a_Se cierra el ticket." sqref="O31" xr:uid="{00000000-0002-0000-0000-0000A2000000}">
      <formula1>TRUE</formula1>
    </dataValidation>
    <dataValidation type="custom" allowBlank="1" showInputMessage="1" promptTitle="📋 Mensaje de Resolución" prompt="Estimados,_x000a__x000a_Esto no corresponde a mantenimiento. Ver con sistemas._x000a__x000a_Saludos." sqref="O32" xr:uid="{00000000-0002-0000-0000-0000A3000000}">
      <formula1>TRUE</formula1>
    </dataValidation>
    <dataValidation type="custom" allowBlank="1" showInputMessage="1" promptTitle="📋 Mensaje de Resolución" prompt="Cafetera La Perla_x000a_Ticket número: 111046_x000a_Serie número: 1970905_x000a_Hora de servicios: 2h_x000a__x000a_Se encontró la cafetera con los cafés aguados._x000a_Se realizó una puesta cero y calibración de las moliendas mm1 y mm2. Cafés cálidad y espumoso._x000a_Se revisó todo lo que e" sqref="O33" xr:uid="{00000000-0002-0000-0000-0000A4000000}">
      <formula1>TRUE</formula1>
    </dataValidation>
    <dataValidation type="custom" allowBlank="1" showInputMessage="1" promptTitle="📋 Mensaje de Resolución" prompt="Estimados,_x000a__x000a_Esto fue resuelto por el local_x000a__x000a_Saludos." sqref="O34" xr:uid="{00000000-0002-0000-0000-0000A5000000}">
      <formula1>TRUE</formula1>
    </dataValidation>
    <dataValidation type="custom" allowBlank="1" showInputMessage="1" promptTitle="📋 Mensaje de Resolución" prompt="Se destrabo moliendas y se reviso la valvula de seguridad de la caldera por pérdida de vapor. También se observo que tira error 55 que se debe a la falla en la resistencia del grupo lo que no permite levantar temperatura en el grupo de la cafetera  y" sqref="O35" xr:uid="{00000000-0002-0000-0000-0000A6000000}">
      <formula1>TRUE</formula1>
    </dataValidation>
    <dataValidation type="custom" allowBlank="1" showInputMessage="1" promptTitle="📋 Mensaje de Resolución" prompt="Cafetera la plata 4_x000a_Tk n:111049/110923_x000a_Serie n:1856450_x000a_Hora de servicio: 3h30m_x000a__x000a_Se encontró con la cafetera destrabada._x000a_De igual manera se hizo una puesta cero y calibración de las dos moliendas._x000a_Pastillas salian muy grueso ya ok_x000a_Se observó una fuga " sqref="O36:O37" xr:uid="{00000000-0002-0000-0000-0000A7000000}">
      <formula1>TRUE</formula1>
    </dataValidation>
    <dataValidation type="custom" allowBlank="1" showInputMessage="1" promptTitle="📋 Mensaje de Resolución" prompt="Se cierra tk por falta de comunicacion_x000a__x000a_Saludos" sqref="O39" xr:uid="{00000000-0002-0000-0000-0000A9000000}">
      <formula1>TRUE</formula1>
    </dataValidation>
    <dataValidation type="custom" allowBlank="1" showInputMessage="1" promptTitle="📋 Mensaje de Resolución" prompt="Cafetera laferrere_x000a_Tk n: 110413_x000a_Serie n: 1970907_x000a_hora de servicio: 1h:30m_x000a__x000a_Cafetera se encontró con tolva mm2 trabada y leche fría._x000a_Se realizo puesta 0 y calibración de dicha molienda._x000a_Se realizó un lavado de todo el circuito de leche _x000a__x000a_Observaciones" sqref="O40" xr:uid="{00000000-0002-0000-0000-0000AA000000}">
      <formula1>TRUE</formula1>
    </dataValidation>
    <dataValidation type="custom" allowBlank="1" showInputMessage="1" promptTitle="📋 Mensaje de Resolución" prompt="Estimados,_x000a__x000a_Se cambia racor de cámara de grupo. También se destraba molienda mm1_x000a__x000a_Saludos" sqref="O41" xr:uid="{00000000-0002-0000-0000-0000AB000000}">
      <formula1>TRUE</formula1>
    </dataValidation>
    <dataValidation type="custom" allowBlank="1" showInputMessage="1" promptTitle="📋 Mensaje de Resolución" prompt="Cafetera Lanús _x000a_Número de ticket:112540_x000a_Número de serie:1856434_x000a_Hora de servicio:40m_x000a__x000a_Se encontró la cafetera con que salía leche.(solucionado por el local)_x000a_Se calibró leche y espuma._x000a_Se realizó calibración de la molienda mm1 ya que no salía en tiemp" sqref="O42" xr:uid="{00000000-0002-0000-0000-0000AC000000}">
      <formula1>TRUE</formula1>
    </dataValidation>
    <dataValidation type="custom" allowBlank="1" showInputMessage="1" promptTitle="📋 Mensaje de Resolución" prompt="Cafetera lanus (2 horas de trabajo)_x000a_Tiket#113030_x000a_Se realizó cambio de manguera azul, se realizó todos los lavados para verificar , no pierda y se calibro leche, falta filtro de leche al equipo,equipo operando con normalidad" sqref="O43" xr:uid="{00000000-0002-0000-0000-0000AD000000}">
      <formula1>TRUE</formula1>
    </dataValidation>
    <dataValidation type="custom" allowBlank="1" showInputMessage="1" promptTitle="📋 Mensaje de Resolución" prompt="Cafetera Liniers (2 horas de trabajo)_x000a_Cimbali 1842009_x000a_Tiket#110518_x000a_Se encontró mm1 trabada con café viejo y duro se realizó calibración y puesta cero, se encontró grupo con exceso de café tanto arriba como abajo, vaciar el cajón cuando el equipo lo p" sqref="O44" xr:uid="{00000000-0002-0000-0000-0000AE000000}">
      <formula1>TRUE</formula1>
    </dataValidation>
    <dataValidation type="custom" allowBlank="1" showInputMessage="1" promptTitle="📋 Mensaje de Resolución" prompt="Estimados,_x000a__x000a_Se destraban moliendas. Se recomienda cambio de lo siguiente: Cambio de kit pistón y grupo._x000a_Cambio de coolers ( debido a que el equipo sobrecalienta mucho causando condensación). _x000a_Cambio de spot (lanzador) de leche. _x000a__x000a_Saludos," sqref="O45" xr:uid="{00000000-0002-0000-0000-0000AF000000}">
      <formula1>TRUE</formula1>
    </dataValidation>
    <dataValidation type="custom" allowBlank="1" showInputMessage="1" promptTitle="📋 Mensaje de Resolución" prompt="Tiempo de servicio: 1 hr_x000a_Se destrabaron moliendas, se limpio y se calibraron ambas. En espera de repuestos para cerrar el tema" sqref="O46" xr:uid="{00000000-0002-0000-0000-0000B0000000}">
      <formula1>TRUE</formula1>
    </dataValidation>
    <dataValidation type="custom" allowBlank="1" showInputMessage="1" promptTitle="📋 Mensaje de Resolución" prompt="Cafetera Liniers_x000a_Ticket número:112385_x000a_Serie número:1842009_x000a_Hora de servicio: 2h:40m_x000a__x000a_Se encontró con la cafetera donde saltaba el diyuntor._x000a_Se encontró cables empalmados del protector térmico de la caldera grande costado derecho quemado._x000a_Conector mol" sqref="O47" xr:uid="{00000000-0002-0000-0000-0000B1000000}">
      <formula1>TRUE</formula1>
    </dataValidation>
    <dataValidation type="custom" allowBlank="1" showInputMessage="1" promptTitle="📋 Mensaje de Resolución" prompt="Tiempo de servicio: 3 hrs_x000a_Se encontró mangueras sueltas del barometro y lanza de vapor, se limpio todo el exceso de café en toda la cafetera. Se destrabo moliendas, se le realizo puesta a 0 y se calibraron. Se le reguló cantidad de café y presión de " sqref="O48" xr:uid="{00000000-0002-0000-0000-0000B2000000}">
      <formula1>TRUE</formula1>
    </dataValidation>
    <dataValidation type="custom" allowBlank="1" showInputMessage="1" promptTitle="📋 Mensaje de Resolución" prompt="Cafetera Liniers (5 horas de trabajo)_x000a_Tiket#113021_x000a_Cambio de kit de grupo completo y cooler, se calibro leche y quedó operando" sqref="O49" xr:uid="{00000000-0002-0000-0000-0000B3000000}">
      <formula1>TRUE</formula1>
    </dataValidation>
    <dataValidation type="custom" allowBlank="1" showInputMessage="1" promptTitle="📋 Mensaje de Resolución" prompt="Cartel colocado._x000a__x000a_Saludos." sqref="O50" xr:uid="{00000000-0002-0000-0000-0000B4000000}">
      <formula1>TRUE</formula1>
    </dataValidation>
    <dataValidation type="custom" allowBlank="1" showInputMessage="1" promptTitle="📋 Mensaje de Resolución" prompt="Cafetera Los Gallegos_x000a_Ticket número: 111057_x000a_Serie número: 2037121 / 2037121_x000a_Hora de servicio: 3h 20m_x000a__x000a_Cafetera 1_x000a__x000a_Se encontro la cafetera aguados, sin llenar los cafés y sin espuma._x000a_Se hizo una puesta 0 y calibración de las moliendas mm1 y mm2. Cafés" sqref="O51" xr:uid="{00000000-0002-0000-0000-0000B5000000}">
      <formula1>TRUE</formula1>
    </dataValidation>
    <dataValidation type="custom" allowBlank="1" showInputMessage="1" promptTitle="📋 Mensaje de Resolución" prompt="Cafetera Luján _x000a_Número de ticket:111762_x000a_Número de serie:no tiene_x000a_Hora de servicio: 2h30m_x000a__x000a_Se realizó una puesta 0 y calibración de las moliendas mm1 y mm2._x000a_Se revisó posible pérdida de agua y se encontró la manguera de cristal de desagote suelta moja" sqref="O52" xr:uid="{00000000-0002-0000-0000-0000B6000000}">
      <formula1>TRUE</formula1>
    </dataValidation>
    <dataValidation type="custom" allowBlank="1" showInputMessage="1" promptTitle="📋 Mensaje de Resolución" prompt="Resuelto por el local" sqref="O53 O68" xr:uid="{00000000-0002-0000-0000-0000B7000000}">
      <formula1>TRUE</formula1>
    </dataValidation>
    <dataValidation type="custom" allowBlank="1" showInputMessage="1" promptTitle="📋 Mensaje de Resolución" prompt="Resuelto atraves de ayudan remot" sqref="O54" xr:uid="{00000000-0002-0000-0000-0000B8000000}">
      <formula1>TRUE</formula1>
    </dataValidation>
    <dataValidation type="custom" allowBlank="1" showInputMessage="1" promptTitle="📋 Mensaje de Resolución" prompt="Se cierra tk ya que se encuentra triplicado. Saludos." sqref="O55:O56" xr:uid="{00000000-0002-0000-0000-0000B9000000}">
      <formula1>TRUE</formula1>
    </dataValidation>
    <dataValidation type="custom" allowBlank="1" showInputMessage="1" promptTitle="📋 Mensaje de Resolución" prompt="Paso el tecnico de Propios por el local y lo estaban viendo con Advance._x000a__x000a_Saludos," sqref="O57" xr:uid="{00000000-0002-0000-0000-0000BB000000}">
      <formula1>TRUE</formula1>
    </dataValidation>
    <dataValidation type="custom" allowBlank="1" showInputMessage="1" promptTitle="📋 Mensaje de Resolución" prompt="Cafetera Merlo_x000a_Ticket número:111623_x000a_Serie número: 1851681/ 1969719_x000a_Hora de servicio: 10h_x000a__x000a_Se hizo limpieza de las dos calderas, pescador lleno de sarro._x000a_Se hizo puesta cero y calibración de las moliendas mm1 y mm2 en las dos cafeteras._x000a_Se hizo una li" sqref="O58" xr:uid="{00000000-0002-0000-0000-0000BC000000}">
      <formula1>TRUE</formula1>
    </dataValidation>
    <dataValidation type="custom" allowBlank="1" showInputMessage="1" promptTitle="📋 Mensaje de Resolución" prompt="Cafetera Merlo_x000a_Ticket número:112537_x000a_Serie número:1969719/1851681_x000a_Hora de servicio: 2h30m_x000a__x000a_Se encontró con una cafetera sin temperatura y la otra sin que salga leche._x000a_Cafetera 1_x000a__x000a_Se reinició protector térmico de la caldera grande (ya pedido el repuest" sqref="O59" xr:uid="{00000000-0002-0000-0000-0000BD000000}">
      <formula1>TRUE</formula1>
    </dataValidation>
    <dataValidation type="custom" allowBlank="1" showInputMessage="1" promptTitle="📋 Mensaje de Resolución" prompt="Buenas tardes, nos confirman que no esta disponible el cartel luminoso, si lo reciben vuelvan a generar un nuevo ticket. Saludos," sqref="O60" xr:uid="{00000000-0002-0000-0000-0000BE000000}">
      <formula1>TRUE</formula1>
    </dataValidation>
    <dataValidation type="custom" allowBlank="1" showInputMessage="1" promptTitle="📋 Mensaje de Resolución" prompt="Cafetera Merlo_x000a_Número de ticket:112874_x000a_Número de serie:1969719/1851681_x000a_Hora de servicio:6h_x000a__x000a_Cafetera 1:_x000a_Se cambiaron repuestos:_x000a_ELF1_x000a_EM se intercambió por la EV_x000a_Flexible red de agua_x000a_Protector térmico _x000a__x000a_Repuestos:_x000a_-kit de moliendas_x000a__x000a_Cafetera operando." sqref="O61" xr:uid="{00000000-0002-0000-0000-0000BF000000}">
      <formula1>TRUE</formula1>
    </dataValidation>
    <dataValidation type="custom" allowBlank="1" showInputMessage="1" promptTitle="📋 Mensaje de Resolución" prompt="Estimados,_x000a__x000a_Se cierra tk._x000a__x000a_Saludos." sqref="O62" xr:uid="{00000000-0002-0000-0000-0000C0000000}">
      <formula1>TRUE</formula1>
    </dataValidation>
    <dataValidation type="custom" allowBlank="1" showInputMessage="1" promptTitle="📋 Mensaje de Resolución" prompt="Cafetera monte grande_x000a_Tk n:110366_x000a_Hora de servicio: 4h_x000a__x000a_Se encontró con la cafetera no levantaba temperatura y tenía poco caudal de agua._x000a_se limpió la caldera grande lleno de sarro._x000a_Se limpiaron 3 chicler de las válvulas evc y circuito de agua._x000a_Se ca" sqref="O63" xr:uid="{00000000-0002-0000-0000-0000C1000000}">
      <formula1>TRUE</formula1>
    </dataValidation>
    <dataValidation type="custom" allowBlank="1" showInputMessage="1" promptTitle="📋 Mensaje de Resolución" prompt="Tiempo de servicio: 11 hrs_x000a_Se reviso caldera, resistencia, valvula evc y se reviso cableado. Tenía una fase sulfatada y cortada dentro del toma corrientes lo que no permitía activar el llenado de la caldera y la resistencia se coloco el térmico super" sqref="O64" xr:uid="{00000000-0002-0000-0000-0000C2000000}">
      <formula1>TRUE</formula1>
    </dataValidation>
    <dataValidation type="custom" allowBlank="1" showInputMessage="1" promptTitle="📋 Mensaje de Resolución" prompt="El informe del 4 de febrero (Ticket #110366) para Monte Grande indica que se resolvieron los problemas de poco caudal de agua y la cafetera quedó &quot;operando&quot;. Posteriormente, el 10 de febrero (#111205), se ratifica que las cafeteras de ese local queda" sqref="O65" xr:uid="{00000000-0002-0000-0000-0000C3000000}">
      <formula1>TRUE</formula1>
    </dataValidation>
    <dataValidation type="custom" allowBlank="1" showInputMessage="1" promptTitle="📋 Mensaje de Resolución" prompt="Cafetera monte grande (3 horas de trabajo)_x000a_Cimbali 1970908_x000a_Tiket#113985_x000a_Se reviso equipo q no levantaba presión de caldera y según el local el equipo daba descargas, se fijó bien el cable a tierra, se conecto terminal suelto en parte inferior de la c" sqref="O66" xr:uid="{00000000-0002-0000-0000-0000C4000000}">
      <formula1>TRUE</formula1>
    </dataValidation>
    <dataValidation type="custom" allowBlank="1" showInputMessage="1" promptTitle="📋 Mensaje de Resolución" prompt="Cafetera once (2horas de trabajo)_x000a_Cimbali 1969712_x000a_Tiket#110153_x000a_Se encontro cafetera con mucha humedad en tolvas y tapa superior, tobogán tapado y obstruido por café húmedo, se realizó una limpieza, puesta cero y calibración del equipo, encontrando mu" sqref="O67" xr:uid="{00000000-0002-0000-0000-0000C5000000}">
      <formula1>TRUE</formula1>
    </dataValidation>
    <dataValidation type="custom" allowBlank="1" showInputMessage="1" promptTitle="📋 Mensaje de Resolución" prompt="Estimados, _x000a__x000a_Ya se encuentra realizado un tk por el mismo tema. Por favor no duplicarlos y hacerlos en la categoria correspondiente._x000a__x000a_Saludos," sqref="O69" xr:uid="{00000000-0002-0000-0000-0000C7000000}">
      <formula1>TRUE</formula1>
    </dataValidation>
    <dataValidation type="custom" allowBlank="1" showInputMessage="1" promptTitle="📋 Mensaje de Resolución" prompt="Estimados,_x000a__x000a_Se cierra tk ya que se encuentra triplicado._x000a__x000a_Saludos." sqref="O70" xr:uid="{00000000-0002-0000-0000-0000C8000000}">
      <formula1>TRUE</formula1>
    </dataValidation>
    <dataValidation type="custom" allowBlank="1" showInputMessage="1" promptTitle="📋 Mensaje de Resolución" prompt="Cafetera once_x000a_Ticket número:111777_x000a_Serie número:1969712_x000a_Hora de servicio: 1h_x000a__x000a_Se hizo un lavado de todo el circuito de leche._x000a_Se calibró espuma y leche._x000a__x000a_Observaciones: _x000a_-elf 3 en desuso_x000a_-Sin filtro de leche al momento de llegar_x000a__x000a_Repuesto:_x000a_-Elf3_x000a__x000a_Caf" sqref="O71" xr:uid="{00000000-0002-0000-0000-0000C9000000}">
      <formula1>TRUE</formula1>
    </dataValidation>
    <dataValidation type="custom" allowBlank="1" showInputMessage="1" promptTitle="📋 Mensaje de Resolución" prompt="Cafetera once_x000a_Número de ticket:112622_x000a_Número de serie:1969712_x000a_Hora de servicio: 3h_x000a__x000a_Se encontró el pistón inferior todo desarmado, se sustrajo grupo y se intentó armar nuevamente pero hace falta prisionero para que trabe y pueda bajar y subir el grup" sqref="O72" xr:uid="{00000000-0002-0000-0000-0000CA000000}">
      <formula1>TRUE</formula1>
    </dataValidation>
    <dataValidation type="custom" allowBlank="1" showInputMessage="1" promptTitle="📋 Mensaje de Resolución" prompt="Solucionado por el coordinador de mantenimiento Nahuel ." sqref="O73" xr:uid="{00000000-0002-0000-0000-0000CB000000}">
      <formula1>TRUE</formula1>
    </dataValidation>
    <dataValidation type="custom" allowBlank="1" showInputMessage="1" promptTitle="📋 Mensaje de Resolución" prompt="Cafetera Once_x000a_Número de ticket:112834_x000a_Número de serie:1969712_x000a_Hora de servicio:2h_x000a__x000a_Se intercambio repuesto pistón inferior, orrings y se colocó correctamente el prisionero._x000a_Se revisó circuito de leche ya que no salía._x000a_Válvula ED estaba desconectados " sqref="O74" xr:uid="{00000000-0002-0000-0000-0000CC000000}">
      <formula1>TRUE</formula1>
    </dataValidation>
    <dataValidation type="custom" allowBlank="1" showInputMessage="1" promptTitle="📋 Mensaje de Resolución" prompt="Estimados,_x000a__x000a_Esto fue resuelto por Service Partner_x000a__x000a_Saludos." sqref="O75" xr:uid="{00000000-0002-0000-0000-0000CD000000}">
      <formula1>TRUE</formula1>
    </dataValidation>
    <dataValidation type="custom" allowBlank="1" showInputMessage="1" promptTitle="📋 Mensaje de Resolución" prompt="Estimados,_x000a__x000a_Se habla con Raul y comenta que esto fue resuelto._x000a__x000a_Saludos." sqref="O76" xr:uid="{00000000-0002-0000-0000-0000CE000000}">
      <formula1>TRUE</formula1>
    </dataValidation>
    <dataValidation type="custom" allowBlank="1" showInputMessage="1" promptTitle="📋 Mensaje de Resolución" prompt="Cafetera Palmas del Pilar_x000a_Número de ticket:112975_x000a_Número de serie:1842014_x000a_Horario de servicio:30m_x000a__x000a_Se realizó puesta 0 y calibración de las moliendas mm1 y mm2._x000a_Se hizo limpieza del grupo pistón superior como inferior._x000a__x000a_Cafetera operando." sqref="O77" xr:uid="{00000000-0002-0000-0000-0000CF000000}">
      <formula1>TRUE</formula1>
    </dataValidation>
    <dataValidation type="custom" allowBlank="1" showInputMessage="1" promptTitle="📋 Mensaje de Resolución" prompt="Cafetera Paseo Aldrey_x000a_Ticket número:111049_x000a_Serie número:1841653_x000a_Hora de servicio: 6h_x000a__x000a_Realizando la puesta 0 y calibración de la molienda mm1 y molienda mm2 , saltó el diyuntor por un mal empalme de que ya tenía e hizo maza con la tapa._x000a_Se empalmó co" sqref="O78" xr:uid="{00000000-0002-0000-0000-0000D0000000}">
      <formula1>TRUE</formula1>
    </dataValidation>
    <dataValidation type="custom" allowBlank="1" showInputMessage="1" promptTitle="📋 Mensaje de Resolución" prompt="Estimados _x000a__x000a_Se cierra tk ya que se estará realizando con mantenimiento de propios._x000a__x000a_Saludos" sqref="O79" xr:uid="{00000000-0002-0000-0000-0000D1000000}">
      <formula1>TRUE</formula1>
    </dataValidation>
    <dataValidation type="custom" allowBlank="1" showInputMessage="1" promptTitle="📋 Mensaje de Resolución" prompt="Estimados,_x000a__x000a_Se destraba molienda y se calibra equipo_x000a__x000a_Saludos." sqref="O80" xr:uid="{00000000-0002-0000-0000-0000D2000000}">
      <formula1>TRUE</formula1>
    </dataValidation>
    <dataValidation type="custom" allowBlank="1" showInputMessage="1" promptTitle="📋 Mensaje de Resolución" prompt="Cafetera Pompeya _x000a_Ticket número:112258_x000a_Serie número:1841251_x000a_Hora de servicio: 1h:30m_x000a__x000a_Se realizó una puesta cero y calibración de moliendas de la mm1 y mm2._x000a_Se calibró leche y espuma._x000a_Armazón colocado._x000a__x000a__x000a_Observaciones:_x000a_-se recomienda cambiar molienda" sqref="O81" xr:uid="{00000000-0002-0000-0000-0000D3000000}">
      <formula1>TRUE</formula1>
    </dataValidation>
    <dataValidation type="custom" allowBlank="1" showInputMessage="1" promptTitle="📋 Mensaje de Resolución" prompt="Buen dia, la instalacion fue realizada ayer por Nahuel." sqref="O82" xr:uid="{00000000-0002-0000-0000-0000D4000000}">
      <formula1>TRUE</formula1>
    </dataValidation>
    <dataValidation type="custom" allowBlank="1" showInputMessage="1" promptTitle="📋 Mensaje de Resolución" prompt="Buen dia, la instalacion fue realizada ayer por Nahuel" sqref="O83" xr:uid="{00000000-0002-0000-0000-0000D5000000}">
      <formula1>TRUE</formula1>
    </dataValidation>
    <dataValidation type="custom" allowBlank="1" showInputMessage="1" promptTitle="📋 Mensaje de Resolución" prompt="Instalacion realizada" sqref="O84" xr:uid="{00000000-0002-0000-0000-0000D6000000}">
      <formula1>TRUE</formula1>
    </dataValidation>
    <dataValidation type="custom" allowBlank="1" showInputMessage="1" promptTitle="📋 Mensaje de Resolución" prompt="Resuelto por Francisco_x000a__x000a_Saludos." sqref="O85" xr:uid="{00000000-0002-0000-0000-0000D7000000}">
      <formula1>TRUE</formula1>
    </dataValidation>
    <dataValidation type="custom" allowBlank="1" showInputMessage="1" promptTitle="📋 Mensaje de Resolución" prompt="Resuelto telefónicamente" sqref="O86 O122" xr:uid="{00000000-0002-0000-0000-0000D8000000}">
      <formula1>TRUE</formula1>
    </dataValidation>
    <dataValidation type="custom" allowBlank="1" showInputMessage="1" promptTitle="📋 Mensaje de Resolución" prompt="Estimados, _x000a__x000a_Se hablo con Rocio. Se cierra tk._x000a__x000a_Saludos." sqref="O88" xr:uid="{00000000-0002-0000-0000-0000D9000000}">
      <formula1>TRUE</formula1>
    </dataValidation>
    <dataValidation type="custom" allowBlank="1" showInputMessage="1" promptTitle="📋 Mensaje de Resolución" prompt="Estimados,_x000a__x000a_Se hablo con Rocio y se desestima esta solicitud_x000a__x000a_Saludos." sqref="O89" xr:uid="{00000000-0002-0000-0000-0000DA000000}">
      <formula1>TRUE</formula1>
    </dataValidation>
    <dataValidation type="custom" allowBlank="1" showInputMessage="1" promptTitle="📋 Mensaje de Resolución" prompt="Estimados,_x000a__x000a_Se coloca portarrollos usado._x000a__x000a_Saludos." sqref="O90" xr:uid="{00000000-0002-0000-0000-0000DB000000}">
      <formula1>TRUE</formula1>
    </dataValidation>
    <dataValidation type="custom" allowBlank="1" showInputMessage="1" promptTitle="📋 Mensaje de Resolución" prompt="Cafetera quilmes peatonal _x000a_Tk n:110811_x000a_Hora de servicio: 1h_x000a__x000a_Se encontró con la cafetera operando se supone que la destrabaron el local._x000a_De igual manera se hizo una puesta cero y calibración de las dos moliendas ya que no salían con la calidad corres" sqref="O91" xr:uid="{00000000-0002-0000-0000-0000DC000000}">
      <formula1>TRUE</formula1>
    </dataValidation>
    <dataValidation type="custom" allowBlank="1" showInputMessage="1" promptTitle="📋 Mensaje de Resolución" prompt="Estimados,_x000a__x000a_Esto fue resuelto por proveedor externo._x000a__x000a_Saludos." sqref="O92" xr:uid="{00000000-0002-0000-0000-0000DD000000}">
      <formula1>TRUE</formula1>
    </dataValidation>
    <dataValidation type="custom" allowBlank="1" showInputMessage="1" promptTitle="📋 Mensaje de Resolución" prompt="Tiempo de servicio: 20min_x000a_La cafetera se encontraba con la tolva sin trabar por lo que no activaban los sensores y las moliendas no arrancabanse. Se dejó calibrada" sqref="O93" xr:uid="{00000000-0002-0000-0000-0000DE000000}">
      <formula1>TRUE</formula1>
    </dataValidation>
    <dataValidation type="custom" allowBlank="1" showInputMessage="1" promptTitle="📋 Mensaje de Resolución" prompt="Tiempo de servicio: 1hr_x000a__x000a_Se destrabo, limpio y calibraron moliendas de la cafetera, se encontró café.duro y húmedo. Se vuelve a solicitar tapón superior de caldera ya que la perdida es mayor que antes y afecta en l aoperacion de la cafetera _x000a_Repuesto" sqref="O94" xr:uid="{00000000-0002-0000-0000-0000DF000000}">
      <formula1>TRUE</formula1>
    </dataValidation>
    <dataValidation type="custom" allowBlank="1" showInputMessage="1" promptTitle="📋 Mensaje de Resolución" prompt="A cargo de facility" sqref="O95 O97" xr:uid="{00000000-0002-0000-0000-0000E0000000}">
      <formula1>TRUE</formula1>
    </dataValidation>
    <dataValidation type="custom" allowBlank="1" showInputMessage="1" promptTitle="📋 Mensaje de Resolución" prompt="Pedir a depo" sqref="O96" xr:uid="{00000000-0002-0000-0000-0000E1000000}">
      <formula1>TRUE</formula1>
    </dataValidation>
    <dataValidation type="custom" allowBlank="1" showInputMessage="1" promptTitle="📋 Mensaje de Resolución" prompt="Tkt abierto en categoría baja" sqref="O99" xr:uid="{00000000-0002-0000-0000-0000E3000000}">
      <formula1>TRUE</formula1>
    </dataValidation>
    <dataValidation type="custom" allowBlank="1" showInputMessage="1" promptTitle="📋 Mensaje de Resolución" prompt="Se arreglo cableado haciendo masa con la chapa del frezzer" sqref="O100" xr:uid="{00000000-0002-0000-0000-0000E4000000}">
      <formula1>TRUE</formula1>
    </dataValidation>
    <dataValidation type="custom" allowBlank="1" showInputMessage="1" promptTitle="📋 Mensaje de Resolución" prompt="El cableado está bien, la ficha de entrada de la fuente cpu esta falseado. Se verifico cambiando el cable hdmi por uno nuevo y la falla persiste" sqref="O101" xr:uid="{00000000-0002-0000-0000-0000E5000000}">
      <formula1>TRUE</formula1>
    </dataValidation>
    <dataValidation type="custom" allowBlank="1" showInputMessage="1" promptTitle="📋 Mensaje de Resolución" prompt="Se cambiaron azulejos en la entrada de los baños. Los demás se encarga facility" sqref="O102" xr:uid="{00000000-0002-0000-0000-0000E6000000}">
      <formula1>TRUE</formula1>
    </dataValidation>
    <dataValidation type="custom" allowBlank="1" showInputMessage="1" promptTitle="📋 Mensaje de Resolución" prompt="Trabajo realizado por facility" sqref="O103" xr:uid="{00000000-0002-0000-0000-0000E7000000}">
      <formula1>TRUE</formula1>
    </dataValidation>
    <dataValidation type="custom" allowBlank="1" showInputMessage="1" promptTitle="📋 Mensaje de Resolución" prompt="Se cambiaron luces de baños, lobby superior e inferior" sqref="O104" xr:uid="{00000000-0002-0000-0000-0000E8000000}">
      <formula1>TRUE</formula1>
    </dataValidation>
    <dataValidation type="custom" allowBlank="1" showInputMessage="1" promptTitle="📋 Mensaje de Resolución" prompt="Estimados,_x000a__x000a_Se reemplaza bomba de leche. Se envia presupuesto a Sabrina por valvula ESM y EM. _x000a_Una vez que cuenten con dichos repuestos, por favor generar el tk para ir a colocar las valvulas._x000a__x000a_Saludos." sqref="O105" xr:uid="{00000000-0002-0000-0000-0000E9000000}">
      <formula1>TRUE</formula1>
    </dataValidation>
    <dataValidation type="custom" allowBlank="1" showInputMessage="1" promptTitle="📋 Mensaje de Resolución" prompt="Estimados, _x000a__x000a_Esto fue resuelto por Francisco_x000a__x000a_Saludos." sqref="O106" xr:uid="{00000000-0002-0000-0000-0000EA000000}">
      <formula1>TRUE</formula1>
    </dataValidation>
    <dataValidation type="custom" allowBlank="1" showInputMessage="1" promptTitle="📋 Mensaje de Resolución" prompt="Estimados,_x000a__x000a_Esto fue resuelto por Sabrina. Se cargaron las recetas nuevamente_x000a__x000a_Saludos." sqref="O107" xr:uid="{00000000-0002-0000-0000-0000EB000000}">
      <formula1>TRUE</formula1>
    </dataValidation>
    <dataValidation type="custom" allowBlank="1" showInputMessage="1" promptTitle="📋 Mensaje de Resolución" prompt="Estimados,_x000a__x000a_Esto fue resuelto por Francisco Rametta_x000a__x000a_Saludos." sqref="O108" xr:uid="{00000000-0002-0000-0000-0000EC000000}">
      <formula1>TRUE</formula1>
    </dataValidation>
    <dataValidation type="custom" allowBlank="1" showInputMessage="1" promptTitle="📋 Mensaje de Resolución" prompt="Tiempo de servicio: 1;40hrs_x000a__x000a_La cafetera tenía problemas con la espuma de leche y la salida de la misma ya que a la hora de sacar algún café con leche solamente salía vapor. Se le limpio el chicler el cual estaba tapado con leche condensada, se le re" sqref="O110" xr:uid="{00000000-0002-0000-0000-0000EE000000}">
      <formula1>TRUE</formula1>
    </dataValidation>
    <dataValidation type="custom" allowBlank="1" showInputMessage="1" promptTitle="📋 Mensaje de Resolución" prompt="Cafetera San Fernando _x000a_Ticket número:112536_x000a_Serie número:1851676_x000a_Hora de servicio: 30m_x000a__x000a_Se encontró empalme del protector térmico quemado eso hacía que salte diyuntor o que haga falso contacto y el equipo no levante del todo la temperatura._x000a_Se recomi" sqref="O111" xr:uid="{00000000-0002-0000-0000-0000EF000000}">
      <formula1>TRUE</formula1>
    </dataValidation>
    <dataValidation type="custom" allowBlank="1" showInputMessage="1" promptTitle="📋 Mensaje de Resolución" prompt="Cafetera San Fernando_x000a_Número de ticket:112948_x000a_Número de serie:1851676_x000a_Hora de servicio:1h30m_x000a__x000a_Se encontró la cafetera con los cafés aguados y sin espuma._x000a_Se realizó una puesta 0 y calibración de las moliendas mm1 y mm2._x000a_Se hizo una limpieza del chicl" sqref="O112" xr:uid="{00000000-0002-0000-0000-0000F0000000}">
      <formula1>TRUE</formula1>
    </dataValidation>
    <dataValidation type="custom" allowBlank="1" showInputMessage="1" promptTitle="📋 Mensaje de Resolución" prompt="Estimados, _x000a__x000a_Se cambia piston superior y malla metalica el mismo,_x000a__x000a_Saludos." sqref="O113" xr:uid="{00000000-0002-0000-0000-0000F1000000}">
      <formula1>TRUE</formula1>
    </dataValidation>
    <dataValidation type="custom" allowBlank="1" showInputMessage="1" promptTitle="📋 Mensaje de Resolución" prompt="Estimados,_x000a__x000a_Se cierra tk ya que se encuentra duplicado._x000a__x000a_Saludos" sqref="O114" xr:uid="{00000000-0002-0000-0000-0000F2000000}">
      <formula1>TRUE</formula1>
    </dataValidation>
    <dataValidation type="custom" allowBlank="1" showInputMessage="1" promptTitle="📋 Mensaje de Resolución" prompt="Cafetera san justo peatonal ( 3 horas de trabajo)_x000a_Cimbali 1840208_x000a_Tiket#110740_x000a_Se encontró cafetera tirando error 8 se extrajo grupo y limpio todos los sensores, desapareció la falla, se encontró pequeña pérdida de agua del lado derecho debido a la m" sqref="O115" xr:uid="{00000000-0002-0000-0000-0000F3000000}">
      <formula1>TRUE</formula1>
    </dataValidation>
    <dataValidation type="custom" allowBlank="1" showInputMessage="1" promptTitle="📋 Mensaje de Resolución" prompt="Freidora san justo peatonal (1 hora de trabajo)_x000a_Tiket#110919_x000a_Se colocó timer nuevo a freidora ig doble cesta, se pusieron los tornillos faltantes y toma, ser realizó prueba y funciona todo , equipo operando." sqref="O116" xr:uid="{00000000-0002-0000-0000-0000F4000000}">
      <formula1>TRUE</formula1>
    </dataValidation>
    <dataValidation type="custom" allowBlank="1" showInputMessage="1" promptTitle="📋 Mensaje de Resolución" prompt="Cafetera San justo 3_x000a_Ticket número: 111964_x000a_Serie número :1840208/2033462_x000a_Hora de servicio :2h 30m_x000a__x000a_Cafetera 1 lado derecho mostrador:_x000a_Se cargó receta y se realizó puesta cero y calibración de las moliendas mm1 y mm2._x000a_Se encontró una pequeña fuga de a" sqref="O117" xr:uid="{00000000-0002-0000-0000-0000F5000000}">
      <formula1>TRUE</formula1>
    </dataValidation>
    <dataValidation type="custom" allowBlank="1" showInputMessage="1" promptTitle="📋 Mensaje de Resolución" prompt="Buenas, tienen que conseguir la manguera de cristal ya dicho en el informe técnico anterior." sqref="O118" xr:uid="{00000000-0002-0000-0000-0000F6000000}">
      <formula1>TRUE</formula1>
    </dataValidation>
    <dataValidation type="custom" allowBlank="1" showInputMessage="1" promptTitle="📋 Mensaje de Resolución" prompt="La cafetera q no calienta fue solucionado por el local, habui saltado el protector termico en cuanto a la cafetera de al lado q no le salía leche tenía, el difusor de leche sucio, y válvula esm trabada y sucia lo cual no dejaba sacar leche, equipo op" sqref="O120" xr:uid="{00000000-0002-0000-0000-0000F7000000}">
      <formula1>TRUE</formula1>
    </dataValidation>
    <dataValidation type="custom" allowBlank="1" showInputMessage="1" promptTitle="📋 Mensaje de Resolución" prompt="Cafetera San Martín Peatonal_x000a_Número de ticket:112937_x000a_Número de serie:2107577_x000a_Horario de servicio:2h_x000a__x000a_Se encontró la cafetera con error 8._x000a_se realizó una limpieza de grupo, sensores y finales de carrera ya que se encontraba todo lleno de café._x000a_Se real" sqref="O121" xr:uid="{00000000-0002-0000-0000-0000F8000000}">
      <formula1>TRUE</formula1>
    </dataValidation>
    <dataValidation type="custom" allowBlank="1" showInputMessage="1" promptTitle="📋 Mensaje de Resolución" prompt="Se realizó cambio de kit orings" sqref="O123" xr:uid="{00000000-0002-0000-0000-0000FA000000}">
      <formula1>TRUE</formula1>
    </dataValidation>
    <dataValidation type="custom" allowBlank="1" showInputMessage="1" promptTitle="📋 Mensaje de Resolución" prompt="Estimados, _x000a__x000a_Tratamos de ponernos en contacto, pero no tuvimos respuesta._x000a__x000a_Saludos." sqref="O124" xr:uid="{00000000-0002-0000-0000-0000FB000000}">
      <formula1>TRUE</formula1>
    </dataValidation>
    <dataValidation type="custom" allowBlank="1" showInputMessage="1" promptTitle="📋 Mensaje de Resolución" prompt="Estimados,_x000a__x000a_Se habla con Mayra y comenta que esto fue resuelto._x000a__x000a_Saludos." sqref="O125" xr:uid="{00000000-0002-0000-0000-0000FC000000}">
      <formula1>TRUE</formula1>
    </dataValidation>
    <dataValidation type="custom" allowBlank="1" showInputMessage="1" promptTitle="📋 Mensaje de Resolución" prompt="Se realizo asistencia remota, se observo que la cafetera tiene tapado el pescador de la caldera ya que no estaba lanzando buena cantidad de agua por la lanza de te y no permite terminar el lavado." sqref="O126" xr:uid="{00000000-0002-0000-0000-0000FD000000}">
      <formula1>TRUE</formula1>
    </dataValidation>
    <dataValidation type="custom" allowBlank="1" showInputMessage="1" promptTitle="📋 Mensaje de Resolución" prompt="Estimados, _x000a__x000a_Se da asistencia por llamada. El dia Martes se estara indicando como realizar una puesta a cero_x000a__x000a_Saludos" sqref="O127" xr:uid="{00000000-0002-0000-0000-0000FE000000}">
      <formula1>TRUE</formula1>
    </dataValidation>
    <dataValidation type="custom" allowBlank="1" showInputMessage="1" promptTitle="📋 Mensaje de Resolución" prompt="Buenas tardes, nos confirman que lo estan resolviendo con personal externo. Saludos." sqref="O128" xr:uid="{00000000-0002-0000-0000-0000FF000000}">
      <formula1>TRUE</formula1>
    </dataValidation>
    <dataValidation type="custom" allowBlank="1" showInputMessage="1" promptTitle="📋 Mensaje de Resolución" prompt="Cafetera villa del parque ( 1 hora de trabajo)_x000a_Cimbali 2095734_x000a_Tiket#110627_x000a_Se encontró madera en mm2, se realizó puesta cero y calibración en ambas muelas, se realizó limpieza de grupo tanto súperior como inferior ya q se encontraba con mucho excede" sqref="O129" xr:uid="{00000000-0002-0000-0000-000000010000}">
      <formula1>TRUE</formula1>
    </dataValidation>
    <dataValidation type="custom" allowBlank="1" showInputMessage="1" promptTitle="📋 Mensaje de Resolución" prompt="Estimados,_x000a__x000a_Esto fue resuelto por Fernando Soria._x000a__x000a_Saludos." sqref="O130" xr:uid="{00000000-0002-0000-0000-000001010000}">
      <formula1>TRUE</formula1>
    </dataValidation>
    <dataValidation type="custom" allowBlank="1" showInputMessage="1" promptTitle="📋 Observaciones_Audit" prompt="Skill: Resolución | Skill: Reglas Técnicas" sqref="AB93:AB94 AB66:AB67 AB64 AB48:AB49 AB46 AB43 AB24 AB19:AB21 AB15 AB9 AB2:AB3" xr:uid="{00000000-0002-0000-0000-000002010000}">
      <formula1>TRUE</formula1>
    </dataValidation>
    <dataValidation type="custom" allowBlank="1" showInputMessage="1" promptTitle="📋 Observaciones_Audit" prompt="Skill: Reglas Técnicas" sqref="AB130 AB121:AB128 AB117:AB119 AB111:AB113 AB95:AB108 AB71:AB92 AB69 AB65 AB57:AB61 AB54 AB50:AB52 AB47 AB45 AB41 AB36:AB39 AB30:AB33 AB28 AB26 AB22:AB23 AB16:AB18 AB10:AB11 AB4:AB7" xr:uid="{00000000-0002-0000-0000-000004010000}">
      <formula1>TRUE</formula1>
    </dataValidation>
    <dataValidation type="custom" allowBlank="1" showInputMessage="1" promptTitle="📋 Observaciones_Audit" prompt="Skill: Base Técnicos | Skill: Resolución | Skill: Chat | Skill: Reglas Técnicas" sqref="AB8 AB129 AB44 AB25" xr:uid="{00000000-0002-0000-0000-000008010000}">
      <formula1>TRUE</formula1>
    </dataValidation>
    <dataValidation type="custom" allowBlank="1" showInputMessage="1" promptTitle="📋 Observaciones_Audit" prompt="Ticket Repetido/Duplicado" sqref="AB12 AB114 AB70 AB55:AB56" xr:uid="{00000000-0002-0000-0000-00000C010000}">
      <formula1>TRUE</formula1>
    </dataValidation>
    <dataValidation type="custom" allowBlank="1" showInputMessage="1" promptTitle="📋 Observaciones_Audit" prompt="Skill: Base Técnicos | Skill: Reglas Técnicas" sqref="AB13 AB63 AB40 AB35 AB29" xr:uid="{00000000-0002-0000-0000-00000D010000}">
      <formula1>TRUE</formula1>
    </dataValidation>
    <dataValidation type="custom" allowBlank="1" showInputMessage="1" promptTitle="📋 Observaciones_Audit" prompt="Skill: Base Técnicos | Skill: Resolución | Skill: Reglas Técnicas" sqref="AB14 AB110" xr:uid="{00000000-0002-0000-0000-00000E010000}">
      <formula1>TRUE</formula1>
    </dataValidation>
    <dataValidation type="custom" allowBlank="1" showInputMessage="1" promptTitle="📋 Observaciones_Audit" prompt="Skill: Resolución | Skill: Chat | Skill: Reglas Técnicas" sqref="AB27 AB115:AB116" xr:uid="{00000000-0002-0000-0000-00001B010000}">
      <formula1>TRUE</formula1>
    </dataValidation>
    <dataValidation type="custom" allowBlank="1" showInputMessage="1" promptTitle="📋 Observaciones_Audit" prompt="Resuelto por el Local (0 HS)" sqref="AB34 AB120 AB68 AB62 AB53 AB42" xr:uid="{00000000-0002-0000-0000-000022010000}">
      <formula1>TRUE</formula1>
    </dataValidation>
    <dataValidation type="custom" allowBlank="1" showInputMessage="1" promptTitle="📋 Observaciones_Audit" prompt="Skill: Base Técnicos | Skill: Chat | Skill: Reglas Técnicas" sqref="AB109" xr:uid="{00000000-0002-0000-0000-00006D010000}">
      <formula1>TRUE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Auditoria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Cristian Merlo</cp:lastModifiedBy>
  <dcterms:created xsi:type="dcterms:W3CDTF">2026-03-05T00:01:55Z</dcterms:created>
  <dcterms:modified xsi:type="dcterms:W3CDTF">2026-03-12T18:34:36Z</dcterms:modified>
</cp:coreProperties>
</file>