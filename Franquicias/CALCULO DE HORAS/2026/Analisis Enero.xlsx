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R1S714N/Documents/Repositorios GitHub/Franquicias/CALCULO DE HORAS/2026/"/>
    </mc:Choice>
  </mc:AlternateContent>
  <xr:revisionPtr revIDLastSave="0" documentId="13_ncr:1_{AD126E21-F875-F24C-B29C-886691FCC78F}" xr6:coauthVersionLast="47" xr6:coauthVersionMax="47" xr10:uidLastSave="{00000000-0000-0000-0000-000000000000}"/>
  <bookViews>
    <workbookView xWindow="80" yWindow="560" windowWidth="27700" windowHeight="15940" xr2:uid="{977EE619-172F-45F4-82D2-63D62265586E}"/>
  </bookViews>
  <sheets>
    <sheet name="ANALISIS ENERO" sheetId="5" r:id="rId1"/>
    <sheet name="ENERO" sheetId="4" r:id="rId2"/>
    <sheet name="GRAFICOS" sheetId="6" r:id="rId3"/>
    <sheet name="BASE TICKETS" sheetId="7" r:id="rId4"/>
    <sheet name="Margen de ganancia" sheetId="1" r:id="rId5"/>
    <sheet name="REPUESTOS" sheetId="3" r:id="rId6"/>
  </sheets>
  <definedNames>
    <definedName name="_xlnm._FilterDatabase" localSheetId="4" hidden="1">'Margen de ganancia'!$A$1:$I$71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5" l="1"/>
  <c r="V195" i="7"/>
  <c r="V194" i="7"/>
  <c r="U192" i="7"/>
  <c r="U193" i="7" s="1"/>
  <c r="U196" i="7" s="1"/>
  <c r="U198" i="7" s="1"/>
  <c r="V191" i="7"/>
  <c r="V190" i="7"/>
  <c r="V189" i="7"/>
  <c r="V188" i="7"/>
  <c r="V187" i="7"/>
  <c r="V186" i="7"/>
  <c r="V185" i="7"/>
  <c r="V184" i="7"/>
  <c r="V183" i="7"/>
  <c r="V182" i="7"/>
  <c r="V181" i="7"/>
  <c r="V180" i="7"/>
  <c r="V179" i="7"/>
  <c r="V178" i="7"/>
  <c r="V177" i="7"/>
  <c r="V176" i="7"/>
  <c r="V175" i="7"/>
  <c r="V174" i="7"/>
  <c r="V173" i="7"/>
  <c r="V172" i="7"/>
  <c r="V171" i="7"/>
  <c r="V170" i="7"/>
  <c r="V169" i="7"/>
  <c r="V168" i="7"/>
  <c r="V167" i="7"/>
  <c r="V166" i="7"/>
  <c r="V165" i="7"/>
  <c r="V164" i="7"/>
  <c r="V163" i="7"/>
  <c r="V162" i="7"/>
  <c r="V161" i="7"/>
  <c r="V160" i="7"/>
  <c r="V159" i="7"/>
  <c r="V158" i="7"/>
  <c r="V157" i="7"/>
  <c r="V156" i="7"/>
  <c r="V155" i="7"/>
  <c r="V154" i="7"/>
  <c r="V153" i="7"/>
  <c r="V152" i="7"/>
  <c r="V151" i="7"/>
  <c r="V150" i="7"/>
  <c r="V149" i="7"/>
  <c r="V148" i="7"/>
  <c r="V147" i="7"/>
  <c r="V146" i="7"/>
  <c r="V145" i="7"/>
  <c r="V144" i="7"/>
  <c r="V143" i="7"/>
  <c r="V142" i="7"/>
  <c r="V141" i="7"/>
  <c r="V140" i="7"/>
  <c r="V139" i="7"/>
  <c r="V138" i="7"/>
  <c r="V137" i="7"/>
  <c r="V136" i="7"/>
  <c r="V135" i="7"/>
  <c r="V134" i="7"/>
  <c r="V133" i="7"/>
  <c r="V132" i="7"/>
  <c r="V131" i="7"/>
  <c r="V130" i="7"/>
  <c r="V129" i="7"/>
  <c r="V128" i="7"/>
  <c r="V127" i="7"/>
  <c r="V126" i="7"/>
  <c r="V125" i="7"/>
  <c r="V124" i="7"/>
  <c r="V123" i="7"/>
  <c r="V122" i="7"/>
  <c r="V121" i="7"/>
  <c r="V120" i="7"/>
  <c r="V119" i="7"/>
  <c r="V118" i="7"/>
  <c r="V117" i="7"/>
  <c r="V116" i="7"/>
  <c r="V115" i="7"/>
  <c r="V114" i="7"/>
  <c r="V113" i="7"/>
  <c r="V112" i="7"/>
  <c r="V111" i="7"/>
  <c r="V110" i="7"/>
  <c r="V109" i="7"/>
  <c r="V108" i="7"/>
  <c r="V107" i="7"/>
  <c r="V106" i="7"/>
  <c r="V105" i="7"/>
  <c r="V104" i="7"/>
  <c r="V103" i="7"/>
  <c r="V102" i="7"/>
  <c r="V101" i="7"/>
  <c r="V100" i="7"/>
  <c r="V99" i="7"/>
  <c r="V98" i="7"/>
  <c r="V97" i="7"/>
  <c r="V96" i="7"/>
  <c r="V95" i="7"/>
  <c r="V94" i="7"/>
  <c r="V93" i="7"/>
  <c r="V92" i="7"/>
  <c r="V91" i="7"/>
  <c r="V90" i="7"/>
  <c r="V89" i="7"/>
  <c r="V88" i="7"/>
  <c r="V87" i="7"/>
  <c r="V86" i="7"/>
  <c r="V85" i="7"/>
  <c r="V84" i="7"/>
  <c r="V83" i="7"/>
  <c r="V82" i="7"/>
  <c r="V81" i="7"/>
  <c r="V80" i="7"/>
  <c r="V79" i="7"/>
  <c r="V78" i="7"/>
  <c r="V77" i="7"/>
  <c r="V76" i="7"/>
  <c r="V75" i="7"/>
  <c r="V74" i="7"/>
  <c r="V73" i="7"/>
  <c r="V72" i="7"/>
  <c r="V71" i="7"/>
  <c r="V70" i="7"/>
  <c r="V69" i="7"/>
  <c r="V68" i="7"/>
  <c r="V67" i="7"/>
  <c r="V66" i="7"/>
  <c r="V65" i="7"/>
  <c r="V64" i="7"/>
  <c r="V63" i="7"/>
  <c r="V62" i="7"/>
  <c r="V61" i="7"/>
  <c r="V60" i="7"/>
  <c r="V59" i="7"/>
  <c r="V58" i="7"/>
  <c r="V57" i="7"/>
  <c r="V56" i="7"/>
  <c r="V55" i="7"/>
  <c r="V54" i="7"/>
  <c r="V53" i="7"/>
  <c r="V52" i="7"/>
  <c r="V51" i="7"/>
  <c r="V50" i="7"/>
  <c r="V49" i="7"/>
  <c r="V48" i="7"/>
  <c r="V47" i="7"/>
  <c r="V46" i="7"/>
  <c r="V45" i="7"/>
  <c r="V44" i="7"/>
  <c r="V43" i="7"/>
  <c r="V42" i="7"/>
  <c r="V41" i="7"/>
  <c r="V40" i="7"/>
  <c r="V39" i="7"/>
  <c r="V38" i="7"/>
  <c r="V37" i="7"/>
  <c r="V36" i="7"/>
  <c r="V35" i="7"/>
  <c r="V34" i="7"/>
  <c r="V33" i="7"/>
  <c r="V32" i="7"/>
  <c r="V31" i="7"/>
  <c r="V30" i="7"/>
  <c r="V29" i="7"/>
  <c r="V28" i="7"/>
  <c r="V27" i="7"/>
  <c r="V26" i="7"/>
  <c r="V25" i="7"/>
  <c r="V24" i="7"/>
  <c r="V23" i="7"/>
  <c r="V22" i="7"/>
  <c r="V21" i="7"/>
  <c r="V20" i="7"/>
  <c r="V19" i="7"/>
  <c r="V18" i="7"/>
  <c r="V17" i="7"/>
  <c r="V16" i="7"/>
  <c r="V15" i="7"/>
  <c r="V14" i="7"/>
  <c r="V13" i="7"/>
  <c r="V12" i="7"/>
  <c r="V11" i="7"/>
  <c r="V10" i="7"/>
  <c r="V9" i="7"/>
  <c r="V8" i="7"/>
  <c r="V7" i="7"/>
  <c r="V6" i="7"/>
  <c r="V5" i="7"/>
  <c r="V4" i="7"/>
  <c r="V3" i="7"/>
  <c r="V2" i="7"/>
  <c r="F59" i="5"/>
  <c r="E59" i="5"/>
  <c r="H194"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L21" i="1"/>
  <c r="I556" i="3"/>
  <c r="J556" i="3" s="1"/>
  <c r="I555" i="3"/>
  <c r="J555" i="3" s="1"/>
  <c r="I554" i="3"/>
  <c r="J554" i="3" s="1"/>
  <c r="I553" i="3"/>
  <c r="J553" i="3" s="1"/>
  <c r="I552" i="3"/>
  <c r="J552" i="3" s="1"/>
  <c r="I551" i="3"/>
  <c r="J551" i="3" s="1"/>
  <c r="I550" i="3"/>
  <c r="J550" i="3" s="1"/>
  <c r="I549" i="3"/>
  <c r="J549" i="3" s="1"/>
  <c r="I548" i="3"/>
  <c r="J548" i="3" s="1"/>
  <c r="I547" i="3"/>
  <c r="J547" i="3" s="1"/>
  <c r="I546" i="3"/>
  <c r="J546" i="3" s="1"/>
  <c r="I545" i="3"/>
  <c r="J545" i="3" s="1"/>
  <c r="I544" i="3"/>
  <c r="J544" i="3" s="1"/>
  <c r="I543" i="3"/>
  <c r="J543" i="3" s="1"/>
  <c r="I542" i="3"/>
  <c r="J542" i="3" s="1"/>
  <c r="I541" i="3"/>
  <c r="J541" i="3" s="1"/>
  <c r="I540" i="3"/>
  <c r="J540" i="3" s="1"/>
  <c r="I539" i="3"/>
  <c r="J539" i="3" s="1"/>
  <c r="I538" i="3"/>
  <c r="J538" i="3" s="1"/>
  <c r="I537" i="3"/>
  <c r="J537" i="3" s="1"/>
  <c r="I536" i="3"/>
  <c r="J536" i="3" s="1"/>
  <c r="I535" i="3"/>
  <c r="J535" i="3" s="1"/>
  <c r="I534" i="3"/>
  <c r="J534" i="3" s="1"/>
  <c r="I533" i="3"/>
  <c r="J533" i="3" s="1"/>
  <c r="I532" i="3"/>
  <c r="J532" i="3" s="1"/>
  <c r="I531" i="3"/>
  <c r="J531" i="3" s="1"/>
  <c r="I530" i="3"/>
  <c r="J530" i="3" s="1"/>
  <c r="I529" i="3"/>
  <c r="J529" i="3" s="1"/>
  <c r="I528" i="3"/>
  <c r="J528" i="3" s="1"/>
  <c r="I527" i="3"/>
  <c r="J527" i="3" s="1"/>
  <c r="I526" i="3"/>
  <c r="J526" i="3" s="1"/>
  <c r="I525" i="3"/>
  <c r="J525" i="3" s="1"/>
  <c r="I524" i="3"/>
  <c r="J524" i="3" s="1"/>
  <c r="I523" i="3"/>
  <c r="J523" i="3" s="1"/>
  <c r="I522" i="3"/>
  <c r="J522" i="3" s="1"/>
  <c r="I521" i="3"/>
  <c r="J521" i="3" s="1"/>
  <c r="I520" i="3"/>
  <c r="J520" i="3" s="1"/>
  <c r="I519" i="3"/>
  <c r="J519" i="3" s="1"/>
  <c r="I518" i="3"/>
  <c r="J518" i="3" s="1"/>
  <c r="I517" i="3"/>
  <c r="J517" i="3" s="1"/>
  <c r="I516" i="3"/>
  <c r="J516" i="3" s="1"/>
  <c r="I515" i="3"/>
  <c r="J515" i="3" s="1"/>
  <c r="I514" i="3"/>
  <c r="J514" i="3" s="1"/>
  <c r="I513" i="3"/>
  <c r="J513" i="3" s="1"/>
  <c r="I512" i="3"/>
  <c r="J512" i="3" s="1"/>
  <c r="I511" i="3"/>
  <c r="J511" i="3" s="1"/>
  <c r="I510" i="3"/>
  <c r="J510" i="3" s="1"/>
  <c r="I509" i="3"/>
  <c r="J509" i="3" s="1"/>
  <c r="I508" i="3"/>
  <c r="J508" i="3" s="1"/>
  <c r="I507" i="3"/>
  <c r="J507" i="3" s="1"/>
  <c r="I506" i="3"/>
  <c r="J506" i="3" s="1"/>
  <c r="I505" i="3"/>
  <c r="J505" i="3" s="1"/>
  <c r="I504" i="3"/>
  <c r="J504" i="3" s="1"/>
  <c r="I503" i="3"/>
  <c r="J503" i="3" s="1"/>
  <c r="I502" i="3"/>
  <c r="J502" i="3" s="1"/>
  <c r="I501" i="3"/>
  <c r="J501" i="3" s="1"/>
  <c r="I500" i="3"/>
  <c r="J500" i="3" s="1"/>
  <c r="I499" i="3"/>
  <c r="J499" i="3" s="1"/>
  <c r="I498" i="3"/>
  <c r="J498" i="3" s="1"/>
  <c r="I497" i="3"/>
  <c r="J497" i="3" s="1"/>
  <c r="I496" i="3"/>
  <c r="J496" i="3" s="1"/>
  <c r="I495" i="3"/>
  <c r="J495" i="3" s="1"/>
  <c r="I494" i="3"/>
  <c r="J494" i="3" s="1"/>
  <c r="I493" i="3"/>
  <c r="J493" i="3" s="1"/>
  <c r="I492" i="3"/>
  <c r="J492" i="3" s="1"/>
  <c r="I491" i="3"/>
  <c r="J491" i="3" s="1"/>
  <c r="I490" i="3"/>
  <c r="J490" i="3" s="1"/>
  <c r="I489" i="3"/>
  <c r="J489" i="3" s="1"/>
  <c r="I488" i="3"/>
  <c r="J488" i="3" s="1"/>
  <c r="I487" i="3"/>
  <c r="I486" i="3"/>
  <c r="I485" i="3"/>
  <c r="I482" i="3"/>
  <c r="I474" i="3"/>
  <c r="J474" i="3" s="1"/>
  <c r="I472" i="3"/>
  <c r="J472" i="3" s="1"/>
  <c r="I470" i="3"/>
  <c r="J470" i="3" s="1"/>
  <c r="I468" i="3"/>
  <c r="J468" i="3" s="1"/>
  <c r="I467" i="3"/>
  <c r="J467" i="3" s="1"/>
  <c r="I466" i="3"/>
  <c r="J466" i="3" s="1"/>
  <c r="I465" i="3"/>
  <c r="J465" i="3" s="1"/>
  <c r="I464" i="3"/>
  <c r="J464" i="3" s="1"/>
  <c r="I463" i="3"/>
  <c r="J463" i="3" s="1"/>
  <c r="I443" i="3"/>
  <c r="J443" i="3" s="1"/>
  <c r="I442" i="3"/>
  <c r="J442" i="3" s="1"/>
  <c r="I441" i="3"/>
  <c r="J441" i="3" s="1"/>
  <c r="I440" i="3"/>
  <c r="J440" i="3" s="1"/>
  <c r="I439" i="3"/>
  <c r="J439" i="3" s="1"/>
  <c r="I438" i="3"/>
  <c r="J438" i="3" s="1"/>
  <c r="I437" i="3"/>
  <c r="J437" i="3" s="1"/>
  <c r="I436" i="3"/>
  <c r="J436" i="3" s="1"/>
  <c r="I435" i="3"/>
  <c r="J435" i="3" s="1"/>
  <c r="I434" i="3"/>
  <c r="J434" i="3" s="1"/>
  <c r="I433" i="3"/>
  <c r="J433" i="3" s="1"/>
  <c r="I432" i="3"/>
  <c r="J432" i="3" s="1"/>
  <c r="I431" i="3"/>
  <c r="J431" i="3" s="1"/>
  <c r="I430" i="3"/>
  <c r="J430" i="3" s="1"/>
  <c r="I429" i="3"/>
  <c r="J429" i="3" s="1"/>
  <c r="I428" i="3"/>
  <c r="J428" i="3" s="1"/>
  <c r="I427" i="3"/>
  <c r="I426" i="3"/>
  <c r="J426" i="3" s="1"/>
  <c r="I425" i="3"/>
  <c r="J425" i="3" s="1"/>
  <c r="I424" i="3"/>
  <c r="J424" i="3" s="1"/>
  <c r="I423" i="3"/>
  <c r="J423" i="3" s="1"/>
  <c r="I418" i="3"/>
  <c r="J418" i="3" s="1"/>
  <c r="I417" i="3"/>
  <c r="J417" i="3" s="1"/>
  <c r="I416" i="3"/>
  <c r="J416" i="3" s="1"/>
  <c r="I415" i="3"/>
  <c r="J415" i="3" s="1"/>
  <c r="I414" i="3"/>
  <c r="J414" i="3" s="1"/>
  <c r="I412" i="3"/>
  <c r="J412" i="3" s="1"/>
  <c r="I411" i="3"/>
  <c r="J411" i="3" s="1"/>
  <c r="I410" i="3"/>
  <c r="J410" i="3" s="1"/>
  <c r="I409" i="3"/>
  <c r="J409" i="3" s="1"/>
  <c r="I408" i="3"/>
  <c r="J408" i="3" s="1"/>
  <c r="I407" i="3"/>
  <c r="J407" i="3" s="1"/>
  <c r="I406" i="3"/>
  <c r="J406" i="3" s="1"/>
  <c r="I405" i="3"/>
  <c r="J405" i="3" s="1"/>
  <c r="I404" i="3"/>
  <c r="J404" i="3" s="1"/>
  <c r="I403" i="3"/>
  <c r="J403" i="3" s="1"/>
  <c r="I402" i="3"/>
  <c r="J402" i="3" s="1"/>
  <c r="I401" i="3"/>
  <c r="J401" i="3" s="1"/>
  <c r="I400" i="3"/>
  <c r="J400" i="3" s="1"/>
  <c r="I399" i="3"/>
  <c r="J399" i="3" s="1"/>
  <c r="I398" i="3"/>
  <c r="J398" i="3" s="1"/>
  <c r="I396" i="3"/>
  <c r="J396" i="3" s="1"/>
  <c r="I389" i="3"/>
  <c r="J389" i="3" s="1"/>
  <c r="I388" i="3"/>
  <c r="J388" i="3" s="1"/>
  <c r="I387" i="3"/>
  <c r="J387" i="3" s="1"/>
  <c r="I386" i="3"/>
  <c r="J386" i="3" s="1"/>
  <c r="I385" i="3"/>
  <c r="J385" i="3" s="1"/>
  <c r="I384" i="3"/>
  <c r="J384" i="3" s="1"/>
  <c r="I383" i="3"/>
  <c r="J383" i="3" s="1"/>
  <c r="I382" i="3"/>
  <c r="J382" i="3" s="1"/>
  <c r="I380" i="3"/>
  <c r="J380" i="3" s="1"/>
  <c r="I379" i="3"/>
  <c r="J379" i="3" s="1"/>
  <c r="I378" i="3"/>
  <c r="J378" i="3" s="1"/>
  <c r="I377" i="3"/>
  <c r="J377" i="3" s="1"/>
  <c r="I376" i="3"/>
  <c r="J376" i="3" s="1"/>
  <c r="I375" i="3"/>
  <c r="J375" i="3" s="1"/>
  <c r="I374" i="3"/>
  <c r="J374" i="3" s="1"/>
  <c r="I373" i="3"/>
  <c r="J373" i="3" s="1"/>
  <c r="I372" i="3"/>
  <c r="J372" i="3" s="1"/>
  <c r="I371" i="3"/>
  <c r="J371" i="3" s="1"/>
  <c r="I370" i="3"/>
  <c r="J370" i="3" s="1"/>
  <c r="I369" i="3"/>
  <c r="J369" i="3" s="1"/>
  <c r="I368" i="3"/>
  <c r="J368" i="3" s="1"/>
  <c r="I337" i="3"/>
  <c r="J337" i="3" s="1"/>
  <c r="I336" i="3"/>
  <c r="J336" i="3" s="1"/>
  <c r="H335" i="3"/>
  <c r="H334" i="3"/>
  <c r="H332" i="3"/>
  <c r="H331" i="3"/>
  <c r="H330" i="3"/>
  <c r="I329" i="3"/>
  <c r="J329" i="3" s="1"/>
  <c r="I328" i="3"/>
  <c r="J328" i="3" s="1"/>
  <c r="I327" i="3"/>
  <c r="J327" i="3" s="1"/>
  <c r="H326" i="3"/>
  <c r="H325" i="3"/>
  <c r="H323" i="3"/>
  <c r="I320" i="3"/>
  <c r="J320" i="3" s="1"/>
  <c r="I319" i="3"/>
  <c r="J319" i="3" s="1"/>
  <c r="I318" i="3"/>
  <c r="J318" i="3" s="1"/>
  <c r="I317" i="3"/>
  <c r="J317" i="3" s="1"/>
  <c r="I316" i="3"/>
  <c r="J316" i="3" s="1"/>
  <c r="I315" i="3"/>
  <c r="J315" i="3" s="1"/>
  <c r="I314" i="3"/>
  <c r="J314" i="3" s="1"/>
  <c r="I313" i="3"/>
  <c r="J313" i="3" s="1"/>
  <c r="I312" i="3"/>
  <c r="J312" i="3" s="1"/>
  <c r="I311" i="3"/>
  <c r="J311" i="3" s="1"/>
  <c r="I310" i="3"/>
  <c r="J310" i="3" s="1"/>
  <c r="I309" i="3"/>
  <c r="J309" i="3" s="1"/>
  <c r="I301" i="3"/>
  <c r="J301" i="3" s="1"/>
  <c r="I299" i="3"/>
  <c r="J299" i="3" s="1"/>
  <c r="H298" i="3"/>
  <c r="I297" i="3"/>
  <c r="J297" i="3" s="1"/>
  <c r="I296" i="3"/>
  <c r="J296" i="3" s="1"/>
  <c r="H292" i="3"/>
  <c r="I289" i="3"/>
  <c r="J289" i="3" s="1"/>
  <c r="I288" i="3"/>
  <c r="J288" i="3" s="1"/>
  <c r="I287" i="3"/>
  <c r="J287" i="3" s="1"/>
  <c r="I286" i="3"/>
  <c r="J286" i="3" s="1"/>
  <c r="I285" i="3"/>
  <c r="J285" i="3" s="1"/>
  <c r="I284" i="3"/>
  <c r="J284" i="3" s="1"/>
  <c r="I282" i="3"/>
  <c r="J282" i="3" s="1"/>
  <c r="I281" i="3"/>
  <c r="J281" i="3" s="1"/>
  <c r="I280" i="3"/>
  <c r="J280" i="3" s="1"/>
  <c r="I279" i="3"/>
  <c r="J279" i="3" s="1"/>
  <c r="I278" i="3"/>
  <c r="J278" i="3" s="1"/>
  <c r="I277" i="3"/>
  <c r="J277" i="3" s="1"/>
  <c r="I276" i="3"/>
  <c r="J276" i="3" s="1"/>
  <c r="I275" i="3"/>
  <c r="J275" i="3" s="1"/>
  <c r="I245" i="3"/>
  <c r="J245" i="3" s="1"/>
  <c r="I218" i="3"/>
  <c r="J218" i="3" s="1"/>
  <c r="H217" i="3"/>
  <c r="H216" i="3"/>
  <c r="I215" i="3"/>
  <c r="J215" i="3" s="1"/>
  <c r="I213" i="3"/>
  <c r="J213" i="3" s="1"/>
  <c r="I212" i="3"/>
  <c r="J212" i="3" s="1"/>
  <c r="I211" i="3"/>
  <c r="J211" i="3" s="1"/>
  <c r="I209" i="3"/>
  <c r="J209" i="3" s="1"/>
  <c r="I208" i="3"/>
  <c r="J208" i="3" s="1"/>
  <c r="I207" i="3"/>
  <c r="J207" i="3" s="1"/>
  <c r="I206" i="3"/>
  <c r="J206" i="3" s="1"/>
  <c r="I205" i="3"/>
  <c r="J205" i="3" s="1"/>
  <c r="I204" i="3"/>
  <c r="J204" i="3" s="1"/>
  <c r="I203" i="3"/>
  <c r="J203" i="3" s="1"/>
  <c r="I202" i="3"/>
  <c r="J202" i="3" s="1"/>
  <c r="I201" i="3"/>
  <c r="J201" i="3" s="1"/>
  <c r="I200" i="3"/>
  <c r="J200" i="3" s="1"/>
  <c r="I199" i="3"/>
  <c r="J199" i="3" s="1"/>
  <c r="I198" i="3"/>
  <c r="J198" i="3" s="1"/>
  <c r="I197" i="3"/>
  <c r="J197" i="3" s="1"/>
  <c r="I196" i="3"/>
  <c r="J196" i="3" s="1"/>
  <c r="I195" i="3"/>
  <c r="J195" i="3" s="1"/>
  <c r="I192" i="3"/>
  <c r="I179" i="3"/>
  <c r="J179" i="3" s="1"/>
  <c r="I178" i="3"/>
  <c r="J178" i="3" s="1"/>
  <c r="I177" i="3"/>
  <c r="J177" i="3" s="1"/>
  <c r="I176" i="3"/>
  <c r="J176" i="3" s="1"/>
  <c r="I175" i="3"/>
  <c r="J175" i="3" s="1"/>
  <c r="I174" i="3"/>
  <c r="J174" i="3" s="1"/>
  <c r="I172" i="3"/>
  <c r="J172" i="3" s="1"/>
  <c r="I171" i="3"/>
  <c r="J171" i="3" s="1"/>
  <c r="I170" i="3"/>
  <c r="J170" i="3" s="1"/>
  <c r="I169" i="3"/>
  <c r="J169" i="3" s="1"/>
  <c r="I168" i="3"/>
  <c r="J168" i="3" s="1"/>
  <c r="I167" i="3"/>
  <c r="J167" i="3" s="1"/>
  <c r="I166" i="3"/>
  <c r="J166" i="3" s="1"/>
  <c r="I165" i="3"/>
  <c r="J165" i="3" s="1"/>
  <c r="I164" i="3"/>
  <c r="J164" i="3" s="1"/>
  <c r="I163" i="3"/>
  <c r="J163" i="3" s="1"/>
  <c r="I162" i="3"/>
  <c r="J162" i="3" s="1"/>
  <c r="I161" i="3"/>
  <c r="J161" i="3" s="1"/>
  <c r="I160" i="3"/>
  <c r="J160" i="3" s="1"/>
  <c r="I159" i="3"/>
  <c r="J159" i="3" s="1"/>
  <c r="I158" i="3"/>
  <c r="J158" i="3" s="1"/>
  <c r="I157" i="3"/>
  <c r="J157" i="3" s="1"/>
  <c r="I156" i="3"/>
  <c r="J156" i="3" s="1"/>
  <c r="I155" i="3"/>
  <c r="J155" i="3" s="1"/>
  <c r="I154" i="3"/>
  <c r="J154" i="3" s="1"/>
  <c r="I153" i="3"/>
  <c r="J153" i="3" s="1"/>
  <c r="I152" i="3"/>
  <c r="J152" i="3" s="1"/>
  <c r="I151" i="3"/>
  <c r="J151" i="3" s="1"/>
  <c r="I150" i="3"/>
  <c r="J150" i="3" s="1"/>
  <c r="I149" i="3"/>
  <c r="J149" i="3" s="1"/>
  <c r="I145" i="3"/>
  <c r="J145" i="3" s="1"/>
  <c r="I144" i="3"/>
  <c r="J144" i="3" s="1"/>
  <c r="I143" i="3"/>
  <c r="J143" i="3" s="1"/>
  <c r="I142" i="3"/>
  <c r="J142" i="3" s="1"/>
  <c r="I140" i="3"/>
  <c r="J140" i="3" s="1"/>
  <c r="I139" i="3"/>
  <c r="J139" i="3" s="1"/>
  <c r="I138" i="3"/>
  <c r="J138" i="3" s="1"/>
  <c r="I137" i="3"/>
  <c r="J137" i="3" s="1"/>
  <c r="I136" i="3"/>
  <c r="J136" i="3" s="1"/>
  <c r="I135" i="3"/>
  <c r="J135" i="3" s="1"/>
  <c r="I134" i="3"/>
  <c r="J134" i="3" s="1"/>
  <c r="I133" i="3"/>
  <c r="J133" i="3" s="1"/>
  <c r="I132" i="3"/>
  <c r="J132" i="3" s="1"/>
  <c r="I131" i="3"/>
  <c r="J131" i="3" s="1"/>
  <c r="I130" i="3"/>
  <c r="J130" i="3" s="1"/>
  <c r="I129" i="3"/>
  <c r="J129" i="3" s="1"/>
  <c r="I128" i="3"/>
  <c r="J128" i="3" s="1"/>
  <c r="I127" i="3"/>
  <c r="J127" i="3" s="1"/>
  <c r="I126" i="3"/>
  <c r="J126" i="3" s="1"/>
  <c r="I125" i="3"/>
  <c r="J125" i="3" s="1"/>
  <c r="I123" i="3"/>
  <c r="J123" i="3" s="1"/>
  <c r="I122" i="3"/>
  <c r="J122" i="3" s="1"/>
  <c r="I121" i="3"/>
  <c r="J121" i="3" s="1"/>
  <c r="I120" i="3"/>
  <c r="J120" i="3" s="1"/>
  <c r="I119" i="3"/>
  <c r="J119" i="3" s="1"/>
  <c r="I112" i="3"/>
  <c r="J112" i="3" s="1"/>
  <c r="I111" i="3"/>
  <c r="J111" i="3" s="1"/>
  <c r="I110" i="3"/>
  <c r="J110" i="3" s="1"/>
  <c r="I109" i="3"/>
  <c r="J109" i="3" s="1"/>
  <c r="I108" i="3"/>
  <c r="J108" i="3" s="1"/>
  <c r="I107" i="3"/>
  <c r="J107" i="3" s="1"/>
  <c r="I106" i="3"/>
  <c r="J106" i="3" s="1"/>
  <c r="I105" i="3"/>
  <c r="J105" i="3" s="1"/>
  <c r="I104" i="3"/>
  <c r="J104" i="3" s="1"/>
  <c r="I103" i="3"/>
  <c r="J103" i="3" s="1"/>
  <c r="I102" i="3"/>
  <c r="J102" i="3" s="1"/>
  <c r="I101" i="3"/>
  <c r="J101" i="3" s="1"/>
  <c r="I100" i="3"/>
  <c r="J100" i="3" s="1"/>
  <c r="I99" i="3"/>
  <c r="J99" i="3" s="1"/>
  <c r="I98" i="3"/>
  <c r="J98" i="3" s="1"/>
  <c r="I97" i="3"/>
  <c r="J97" i="3" s="1"/>
  <c r="I96" i="3"/>
  <c r="J96" i="3" s="1"/>
  <c r="I95" i="3"/>
  <c r="J95" i="3" s="1"/>
  <c r="I94" i="3"/>
  <c r="J94" i="3" s="1"/>
  <c r="I93" i="3"/>
  <c r="J93" i="3" s="1"/>
  <c r="I92" i="3"/>
  <c r="J92" i="3" s="1"/>
  <c r="I91" i="3"/>
  <c r="J91" i="3" s="1"/>
  <c r="I90" i="3"/>
  <c r="J90" i="3" s="1"/>
  <c r="I89" i="3"/>
  <c r="J89" i="3" s="1"/>
  <c r="I88" i="3"/>
  <c r="J88" i="3" s="1"/>
  <c r="I87" i="3"/>
  <c r="J87" i="3" s="1"/>
  <c r="I79" i="3"/>
  <c r="J79" i="3" s="1"/>
  <c r="I78" i="3"/>
  <c r="J78" i="3" s="1"/>
  <c r="I77" i="3"/>
  <c r="J77" i="3" s="1"/>
  <c r="I71" i="3"/>
  <c r="J71" i="3" s="1"/>
  <c r="I70" i="3"/>
  <c r="J70" i="3" s="1"/>
  <c r="I69" i="3"/>
  <c r="J69" i="3" s="1"/>
  <c r="I68" i="3"/>
  <c r="J68" i="3" s="1"/>
  <c r="I67" i="3"/>
  <c r="J67" i="3" s="1"/>
  <c r="I66" i="3"/>
  <c r="J66" i="3" s="1"/>
  <c r="I65" i="3"/>
  <c r="J65" i="3" s="1"/>
  <c r="I64" i="3"/>
  <c r="J64" i="3" s="1"/>
  <c r="I63" i="3"/>
  <c r="J63" i="3" s="1"/>
  <c r="I62" i="3"/>
  <c r="J62" i="3" s="1"/>
  <c r="I61" i="3"/>
  <c r="J61" i="3" s="1"/>
  <c r="I60" i="3"/>
  <c r="J60" i="3" s="1"/>
  <c r="I59" i="3"/>
  <c r="J59" i="3" s="1"/>
  <c r="I57" i="3"/>
  <c r="J57" i="3" s="1"/>
  <c r="I56" i="3"/>
  <c r="J56" i="3" s="1"/>
  <c r="I55" i="3"/>
  <c r="J55" i="3" s="1"/>
  <c r="I54" i="3"/>
  <c r="J54" i="3" s="1"/>
  <c r="I53" i="3"/>
  <c r="J53" i="3" s="1"/>
  <c r="I52" i="3"/>
  <c r="J52" i="3" s="1"/>
  <c r="I51" i="3"/>
  <c r="J51" i="3" s="1"/>
  <c r="I50" i="3"/>
  <c r="J50" i="3" s="1"/>
  <c r="I49" i="3"/>
  <c r="J49" i="3" s="1"/>
  <c r="I48" i="3"/>
  <c r="J48" i="3" s="1"/>
  <c r="I47" i="3"/>
  <c r="J47" i="3" s="1"/>
  <c r="I46" i="3"/>
  <c r="J46" i="3" s="1"/>
  <c r="I45" i="3"/>
  <c r="J45" i="3" s="1"/>
  <c r="I44" i="3"/>
  <c r="J44" i="3" s="1"/>
  <c r="I43" i="3"/>
  <c r="J43" i="3" s="1"/>
  <c r="I42" i="3"/>
  <c r="J42" i="3" s="1"/>
  <c r="I41" i="3"/>
  <c r="J41" i="3" s="1"/>
  <c r="I40" i="3"/>
  <c r="J40" i="3" s="1"/>
  <c r="I39" i="3"/>
  <c r="J39" i="3" s="1"/>
  <c r="I38" i="3"/>
  <c r="J38" i="3" s="1"/>
  <c r="I37" i="3"/>
  <c r="J37" i="3" s="1"/>
  <c r="I36" i="3"/>
  <c r="J36" i="3" s="1"/>
  <c r="I35" i="3"/>
  <c r="J35" i="3" s="1"/>
  <c r="I34" i="3"/>
  <c r="J34" i="3" s="1"/>
  <c r="I33" i="3"/>
  <c r="J33" i="3" s="1"/>
  <c r="I32" i="3"/>
  <c r="J32" i="3" s="1"/>
  <c r="I31" i="3"/>
  <c r="J31" i="3" s="1"/>
  <c r="I30" i="3"/>
  <c r="J30" i="3" s="1"/>
  <c r="I29" i="3"/>
  <c r="J29" i="3" s="1"/>
  <c r="I28" i="3"/>
  <c r="J28" i="3" s="1"/>
  <c r="I27" i="3"/>
  <c r="J27" i="3" s="1"/>
  <c r="I26" i="3"/>
  <c r="J26" i="3" s="1"/>
  <c r="I25" i="3"/>
  <c r="J25" i="3" s="1"/>
  <c r="I24" i="3"/>
  <c r="J24" i="3" s="1"/>
  <c r="I19" i="3"/>
  <c r="J19" i="3" s="1"/>
  <c r="I18" i="3"/>
  <c r="J18" i="3" s="1"/>
  <c r="I17" i="3"/>
  <c r="J17" i="3" s="1"/>
  <c r="I16" i="3"/>
  <c r="J16" i="3" s="1"/>
  <c r="I15" i="3"/>
  <c r="J15" i="3" s="1"/>
  <c r="I14" i="3"/>
  <c r="J14" i="3" s="1"/>
  <c r="I13" i="3"/>
  <c r="J13" i="3" s="1"/>
  <c r="I12" i="3"/>
  <c r="J12" i="3" s="1"/>
  <c r="I11" i="3"/>
  <c r="J11" i="3" s="1"/>
  <c r="I10" i="3"/>
  <c r="J10" i="3" s="1"/>
  <c r="I9" i="3"/>
  <c r="J9" i="3" s="1"/>
  <c r="I8" i="3"/>
  <c r="J8" i="3" s="1"/>
  <c r="I7" i="3"/>
  <c r="J7" i="3" s="1"/>
  <c r="I6" i="3"/>
  <c r="J6" i="3" s="1"/>
  <c r="I5" i="3"/>
  <c r="J5" i="3" s="1"/>
  <c r="I4" i="3"/>
  <c r="J4" i="3" s="1"/>
  <c r="I3" i="3"/>
  <c r="J3" i="3" s="1"/>
  <c r="O2" i="3"/>
  <c r="I364" i="3" s="1"/>
  <c r="J364" i="3" s="1"/>
  <c r="I2" i="3"/>
  <c r="J2" i="3" s="1"/>
  <c r="V192" i="7" l="1"/>
  <c r="V193" i="7" s="1"/>
  <c r="V196" i="7" s="1"/>
  <c r="V200" i="7" s="1"/>
  <c r="I194" i="4"/>
  <c r="I86" i="3"/>
  <c r="J86" i="3" s="1"/>
  <c r="I22" i="3"/>
  <c r="J22" i="3" s="1"/>
  <c r="J486" i="3"/>
  <c r="I228" i="3"/>
  <c r="K34" i="1" s="1"/>
  <c r="L34" i="1" s="1"/>
  <c r="J192" i="3"/>
  <c r="I237" i="3"/>
  <c r="J237" i="3" s="1"/>
  <c r="J482" i="3"/>
  <c r="I146" i="3"/>
  <c r="J146" i="3" s="1"/>
  <c r="J485" i="3"/>
  <c r="I420" i="3"/>
  <c r="J420" i="3" s="1"/>
  <c r="K22" i="1"/>
  <c r="L22" i="1" s="1"/>
  <c r="K6" i="1"/>
  <c r="L6" i="1" s="1"/>
  <c r="K2" i="1"/>
  <c r="L2" i="1" s="1"/>
  <c r="I451" i="3"/>
  <c r="J451" i="3" s="1"/>
  <c r="K27" i="1"/>
  <c r="L27" i="1" s="1"/>
  <c r="I419" i="3"/>
  <c r="J419" i="3" s="1"/>
  <c r="I452" i="3"/>
  <c r="J452" i="3" s="1"/>
  <c r="K7" i="1"/>
  <c r="L7" i="1" s="1"/>
  <c r="I21" i="3"/>
  <c r="J21" i="3" s="1"/>
  <c r="I58" i="3"/>
  <c r="J58" i="3" s="1"/>
  <c r="I219" i="3"/>
  <c r="J219" i="3" s="1"/>
  <c r="I273" i="3"/>
  <c r="J273" i="3" s="1"/>
  <c r="I325" i="3"/>
  <c r="J325" i="3" s="1"/>
  <c r="I355" i="3"/>
  <c r="J355" i="3" s="1"/>
  <c r="K30" i="1"/>
  <c r="L30" i="1" s="1"/>
  <c r="K58" i="1"/>
  <c r="L58" i="1" s="1"/>
  <c r="K10" i="1"/>
  <c r="L10" i="1" s="1"/>
  <c r="K31" i="1"/>
  <c r="L31" i="1" s="1"/>
  <c r="K15" i="1"/>
  <c r="L15" i="1" s="1"/>
  <c r="I246" i="3"/>
  <c r="J246" i="3" s="1"/>
  <c r="I292" i="3"/>
  <c r="J292" i="3" s="1"/>
  <c r="I305" i="3"/>
  <c r="J305" i="3" s="1"/>
  <c r="K3" i="1"/>
  <c r="L3" i="1" s="1"/>
  <c r="I255" i="3"/>
  <c r="J255" i="3" s="1"/>
  <c r="I187" i="3"/>
  <c r="I20" i="3"/>
  <c r="J20" i="3" s="1"/>
  <c r="I264" i="3"/>
  <c r="J264" i="3" s="1"/>
  <c r="I354" i="3"/>
  <c r="J354" i="3" s="1"/>
  <c r="K56" i="1"/>
  <c r="L56" i="1" s="1"/>
  <c r="J487" i="3"/>
  <c r="K66" i="1"/>
  <c r="L66" i="1" s="1"/>
  <c r="J427" i="3"/>
  <c r="K71" i="1"/>
  <c r="L71" i="1" s="1"/>
  <c r="K59" i="1"/>
  <c r="L59" i="1" s="1"/>
  <c r="K57" i="1"/>
  <c r="L57" i="1" s="1"/>
  <c r="K55" i="1"/>
  <c r="L55" i="1" s="1"/>
  <c r="K52" i="1"/>
  <c r="L52" i="1" s="1"/>
  <c r="I72" i="3"/>
  <c r="J72" i="3" s="1"/>
  <c r="I114" i="3"/>
  <c r="I147" i="3"/>
  <c r="J147" i="3" s="1"/>
  <c r="I180" i="3"/>
  <c r="J180" i="3" s="1"/>
  <c r="I188" i="3"/>
  <c r="I239" i="3"/>
  <c r="J239" i="3" s="1"/>
  <c r="I247" i="3"/>
  <c r="J247" i="3" s="1"/>
  <c r="I256" i="3"/>
  <c r="J256" i="3" s="1"/>
  <c r="I265" i="3"/>
  <c r="J265" i="3" s="1"/>
  <c r="I274" i="3"/>
  <c r="J274" i="3" s="1"/>
  <c r="I306" i="3"/>
  <c r="J306" i="3" s="1"/>
  <c r="I338" i="3"/>
  <c r="J338" i="3" s="1"/>
  <c r="I356" i="3"/>
  <c r="J356" i="3" s="1"/>
  <c r="I395" i="3"/>
  <c r="J395" i="3" s="1"/>
  <c r="I459" i="3"/>
  <c r="J459" i="3" s="1"/>
  <c r="I74" i="3"/>
  <c r="J74" i="3" s="1"/>
  <c r="I80" i="3"/>
  <c r="J80" i="3" s="1"/>
  <c r="I148" i="3"/>
  <c r="J148" i="3" s="1"/>
  <c r="I182" i="3"/>
  <c r="J182" i="3" s="1"/>
  <c r="I190" i="3"/>
  <c r="J190" i="3" s="1"/>
  <c r="I210" i="3"/>
  <c r="J210" i="3" s="1"/>
  <c r="I223" i="3"/>
  <c r="J223" i="3" s="1"/>
  <c r="I232" i="3"/>
  <c r="J232" i="3" s="1"/>
  <c r="I241" i="3"/>
  <c r="I248" i="3"/>
  <c r="J248" i="3" s="1"/>
  <c r="I257" i="3"/>
  <c r="J257" i="3" s="1"/>
  <c r="I266" i="3"/>
  <c r="J266" i="3" s="1"/>
  <c r="I307" i="3"/>
  <c r="J307" i="3" s="1"/>
  <c r="I339" i="3"/>
  <c r="J339" i="3" s="1"/>
  <c r="I363" i="3"/>
  <c r="J363" i="3" s="1"/>
  <c r="I460" i="3"/>
  <c r="J460" i="3" s="1"/>
  <c r="I23" i="3"/>
  <c r="I82" i="3"/>
  <c r="J82" i="3" s="1"/>
  <c r="I115" i="3"/>
  <c r="J115" i="3" s="1"/>
  <c r="I216" i="3"/>
  <c r="J216" i="3" s="1"/>
  <c r="I250" i="3"/>
  <c r="J250" i="3" s="1"/>
  <c r="I293" i="3"/>
  <c r="J293" i="3" s="1"/>
  <c r="I300" i="3"/>
  <c r="J300" i="3" s="1"/>
  <c r="I321" i="3"/>
  <c r="J321" i="3" s="1"/>
  <c r="I332" i="3"/>
  <c r="J332" i="3" s="1"/>
  <c r="I340" i="3"/>
  <c r="J340" i="3" s="1"/>
  <c r="I484" i="3"/>
  <c r="J484" i="3" s="1"/>
  <c r="I480" i="3"/>
  <c r="J480" i="3" s="1"/>
  <c r="I294" i="3"/>
  <c r="J294" i="3" s="1"/>
  <c r="I483" i="3"/>
  <c r="J483" i="3" s="1"/>
  <c r="I458" i="3"/>
  <c r="J458" i="3" s="1"/>
  <c r="I450" i="3"/>
  <c r="J450" i="3" s="1"/>
  <c r="I394" i="3"/>
  <c r="J394" i="3" s="1"/>
  <c r="I362" i="3"/>
  <c r="J362" i="3" s="1"/>
  <c r="I473" i="3"/>
  <c r="J473" i="3" s="1"/>
  <c r="I457" i="3"/>
  <c r="J457" i="3" s="1"/>
  <c r="I449" i="3"/>
  <c r="J449" i="3" s="1"/>
  <c r="I393" i="3"/>
  <c r="J393" i="3" s="1"/>
  <c r="I361" i="3"/>
  <c r="J361" i="3" s="1"/>
  <c r="I353" i="3"/>
  <c r="J353" i="3" s="1"/>
  <c r="I345" i="3"/>
  <c r="J345" i="3" s="1"/>
  <c r="I304" i="3"/>
  <c r="J304" i="3" s="1"/>
  <c r="I295" i="3"/>
  <c r="J295" i="3" s="1"/>
  <c r="I291" i="3"/>
  <c r="J291" i="3" s="1"/>
  <c r="I268" i="3"/>
  <c r="J268" i="3" s="1"/>
  <c r="I259" i="3"/>
  <c r="J259" i="3" s="1"/>
  <c r="I254" i="3"/>
  <c r="J254" i="3" s="1"/>
  <c r="I236" i="3"/>
  <c r="J236" i="3" s="1"/>
  <c r="I227" i="3"/>
  <c r="I222" i="3"/>
  <c r="J222" i="3" s="1"/>
  <c r="I214" i="3"/>
  <c r="J214" i="3" s="1"/>
  <c r="I81" i="3"/>
  <c r="J81" i="3" s="1"/>
  <c r="I73" i="3"/>
  <c r="J73" i="3" s="1"/>
  <c r="I481" i="3"/>
  <c r="J481" i="3" s="1"/>
  <c r="I456" i="3"/>
  <c r="J456" i="3" s="1"/>
  <c r="I448" i="3"/>
  <c r="J448" i="3" s="1"/>
  <c r="I392" i="3"/>
  <c r="J392" i="3" s="1"/>
  <c r="I360" i="3"/>
  <c r="J360" i="3" s="1"/>
  <c r="I352" i="3"/>
  <c r="J352" i="3" s="1"/>
  <c r="I344" i="3"/>
  <c r="J344" i="3" s="1"/>
  <c r="I324" i="3"/>
  <c r="J324" i="3" s="1"/>
  <c r="I303" i="3"/>
  <c r="J303" i="3" s="1"/>
  <c r="I298" i="3"/>
  <c r="J298" i="3" s="1"/>
  <c r="I290" i="3"/>
  <c r="J290" i="3" s="1"/>
  <c r="I272" i="3"/>
  <c r="J272" i="3" s="1"/>
  <c r="I263" i="3"/>
  <c r="J263" i="3" s="1"/>
  <c r="I258" i="3"/>
  <c r="J258" i="3" s="1"/>
  <c r="I249" i="3"/>
  <c r="J249" i="3" s="1"/>
  <c r="I240" i="3"/>
  <c r="J240" i="3" s="1"/>
  <c r="I231" i="3"/>
  <c r="I226" i="3"/>
  <c r="I217" i="3"/>
  <c r="J217" i="3" s="1"/>
  <c r="I193" i="3"/>
  <c r="J193" i="3" s="1"/>
  <c r="I189" i="3"/>
  <c r="J189" i="3" s="1"/>
  <c r="I185" i="3"/>
  <c r="J185" i="3" s="1"/>
  <c r="I181" i="3"/>
  <c r="J181" i="3" s="1"/>
  <c r="I173" i="3"/>
  <c r="J173" i="3" s="1"/>
  <c r="I141" i="3"/>
  <c r="J141" i="3" s="1"/>
  <c r="I117" i="3"/>
  <c r="J117" i="3" s="1"/>
  <c r="I113" i="3"/>
  <c r="I85" i="3"/>
  <c r="J85" i="3" s="1"/>
  <c r="I479" i="3"/>
  <c r="I471" i="3"/>
  <c r="J471" i="3" s="1"/>
  <c r="I455" i="3"/>
  <c r="J455" i="3" s="1"/>
  <c r="I447" i="3"/>
  <c r="J447" i="3" s="1"/>
  <c r="I391" i="3"/>
  <c r="J391" i="3" s="1"/>
  <c r="I367" i="3"/>
  <c r="J367" i="3" s="1"/>
  <c r="I359" i="3"/>
  <c r="J359" i="3" s="1"/>
  <c r="I351" i="3"/>
  <c r="I343" i="3"/>
  <c r="J343" i="3" s="1"/>
  <c r="I335" i="3"/>
  <c r="J335" i="3" s="1"/>
  <c r="I308" i="3"/>
  <c r="J308" i="3" s="1"/>
  <c r="I267" i="3"/>
  <c r="J267" i="3" s="1"/>
  <c r="I262" i="3"/>
  <c r="J262" i="3" s="1"/>
  <c r="I253" i="3"/>
  <c r="J253" i="3" s="1"/>
  <c r="I244" i="3"/>
  <c r="I235" i="3"/>
  <c r="J235" i="3" s="1"/>
  <c r="I230" i="3"/>
  <c r="J230" i="3" s="1"/>
  <c r="I221" i="3"/>
  <c r="J221" i="3" s="1"/>
  <c r="I366" i="3"/>
  <c r="J366" i="3" s="1"/>
  <c r="I350" i="3"/>
  <c r="J350" i="3" s="1"/>
  <c r="I330" i="3"/>
  <c r="J330" i="3" s="1"/>
  <c r="I478" i="3"/>
  <c r="J478" i="3" s="1"/>
  <c r="I462" i="3"/>
  <c r="J462" i="3" s="1"/>
  <c r="I454" i="3"/>
  <c r="J454" i="3" s="1"/>
  <c r="I446" i="3"/>
  <c r="J446" i="3" s="1"/>
  <c r="I422" i="3"/>
  <c r="J422" i="3" s="1"/>
  <c r="I390" i="3"/>
  <c r="J390" i="3" s="1"/>
  <c r="I358" i="3"/>
  <c r="J358" i="3" s="1"/>
  <c r="I342" i="3"/>
  <c r="J342" i="3" s="1"/>
  <c r="I477" i="3"/>
  <c r="I469" i="3"/>
  <c r="J469" i="3" s="1"/>
  <c r="I461" i="3"/>
  <c r="J461" i="3" s="1"/>
  <c r="I453" i="3"/>
  <c r="J453" i="3" s="1"/>
  <c r="I445" i="3"/>
  <c r="J445" i="3" s="1"/>
  <c r="I421" i="3"/>
  <c r="J421" i="3" s="1"/>
  <c r="I413" i="3"/>
  <c r="I397" i="3"/>
  <c r="J397" i="3" s="1"/>
  <c r="I381" i="3"/>
  <c r="J381" i="3" s="1"/>
  <c r="I365" i="3"/>
  <c r="J365" i="3" s="1"/>
  <c r="I357" i="3"/>
  <c r="J357" i="3" s="1"/>
  <c r="I349" i="3"/>
  <c r="I341" i="3"/>
  <c r="J341" i="3" s="1"/>
  <c r="I270" i="3"/>
  <c r="J270" i="3" s="1"/>
  <c r="I261" i="3"/>
  <c r="J261" i="3" s="1"/>
  <c r="I252" i="3"/>
  <c r="J252" i="3" s="1"/>
  <c r="I243" i="3"/>
  <c r="J243" i="3" s="1"/>
  <c r="I238" i="3"/>
  <c r="J238" i="3" s="1"/>
  <c r="I229" i="3"/>
  <c r="I220" i="3"/>
  <c r="J220" i="3" s="1"/>
  <c r="I75" i="3"/>
  <c r="I116" i="3"/>
  <c r="J116" i="3" s="1"/>
  <c r="I183" i="3"/>
  <c r="J183" i="3" s="1"/>
  <c r="I191" i="3"/>
  <c r="J191" i="3" s="1"/>
  <c r="I224" i="3"/>
  <c r="J224" i="3" s="1"/>
  <c r="I233" i="3"/>
  <c r="J233" i="3" s="1"/>
  <c r="I242" i="3"/>
  <c r="I251" i="3"/>
  <c r="J251" i="3" s="1"/>
  <c r="I260" i="3"/>
  <c r="J260" i="3" s="1"/>
  <c r="I269" i="3"/>
  <c r="J269" i="3" s="1"/>
  <c r="I322" i="3"/>
  <c r="J322" i="3" s="1"/>
  <c r="I333" i="3"/>
  <c r="J333" i="3" s="1"/>
  <c r="I346" i="3"/>
  <c r="J346" i="3" s="1"/>
  <c r="I475" i="3"/>
  <c r="J475" i="3" s="1"/>
  <c r="I76" i="3"/>
  <c r="J76" i="3" s="1"/>
  <c r="I83" i="3"/>
  <c r="J83" i="3" s="1"/>
  <c r="I118" i="3"/>
  <c r="J118" i="3" s="1"/>
  <c r="I124" i="3"/>
  <c r="J124" i="3" s="1"/>
  <c r="I184" i="3"/>
  <c r="J184" i="3" s="1"/>
  <c r="I225" i="3"/>
  <c r="J225" i="3" s="1"/>
  <c r="I234" i="3"/>
  <c r="J234" i="3" s="1"/>
  <c r="I283" i="3"/>
  <c r="J283" i="3" s="1"/>
  <c r="I323" i="3"/>
  <c r="J323" i="3" s="1"/>
  <c r="I334" i="3"/>
  <c r="J334" i="3" s="1"/>
  <c r="I347" i="3"/>
  <c r="J347" i="3" s="1"/>
  <c r="I476" i="3"/>
  <c r="J476" i="3" s="1"/>
  <c r="I84" i="3"/>
  <c r="J84" i="3" s="1"/>
  <c r="I186" i="3"/>
  <c r="J186" i="3" s="1"/>
  <c r="I194" i="3"/>
  <c r="J194" i="3" s="1"/>
  <c r="I271" i="3"/>
  <c r="J271" i="3" s="1"/>
  <c r="I302" i="3"/>
  <c r="I348" i="3"/>
  <c r="J348" i="3" s="1"/>
  <c r="I444" i="3"/>
  <c r="J444" i="3" s="1"/>
  <c r="I326" i="3"/>
  <c r="J326" i="3" s="1"/>
  <c r="I331" i="3"/>
  <c r="J331" i="3" s="1"/>
  <c r="K39" i="1" l="1"/>
  <c r="L39" i="1" s="1"/>
  <c r="J228" i="3"/>
  <c r="J349" i="3"/>
  <c r="K64" i="1"/>
  <c r="L64" i="1" s="1"/>
  <c r="J479" i="3"/>
  <c r="K65" i="1"/>
  <c r="L65" i="1" s="1"/>
  <c r="K24" i="1"/>
  <c r="L24" i="1" s="1"/>
  <c r="K19" i="1"/>
  <c r="L19" i="1" s="1"/>
  <c r="J241" i="3"/>
  <c r="K61" i="1"/>
  <c r="L61" i="1" s="1"/>
  <c r="K68" i="1"/>
  <c r="L68" i="1" s="1"/>
  <c r="K53" i="1"/>
  <c r="L53" i="1" s="1"/>
  <c r="K50" i="1"/>
  <c r="L50" i="1" s="1"/>
  <c r="J242" i="3"/>
  <c r="K62" i="1"/>
  <c r="L62" i="1" s="1"/>
  <c r="K69" i="1"/>
  <c r="L69" i="1" s="1"/>
  <c r="K51" i="1"/>
  <c r="L51" i="1" s="1"/>
  <c r="K54" i="1"/>
  <c r="L54" i="1" s="1"/>
  <c r="J227" i="3"/>
  <c r="K60" i="1"/>
  <c r="L60" i="1" s="1"/>
  <c r="J113" i="3"/>
  <c r="K67" i="1"/>
  <c r="L67" i="1" s="1"/>
  <c r="J226" i="3"/>
  <c r="K5" i="1"/>
  <c r="L5" i="1" s="1"/>
  <c r="K4" i="1"/>
  <c r="L4" i="1" s="1"/>
  <c r="J188" i="3"/>
  <c r="K14" i="1"/>
  <c r="L14" i="1" s="1"/>
  <c r="K26" i="1"/>
  <c r="L26" i="1" s="1"/>
  <c r="K9" i="1"/>
  <c r="L9" i="1" s="1"/>
  <c r="J187" i="3"/>
  <c r="K25" i="1"/>
  <c r="L25" i="1" s="1"/>
  <c r="K20" i="1"/>
  <c r="L20" i="1" s="1"/>
  <c r="J302" i="3"/>
  <c r="K63" i="1"/>
  <c r="L63" i="1" s="1"/>
  <c r="J229" i="3"/>
  <c r="K40" i="1"/>
  <c r="L40" i="1" s="1"/>
  <c r="K47" i="1"/>
  <c r="L47" i="1" s="1"/>
  <c r="K35" i="1"/>
  <c r="L35" i="1" s="1"/>
  <c r="K49" i="1"/>
  <c r="L49" i="1" s="1"/>
  <c r="K46" i="1"/>
  <c r="L46" i="1" s="1"/>
  <c r="K48" i="1"/>
  <c r="L48" i="1" s="1"/>
  <c r="J351" i="3"/>
  <c r="K17" i="1"/>
  <c r="L17" i="1" s="1"/>
  <c r="K12" i="1"/>
  <c r="L12" i="1" s="1"/>
  <c r="J244" i="3"/>
  <c r="K16" i="1"/>
  <c r="L16" i="1" s="1"/>
  <c r="K11" i="1"/>
  <c r="L11" i="1" s="1"/>
  <c r="J231" i="3"/>
  <c r="K41" i="1"/>
  <c r="L41" i="1" s="1"/>
  <c r="K36" i="1"/>
  <c r="L36" i="1" s="1"/>
  <c r="J413" i="3"/>
  <c r="K70" i="1"/>
  <c r="L70" i="1" s="1"/>
  <c r="J23" i="3"/>
  <c r="K18" i="1"/>
  <c r="L18" i="1" s="1"/>
  <c r="K32" i="1"/>
  <c r="L32" i="1" s="1"/>
  <c r="K23" i="1"/>
  <c r="L23" i="1" s="1"/>
  <c r="K37" i="1"/>
  <c r="L37" i="1" s="1"/>
  <c r="J477" i="3"/>
  <c r="K42" i="1"/>
  <c r="L42" i="1" s="1"/>
  <c r="K44" i="1"/>
  <c r="L44" i="1" s="1"/>
  <c r="K43" i="1"/>
  <c r="L43" i="1" s="1"/>
  <c r="K45" i="1"/>
  <c r="L45" i="1" s="1"/>
  <c r="J75" i="3"/>
  <c r="K33" i="1"/>
  <c r="L33" i="1" s="1"/>
  <c r="K29" i="1"/>
  <c r="L29" i="1" s="1"/>
  <c r="K38" i="1"/>
  <c r="L38" i="1" s="1"/>
  <c r="K28" i="1"/>
  <c r="L28" i="1" s="1"/>
  <c r="J114" i="3"/>
  <c r="K13" i="1"/>
  <c r="L13" i="1" s="1"/>
  <c r="K8" i="1"/>
  <c r="L8" i="1" s="1"/>
  <c r="L72" i="1" l="1"/>
  <c r="M10" i="5" s="1"/>
  <c r="M6" i="5" l="1"/>
  <c r="M7" i="5" l="1"/>
</calcChain>
</file>

<file path=xl/sharedStrings.xml><?xml version="1.0" encoding="utf-8"?>
<sst xmlns="http://schemas.openxmlformats.org/spreadsheetml/2006/main" count="6677" uniqueCount="1683">
  <si>
    <t>articulo</t>
  </si>
  <si>
    <t>descripcion</t>
  </si>
  <si>
    <t>presentacion</t>
  </si>
  <si>
    <t>fecha</t>
  </si>
  <si>
    <t>modulo</t>
  </si>
  <si>
    <t>cbte</t>
  </si>
  <si>
    <t>numero</t>
  </si>
  <si>
    <t>cantidad</t>
  </si>
  <si>
    <t>razon</t>
  </si>
  <si>
    <t>UN</t>
  </si>
  <si>
    <t>VTAS</t>
  </si>
  <si>
    <t>RMX</t>
  </si>
  <si>
    <t>kit banda siliconada TOSTADORA IMPORTADA</t>
  </si>
  <si>
    <t>Relevo Térmico Lateral 531196400</t>
  </si>
  <si>
    <t>Relevo Térmico Superior 531196500</t>
  </si>
  <si>
    <t>Burlete Heladera de Leche 20,5 * 33</t>
  </si>
  <si>
    <t>932027030 MUELLE SOLAPA</t>
  </si>
  <si>
    <t>534393100 CONTADOR VOLUMETRICO GICAR CON ADAPT USADO</t>
  </si>
  <si>
    <t>RESORTE GUIA PISTON SUP</t>
  </si>
  <si>
    <t>10189</t>
  </si>
  <si>
    <t>BOMBA LECHE</t>
  </si>
  <si>
    <t>Resorte Inferior Tope Grupo Café</t>
  </si>
  <si>
    <t>10433</t>
  </si>
  <si>
    <t>KIT B 966952000</t>
  </si>
  <si>
    <t>10434</t>
  </si>
  <si>
    <t>KIT E1  966953000</t>
  </si>
  <si>
    <t>KIT E2 966954000</t>
  </si>
  <si>
    <t>966936010 Kit fotocélula conector</t>
  </si>
  <si>
    <t>PICO COMBINADO USADO</t>
  </si>
  <si>
    <t>10420</t>
  </si>
  <si>
    <t>KIT E3 781742000</t>
  </si>
  <si>
    <t>946810000 CONJ.SONDA DE NIVEL</t>
  </si>
  <si>
    <t>L&amp;A BURGER</t>
  </si>
  <si>
    <t>10340</t>
  </si>
  <si>
    <t>Filtro Aspiracion Leche 966423000</t>
  </si>
  <si>
    <t>532177500 REGLETA CONEXIONES 5 POLOS</t>
  </si>
  <si>
    <t>ELCTRO VALVULA 3 VIAS 533896510R</t>
  </si>
  <si>
    <t>Valor vendido en dolares</t>
  </si>
  <si>
    <t>CODIGO</t>
  </si>
  <si>
    <t>CATEGORIA</t>
  </si>
  <si>
    <t>DESCRIPCION</t>
  </si>
  <si>
    <t>DEPOSITO</t>
  </si>
  <si>
    <t>Proveedor</t>
  </si>
  <si>
    <t>PRECIO USD</t>
  </si>
  <si>
    <t>PRECIO ARS</t>
  </si>
  <si>
    <t>PRECIO EUR</t>
  </si>
  <si>
    <t>Precio final en USD</t>
  </si>
  <si>
    <t>Precio + valor FRQ</t>
  </si>
  <si>
    <t>Comentario</t>
  </si>
  <si>
    <t>Columna1</t>
  </si>
  <si>
    <t>Dólar hoy Banco Nacion</t>
  </si>
  <si>
    <t xml:space="preserve">Euro </t>
  </si>
  <si>
    <t>REPUESTOS</t>
  </si>
  <si>
    <t>TEFLON TOSTADORA VERTICAL IMPORTADA</t>
  </si>
  <si>
    <t>DEP_SANMA</t>
  </si>
  <si>
    <t>ADVANCE</t>
  </si>
  <si>
    <t>Euro a Dólar</t>
  </si>
  <si>
    <t>MANGUERA GAS BROILER</t>
  </si>
  <si>
    <t>DEP_PQBAYR</t>
  </si>
  <si>
    <t>NO CORRESPONDE</t>
  </si>
  <si>
    <t>Corresponde al inventario de Valentin</t>
  </si>
  <si>
    <t>KIT FILTRO HIELERA</t>
  </si>
  <si>
    <t>Valor agregado FRQ</t>
  </si>
  <si>
    <t>FILTRO REPUESTO HIELERA</t>
  </si>
  <si>
    <t>SIN STOCK</t>
  </si>
  <si>
    <t>CAJA FUERTE CHICA</t>
  </si>
  <si>
    <t>CAJA FUERTE GDE</t>
  </si>
  <si>
    <t>MARCO FREEZER CARNES</t>
  </si>
  <si>
    <t>CIRCOLO</t>
  </si>
  <si>
    <t>Repujador quita orring</t>
  </si>
  <si>
    <t>Baqueta 1,25 cm</t>
  </si>
  <si>
    <t>TABLA DE MESAS REDONDAS</t>
  </si>
  <si>
    <t>EXTRACCIONES USADAS</t>
  </si>
  <si>
    <t>No son usadas, estan rotas</t>
  </si>
  <si>
    <t xml:space="preserve">Extracciones rota para reparar </t>
  </si>
  <si>
    <t>LOCKER USADO</t>
  </si>
  <si>
    <t>T PARA FRENTE PHU</t>
  </si>
  <si>
    <t>SENSOR DE LLAMA NACIONAL</t>
  </si>
  <si>
    <t>Resistencias Electro</t>
  </si>
  <si>
    <t>CARTEL POLLO</t>
  </si>
  <si>
    <t>TENSOR CARGARDOR DE CARNES</t>
  </si>
  <si>
    <t>HIT LIMIT FREIDORA</t>
  </si>
  <si>
    <t>Internet</t>
  </si>
  <si>
    <t>523135120 TORNILLO AUTORROSCANTE</t>
  </si>
  <si>
    <t>CIMBALI</t>
  </si>
  <si>
    <t>KIT C MANTENIMIENTO CIMBALI</t>
  </si>
  <si>
    <t>Salpiquero Cimballi ( USADO)</t>
  </si>
  <si>
    <t xml:space="preserve">532392700 Válvula Seguridad </t>
  </si>
  <si>
    <t>TERMOPILA FREIDORA</t>
  </si>
  <si>
    <t>MERCADO LIBRE</t>
  </si>
  <si>
    <t>TERMOSTATO TRABAJO FREIDORA</t>
  </si>
  <si>
    <t>SERVICE PARTNERS</t>
  </si>
  <si>
    <t>PILOTO FREIDORA</t>
  </si>
  <si>
    <t>Aripafe</t>
  </si>
  <si>
    <t>PERILLA PARA TERMOSTATO</t>
  </si>
  <si>
    <t>PERILLA ALUMINIO</t>
  </si>
  <si>
    <t>ORINGS CHEDDAR</t>
  </si>
  <si>
    <t xml:space="preserve">17185 SENSOR LLAMA BROYLER </t>
  </si>
  <si>
    <t>MOTOR ACARAMELADORA</t>
  </si>
  <si>
    <t>PARTWON</t>
  </si>
  <si>
    <t>CADENA CHICA BROILER JF63  250 mm</t>
  </si>
  <si>
    <t>PLATO IZQ GRANDE BROILER</t>
  </si>
  <si>
    <t>PLATO DER CHICO BROILER</t>
  </si>
  <si>
    <t>VÁLVULA GAS BROILER</t>
  </si>
  <si>
    <t>CONTROLADOR TEM BROILER 19076</t>
  </si>
  <si>
    <t>10061</t>
  </si>
  <si>
    <t>CADENA GRANDE BROILER JF63 300mm</t>
  </si>
  <si>
    <t>LLAVE ESPATULA BROILER</t>
  </si>
  <si>
    <t>PLATO CHICO BROILER JF 64</t>
  </si>
  <si>
    <t>PLATO GRANDE BROILER JF 64</t>
  </si>
  <si>
    <t>FLEXIBLES QUEMADORES AIRE 20909</t>
  </si>
  <si>
    <t>VÁLVULA SOLENOIDE 1/2 19054</t>
  </si>
  <si>
    <t>FLEXIBLES QUEMADORES AIRE CORTO NACIONAL</t>
  </si>
  <si>
    <t>CADENA MOTOR REDUCTOR 6027</t>
  </si>
  <si>
    <t>MODULO DE IGNICION 16921</t>
  </si>
  <si>
    <t>CADENA GRANDE BROILER JF 64 430 mm</t>
  </si>
  <si>
    <t>FLEXIBLES QUEMADORES AIRE LARGO NACIONAL</t>
  </si>
  <si>
    <t>CADENA GRANDE BROILER JF63/2 330 mm</t>
  </si>
  <si>
    <t>MOTOR SOPLADOR BROILER</t>
  </si>
  <si>
    <t>BUJE BRONCE BROILER</t>
  </si>
  <si>
    <t>PIÑONES 17899 BROILER</t>
  </si>
  <si>
    <t>CADENA CHICA ORIGINAL</t>
  </si>
  <si>
    <t>RESISTENCIA BROILER Usada</t>
  </si>
  <si>
    <t>todas son desmanteladas de equipos</t>
  </si>
  <si>
    <t>CADENA CHICA BROILER JF64/JF63 2G  230 mm</t>
  </si>
  <si>
    <t>ENCARRILADOR LADO SENSOR</t>
  </si>
  <si>
    <t>SENSOR DE TEMP.BROILER</t>
  </si>
  <si>
    <t>KIT  ORINGS TAYLOR 713</t>
  </si>
  <si>
    <t>BPAR</t>
  </si>
  <si>
    <t>CUCHILLAS TAYLOR 713</t>
  </si>
  <si>
    <t>VASELINA TAYLOR</t>
  </si>
  <si>
    <t>CLIPS TUBO ALIMENTACION  TAYLOR 713</t>
  </si>
  <si>
    <t>LUBE ROJO TAYLOR</t>
  </si>
  <si>
    <t>ARANDELAS PLANAS PARA TOPPIING</t>
  </si>
  <si>
    <t>ARANDELAS CON ORING PARA TOPPIING</t>
  </si>
  <si>
    <t>CEPILLO BROILER GUIA DE CARNES</t>
  </si>
  <si>
    <t>TORNILLO FRENTE DE TAYLOR CORTO</t>
  </si>
  <si>
    <t>TORNILLO FRENTE DE TAYLOR LARGO</t>
  </si>
  <si>
    <t>SOMBRERO ALIMENTACION MEZCLA 713</t>
  </si>
  <si>
    <t>PURGAR 713</t>
  </si>
  <si>
    <t>SAL REGENERANTE X25KG</t>
  </si>
  <si>
    <t>SENSOR DE GRUPO</t>
  </si>
  <si>
    <t>946940000 KIT MANTENIMIENTO PREVENTIVO CHOCOLATE</t>
  </si>
  <si>
    <t>KIT "B" DE MANTENIMIENTO CIMBALI</t>
  </si>
  <si>
    <t>537056100 KIT DE CONDUCTO (TOBOGAN)</t>
  </si>
  <si>
    <t>KIT "A" DE MANTENIMIENTO CIMBALI</t>
  </si>
  <si>
    <t>KIT ORINGS TAYLOR 716</t>
  </si>
  <si>
    <t>CUCHILLAS TAYLOR 716</t>
  </si>
  <si>
    <t>Valvula EM</t>
  </si>
  <si>
    <t>EVETEC</t>
  </si>
  <si>
    <t>TORNILLOS DE ACERO INOXIDABLE</t>
  </si>
  <si>
    <t>966492000 PROTECTOR DE GOMA DE VALVULA DE PRESION</t>
  </si>
  <si>
    <t>401400000 ORRING DE JUNTA TORICA</t>
  </si>
  <si>
    <t>916537010 CONJUNTO VASO DE EXPANSIÓN</t>
  </si>
  <si>
    <t>966946000 SENSORES DE SOBREPRESION</t>
  </si>
  <si>
    <t>532177500 SOCALOS DE CONEXIÓN ELECTRICA</t>
  </si>
  <si>
    <t>REGADERAS</t>
  </si>
  <si>
    <t>KIT ARTEFACTO 45w DURLOCK</t>
  </si>
  <si>
    <t>BUJE TEFLON TRASERO BROILER</t>
  </si>
  <si>
    <t>SEPARADOR CARNES JF63 2-G CHICO</t>
  </si>
  <si>
    <t>SEPARADOR CARNES J63 2-G GRANDE</t>
  </si>
  <si>
    <t>ENCARRILADOR LADO DERECHO</t>
  </si>
  <si>
    <t>CONTACTOR HORNO</t>
  </si>
  <si>
    <t>LUZ ROJA HORNO</t>
  </si>
  <si>
    <t>RESISTENCIA HORNO</t>
  </si>
  <si>
    <t>TURBINA HORNO</t>
  </si>
  <si>
    <t>ELECTROVÁLVULA SIMPLE HORNO</t>
  </si>
  <si>
    <t>SWICH SEGURIDAD HORNO</t>
  </si>
  <si>
    <t>VIDRIO INTERIOR</t>
  </si>
  <si>
    <t>VIDRIO EXTERIOR NACIONAL</t>
  </si>
  <si>
    <t>TRABA QUEMADOR GAS BROILER</t>
  </si>
  <si>
    <t>REEMP. INTERNO ACERO CHEDDAR</t>
  </si>
  <si>
    <t>INTERNET</t>
  </si>
  <si>
    <t>TUERCA PLÁSTICA CHEDDAR</t>
  </si>
  <si>
    <t>TERMOMAGNÉTICA 4X63AMP</t>
  </si>
  <si>
    <t>CONTACTOR 3X12 BOBINA 220V</t>
  </si>
  <si>
    <t>CONTACTOR 3X12 BOBINA 24V</t>
  </si>
  <si>
    <t>CONMUTADORA CORTINA 3X20AMP</t>
  </si>
  <si>
    <t>FUSIBLE TABAQUERO 1X10 AMP</t>
  </si>
  <si>
    <t>FUSIBLE NH 125AMP</t>
  </si>
  <si>
    <t>PROTECTOR ALTA/BAJA TENSIÓN 40AMP</t>
  </si>
  <si>
    <t>INTERRUPTOR DE SEGURIDAD</t>
  </si>
  <si>
    <t>Bomba de leche</t>
  </si>
  <si>
    <t>534393100 CONTADOR VOLUMETRICO GICAR CON ADAPT</t>
  </si>
  <si>
    <t>537058400 ALIMENTADOR S30</t>
  </si>
  <si>
    <t>944704040 PISTON DIAM 44 STELPSEAL CON FONDO CAMARA</t>
  </si>
  <si>
    <t>946814010CONJ. RAMPA DESCAFEINADO</t>
  </si>
  <si>
    <t>966841020 CONJ CALENTADOR S30</t>
  </si>
  <si>
    <t>ESPATULA BROILER</t>
  </si>
  <si>
    <t>RESORTES PANINERA</t>
  </si>
  <si>
    <t>Plato Grande JF63 N</t>
  </si>
  <si>
    <t>Plato Chico JF63 N</t>
  </si>
  <si>
    <t>Tuerca Acero Chedar</t>
  </si>
  <si>
    <t>966486000 SENSOR DE TEMPERATURA</t>
  </si>
  <si>
    <t>MAGUERA 3/8 KIT FILTRO AGUA</t>
  </si>
  <si>
    <t>x metro</t>
  </si>
  <si>
    <t>MANIJA BLANCA TOPINERA</t>
  </si>
  <si>
    <t>MANIJA NEGRA TOPINERA</t>
  </si>
  <si>
    <t>TUERCA RESPALDO TOPINERA</t>
  </si>
  <si>
    <t>TUERCA SIN RESPALDO TOPINERA</t>
  </si>
  <si>
    <t>MANIJA EXTRACCIÓN TAYLOR</t>
  </si>
  <si>
    <t>RESORTE TOPINERA</t>
  </si>
  <si>
    <t>Soporte p/colgar Batidor</t>
  </si>
  <si>
    <t>Manija Columna Feteadora</t>
  </si>
  <si>
    <t>Tecla Encendido Feteadora</t>
  </si>
  <si>
    <t>Perilla Plato Feteadora</t>
  </si>
  <si>
    <t>Arandela Plastica Feteadora</t>
  </si>
  <si>
    <t>Prensa Fiambre Feteadora</t>
  </si>
  <si>
    <t>Perilla Ajusta Columna Feteadora</t>
  </si>
  <si>
    <t>Resistencia Horno UNOX</t>
  </si>
  <si>
    <t>531508600 CONTACTORA CIMBALLI</t>
  </si>
  <si>
    <t>VIDRIO INTERIOR HORNO UNOX</t>
  </si>
  <si>
    <t>VIDRIO EXTERIOR HORNO UNOX</t>
  </si>
  <si>
    <t>SOPORTE DE CAJA DE AIRE</t>
  </si>
  <si>
    <t>LAMPARAS DE PAPA 500 WATTS</t>
  </si>
  <si>
    <t>no se fabrica mas</t>
  </si>
  <si>
    <t>3781133399 MANOMETRO</t>
  </si>
  <si>
    <t>ORING CATTABRIGA                                  </t>
  </si>
  <si>
    <t>BAIRES</t>
  </si>
  <si>
    <t>TUBO ALIMENTACION CATTABRIGA</t>
  </si>
  <si>
    <t>Barra Cargadora 250mm</t>
  </si>
  <si>
    <t>Barra Cargadora 300mm</t>
  </si>
  <si>
    <t>Barra Cargadora 330mm</t>
  </si>
  <si>
    <t>Barra Cargadora 230mm</t>
  </si>
  <si>
    <t>Barra Cargadora 430mm</t>
  </si>
  <si>
    <t>KIT DE CEPILLOS IMPORTADO</t>
  </si>
  <si>
    <t>CORTINA CAMARA DE FRIO</t>
  </si>
  <si>
    <t>CUATRO MAR</t>
  </si>
  <si>
    <t>RESISTENCIA DE FREIDORA IG</t>
  </si>
  <si>
    <t>IG</t>
  </si>
  <si>
    <t>SERIGRAFIA DE TIMER DE PAPAS</t>
  </si>
  <si>
    <t>SETEC</t>
  </si>
  <si>
    <t>SENSOR GRUPO CAFE NACIONAL</t>
  </si>
  <si>
    <t>TEFLON PARA PLANCHA</t>
  </si>
  <si>
    <t>TACONIC</t>
  </si>
  <si>
    <t>CAMPANA PARA FRENTE PHU</t>
  </si>
  <si>
    <t>TERMOSTATO HI LIMIT FREIDORA</t>
  </si>
  <si>
    <t>VALVULA GAS FREIDORA IG</t>
  </si>
  <si>
    <t>BARRA TENSORA JF63/JF63N</t>
  </si>
  <si>
    <t>BARRA TENSORA JF64</t>
  </si>
  <si>
    <t>EJE DELANTERO CHICO JF63</t>
  </si>
  <si>
    <t>EJE DELANTERO GRANDE JF64</t>
  </si>
  <si>
    <t>EJE DELANTERO CHICO JF64 / JF63N GRANDE</t>
  </si>
  <si>
    <t>EJE DELANTERO CHICO JF63N</t>
  </si>
  <si>
    <t>LAMPARA 375W</t>
  </si>
  <si>
    <t>LUXRAM</t>
  </si>
  <si>
    <t>TENSOR TEFLON BROILLER</t>
  </si>
  <si>
    <t>Mismo codigo que 10013</t>
  </si>
  <si>
    <t>SOPORTE DE BANDEJA</t>
  </si>
  <si>
    <t>POMELLO LUNGO BIANCO</t>
  </si>
  <si>
    <t>CHAPA SUJECION TEFLON BR MV</t>
  </si>
  <si>
    <t>SEPARADOR CARNE MV LADO GRANDE</t>
  </si>
  <si>
    <t>SEPARADOR CARNE MV LADO CHICO</t>
  </si>
  <si>
    <t>PIÑON CADENA NAC TOSTADORA</t>
  </si>
  <si>
    <t>Antunes 7001339  TERMOSTATO PARA ACARAMELADORA</t>
  </si>
  <si>
    <t>PARTSTOWN</t>
  </si>
  <si>
    <t>Racord en T 532656700</t>
  </si>
  <si>
    <t xml:space="preserve">532656800 Racord T c/rosca Macho </t>
  </si>
  <si>
    <t xml:space="preserve">532657100 Racord Codo </t>
  </si>
  <si>
    <t xml:space="preserve"> 532658900 Racord Amarillo Codo</t>
  </si>
  <si>
    <t xml:space="preserve">966409000 Codo Entrada Leche Mang. </t>
  </si>
  <si>
    <t xml:space="preserve">402270000 Junta Cobre </t>
  </si>
  <si>
    <t xml:space="preserve"> 402302000 Junta Teflon</t>
  </si>
  <si>
    <t xml:space="preserve">463726000 Sensor Cajón Pozo  </t>
  </si>
  <si>
    <t xml:space="preserve">410146000 Iman Cajón de Pozo </t>
  </si>
  <si>
    <t xml:space="preserve">532567300 Racord Salida Volumetrico </t>
  </si>
  <si>
    <t>532650800 Racord Salida Grupo</t>
  </si>
  <si>
    <t xml:space="preserve">533900800 Válvula 3vias EDL </t>
  </si>
  <si>
    <t>Válvula Extraccion Simple</t>
  </si>
  <si>
    <t>Válvula Extraccion Combinada</t>
  </si>
  <si>
    <t>Rep. Válvula Extraccion Simple</t>
  </si>
  <si>
    <t>Rep. Válvula Extraccion Combinada</t>
  </si>
  <si>
    <t xml:space="preserve"> 59004010 MAGNETRÓN PARA MICROONDAS</t>
  </si>
  <si>
    <t>ACOPLE MACHO MANGUERA BR</t>
  </si>
  <si>
    <t>ACOPLE HEMBRA MANGUERA BR</t>
  </si>
  <si>
    <t>MOTOR EXTRACCION USADO</t>
  </si>
  <si>
    <t>TIRADOR P/ EMBREGUE CARGADOR CARNE</t>
  </si>
  <si>
    <t>CABLEADO CALDERA- CIMBALI</t>
  </si>
  <si>
    <t>JF63 SEPARADOR CHICO</t>
  </si>
  <si>
    <t>JF63 SEPARADOR GRANDE</t>
  </si>
  <si>
    <t>JF64 SEPARADOR CHICO</t>
  </si>
  <si>
    <t>JF64 SEPARADOR GRANDE</t>
  </si>
  <si>
    <t>TEFLON PARA BROILER</t>
  </si>
  <si>
    <t>966841010 Caldera S30 Nueva</t>
  </si>
  <si>
    <t>KIT ABLANDADOR DE AGUA</t>
  </si>
  <si>
    <t>PRIMATER</t>
  </si>
  <si>
    <t>FILTRO HQS CARBON</t>
  </si>
  <si>
    <t>Mercado libre Mexico</t>
  </si>
  <si>
    <t>CARTUCHO DE PREFILTRO EC 110</t>
  </si>
  <si>
    <t>CUCHILLA RASCADORA CATABRIGA</t>
  </si>
  <si>
    <t>MONITOR USADO DE 65"</t>
  </si>
  <si>
    <t>537058400 FUENTE DE ALIMENTACIÓN 24 V S30 USADO</t>
  </si>
  <si>
    <t>537060800 PLACA TRIACK S30 (NUEVA)</t>
  </si>
  <si>
    <t>MARCO FREEZER PAPAS</t>
  </si>
  <si>
    <t>PALANCA EXPULCION 431516030</t>
  </si>
  <si>
    <t>461054050 RESORTE</t>
  </si>
  <si>
    <t xml:space="preserve">531494300 CAPACITOR 10MF </t>
  </si>
  <si>
    <t xml:space="preserve">532091300 TECLA ENCENDIDO </t>
  </si>
  <si>
    <t xml:space="preserve">532302720 EMPALME Y  </t>
  </si>
  <si>
    <t xml:space="preserve">532600700 EMPALME PORTA GOMA </t>
  </si>
  <si>
    <t xml:space="preserve"> 532655700RACOR RECTO </t>
  </si>
  <si>
    <t>RACOR 90° 532658700F</t>
  </si>
  <si>
    <t xml:space="preserve"> 533180010 BOMBA INOX</t>
  </si>
  <si>
    <t>781742000 KIT E3</t>
  </si>
  <si>
    <t>KIT M 781743000</t>
  </si>
  <si>
    <t xml:space="preserve">944708000 KIT EMPAQUE RASPADOR </t>
  </si>
  <si>
    <t xml:space="preserve">944715000 DESLIZADOR FONDOS </t>
  </si>
  <si>
    <t>946781020 MOLIENDA COMPLETA DER.</t>
  </si>
  <si>
    <t xml:space="preserve">946804000 CAJON DE FONDOS </t>
  </si>
  <si>
    <t xml:space="preserve">966012020 AISLANTE DERA PERFORADO </t>
  </si>
  <si>
    <t>966013020 AISLANTE CALDERA</t>
  </si>
  <si>
    <t xml:space="preserve"> 966153000 POSICION TAZA</t>
  </si>
  <si>
    <t>966432000 BOQUILLA DIAM 0,6MM</t>
  </si>
  <si>
    <t xml:space="preserve"> 966519010 MOTOREDUCTOR ( MOLIENDA) </t>
  </si>
  <si>
    <t>KIT EM 966957000</t>
  </si>
  <si>
    <t>MONITOR USADO DE 43"</t>
  </si>
  <si>
    <t>610003110 TIRAS REACTIVAS DE AGUA</t>
  </si>
  <si>
    <t>461111000 PISTON SUPERIOR D 50</t>
  </si>
  <si>
    <t>531508600 MINICONTACTOR 20 A</t>
  </si>
  <si>
    <t>966549002F TUBO ELECTROVALVULAS</t>
  </si>
  <si>
    <t>3251133417 GOMA ANTIVIBR CON SOPORTE</t>
  </si>
  <si>
    <t>4001042313 CLAVIJA HEXAGONO INC GR M5</t>
  </si>
  <si>
    <t>461115015 PORTEPISTON D44</t>
  </si>
  <si>
    <t>4821108987 SEMICUERPO JUNTA BOMBA</t>
  </si>
  <si>
    <t>401235020 EMPAQUE 11*6,5*1,5</t>
  </si>
  <si>
    <t>402195010 OR 9,25*1,78* NFS</t>
  </si>
  <si>
    <t>402302000 JUNTA 17-13,2*1,5</t>
  </si>
  <si>
    <t>4081021923 ANILLO</t>
  </si>
  <si>
    <t>461080000 RESORTE PISTON SUP.</t>
  </si>
  <si>
    <t>481361000 FILTRO BOQUILLA</t>
  </si>
  <si>
    <t>4821023082 SEMICUERPO JUNTA MOTOR</t>
  </si>
  <si>
    <t>531194810 SONDA BOILER CAFE</t>
  </si>
  <si>
    <t>531494200 CONDENSADOR 14MF MET 41633929</t>
  </si>
  <si>
    <t>532162200 SUJETA CABLE</t>
  </si>
  <si>
    <t>532302500 TUBO ESPIRALADO</t>
  </si>
  <si>
    <t>532662300F RACOR CODO G3/8 M ORIENTABLE D8</t>
  </si>
  <si>
    <t>532746200 ABRAZADERA CON TORNILLO</t>
  </si>
  <si>
    <t>931301000 GUIA DESENGANCHE PALANCA EXPULSION FOND</t>
  </si>
  <si>
    <t>940072002F RACOR DIFUSOR CALENTADOR 1/8 GAS</t>
  </si>
  <si>
    <t>946805020 CONJ.CUBETA LAVADO S20/S30</t>
  </si>
  <si>
    <t>966026000 DOBLADORA DE TUBO</t>
  </si>
  <si>
    <t>966220010 REJILLA CUBETA</t>
  </si>
  <si>
    <t>981153000 NIPLE 3/8 GAS C/FILTRO</t>
  </si>
  <si>
    <t>CANASTA SOLIDA TEFLONADA PARA H. PRATICA</t>
  </si>
  <si>
    <t>CHAPON REFLECTOR BR MV GRANDE</t>
  </si>
  <si>
    <t>NO DEBERIAN ESTAR EN EL STOCK, son acondicionamiento de broiler MV</t>
  </si>
  <si>
    <t>CHAPON REFLECTOR BR MV CHICO</t>
  </si>
  <si>
    <t>PLAFON EMBUTIR CIRCULAR X 12 W FRIO</t>
  </si>
  <si>
    <t>PLAFON EMBUTIR CIRCULAR X 18 W FRIO</t>
  </si>
  <si>
    <t>REFLECTOR LED X 20 W FRIO</t>
  </si>
  <si>
    <t>PRONTO ELECTRICA</t>
  </si>
  <si>
    <t>LAMPARA LED AR 111 FRIA</t>
  </si>
  <si>
    <t>LAMPARA PERA FILAMENTO LED VINTAGE</t>
  </si>
  <si>
    <t>966513002F TUBO SENSOR PRESION</t>
  </si>
  <si>
    <t>BISAGRA HORNO UNOX</t>
  </si>
  <si>
    <t>CONTRA BISAGRA HORNO UNOX</t>
  </si>
  <si>
    <t>GUIA DE BANDEJA P/HORNO ( JUEGO DER-IZQ)</t>
  </si>
  <si>
    <t>SOPLADOR DE BROILER ORIGINAL</t>
  </si>
  <si>
    <t>CONTROLADOR DE MOTOR BROILER ORIGINAL</t>
  </si>
  <si>
    <t>KIT DE REPUESTOS BROILER MV</t>
  </si>
  <si>
    <t>Vino con el broiler no tiene codigo de parte porque son varios</t>
  </si>
  <si>
    <t>VALVULA EAC USADA</t>
  </si>
  <si>
    <t>533902500 VALVULA EAR USADA</t>
  </si>
  <si>
    <t>3781133399 MANOMETRO CIMBALLI USADO</t>
  </si>
  <si>
    <t>533180010 BOMBA INOX CIMBALLI USADO</t>
  </si>
  <si>
    <t>533896940F VALVULA EV 3 VIAS USADA</t>
  </si>
  <si>
    <t>PLACA MANITOWOC USADA 000007926</t>
  </si>
  <si>
    <t xml:space="preserve">63925SER PLACA TAYLOR  USADA </t>
  </si>
  <si>
    <t>TAYLOR</t>
  </si>
  <si>
    <t>537060800 PLACA TRIACK USADA</t>
  </si>
  <si>
    <t>BANDEJA DE HORNO PRATICA</t>
  </si>
  <si>
    <t>966846040 PLACA CPU USADA</t>
  </si>
  <si>
    <t>son placas para reparar</t>
  </si>
  <si>
    <t>PLACA FLEX</t>
  </si>
  <si>
    <t>SENSOR DE NIVEL USADO</t>
  </si>
  <si>
    <t>944881020F VALVULA DE EXPANSION USADA</t>
  </si>
  <si>
    <t>VALVULA 3 VIAS G</t>
  </si>
  <si>
    <t>944794010 ARIADOR USADO</t>
  </si>
  <si>
    <t>532657700 VALVULA ANT. 6MM</t>
  </si>
  <si>
    <t>3951133673 CAPILAR USADO</t>
  </si>
  <si>
    <t>BOMBA PRESURISADORA</t>
  </si>
  <si>
    <t>KIT HORNO PRATICA</t>
  </si>
  <si>
    <t>Tengo que dividir el repuesto en varios item</t>
  </si>
  <si>
    <t>KIT BOMBA TAYLOR USADO</t>
  </si>
  <si>
    <t>FICHA 10 AMP</t>
  </si>
  <si>
    <t>FICHA STECK MACHO</t>
  </si>
  <si>
    <t>REFLECTORES 50 W</t>
  </si>
  <si>
    <t>KIT TERMICAS</t>
  </si>
  <si>
    <t>KIT 220 VOLTS</t>
  </si>
  <si>
    <t>REJILLA FREIDORA IG</t>
  </si>
  <si>
    <t>SALPICADERO USADO</t>
  </si>
  <si>
    <t>son para reparar</t>
  </si>
  <si>
    <t>QUEMADOR INF JF 63 USADO</t>
  </si>
  <si>
    <t>CAJA DE AIRE USADA JF 63</t>
  </si>
  <si>
    <t>TOLVA DE CHOCOLATE USADA</t>
  </si>
  <si>
    <t>KIT TOLVA CAFÉ</t>
  </si>
  <si>
    <t>BANDEJA DESAGUE CIMBALLI</t>
  </si>
  <si>
    <t>TAPA TRASERA S30 USADA</t>
  </si>
  <si>
    <t>946531000 TAPA SUPERIOR S30 USADA</t>
  </si>
  <si>
    <t>946807000 TAPA LATERAL S30 USADA</t>
  </si>
  <si>
    <t>GRUPO CAFÉ USADO</t>
  </si>
  <si>
    <t>Son solo carcazas</t>
  </si>
  <si>
    <t>CALDERA ROTA GRANDE</t>
  </si>
  <si>
    <t>son rotas para reparar</t>
  </si>
  <si>
    <t>CALDERA ROTA CHICA</t>
  </si>
  <si>
    <t>946782020 MOTOR DE MOLIENDA USADO</t>
  </si>
  <si>
    <t>530298120 MOTOR DE AGUA USADO</t>
  </si>
  <si>
    <t>946811000 TORRE DE DOSIFICACION COMPLETA USADA</t>
  </si>
  <si>
    <t>TAPA GRUPO CAFÉ USADA</t>
  </si>
  <si>
    <t>985758010 LANZA DE VAPOR USADA</t>
  </si>
  <si>
    <t>946811000 LANZA DE TE USADA</t>
  </si>
  <si>
    <t>CONTROLADRO DE MOTOR BR USADO</t>
  </si>
  <si>
    <t>BURLETE HORNO UNOX</t>
  </si>
  <si>
    <t>401347000 KIT A Orring grande negro</t>
  </si>
  <si>
    <t>966402010 KIT A Gitante Mixer</t>
  </si>
  <si>
    <t>402223000 KIT A Orring verde</t>
  </si>
  <si>
    <t>402186010 KIT A Orring transparente chico</t>
  </si>
  <si>
    <t>402187010 KIT A  Orring transparente grande</t>
  </si>
  <si>
    <t>401374000 KIT A Orring chico negro</t>
  </si>
  <si>
    <t>461518000 KIT A filtro de grupo</t>
  </si>
  <si>
    <t>936188000 KIT A Arandela blanca de piston</t>
  </si>
  <si>
    <t>936197000 KIT A tornillo inox punta azul</t>
  </si>
  <si>
    <t>Numero de parte incorrecto</t>
  </si>
  <si>
    <t>532658900 KIT A racor codo</t>
  </si>
  <si>
    <t>532655600 KIT A RACORD ACOPLE</t>
  </si>
  <si>
    <t>532657600 KIT A Racor Doble</t>
  </si>
  <si>
    <t>946813000 KIT A Pico salida café</t>
  </si>
  <si>
    <t>484391000 KIT B manguera de leche</t>
  </si>
  <si>
    <t>944794010 KIT B embudo Circuito de leche</t>
  </si>
  <si>
    <t>946740000 KIT B pico salida de leche</t>
  </si>
  <si>
    <t>946810000 KIT C  zonda Caldera</t>
  </si>
  <si>
    <t>946235000 KIT C tubo manguera 12,5 cm</t>
  </si>
  <si>
    <t>946233000 KIT C tubo manguera 11,5 cm</t>
  </si>
  <si>
    <t>946234000 KIT C  tubo manguera 10,5 cm</t>
  </si>
  <si>
    <t>946240000 KIT C tubo manguera 19 cm</t>
  </si>
  <si>
    <t>946241000 KIT C TUBO SILICONA6X 10 DE 15 CM</t>
  </si>
  <si>
    <t>946238000 KIT C TUBO MANGUERA ENRROLLADA CHICO</t>
  </si>
  <si>
    <t>946239000 KIT C TUBO SILICONA 4,8 X 7,9 ENROLLADA</t>
  </si>
  <si>
    <t>946236000 KIT C Tubo manguera enrrollada grande</t>
  </si>
  <si>
    <t>946237000 KIT C  TUBO SILICONA6X 10 GRANDE</t>
  </si>
  <si>
    <t>401183010 KIT C ARANDELA BLANCA</t>
  </si>
  <si>
    <t>981153000 KIT C NIPLE 3/8</t>
  </si>
  <si>
    <t>402195000 KIT C ORRING VERDE 9,25 X 1,78</t>
  </si>
  <si>
    <t>481361000 KIT C FILTRO SENSOR  9X 1,5</t>
  </si>
  <si>
    <t>Soporte de maquina de hielo Manitowc "J"</t>
  </si>
  <si>
    <t>TEC SOLUCIONES</t>
  </si>
  <si>
    <t>Manifold  R22/410/404/407</t>
  </si>
  <si>
    <t>LOPE DE VEGA</t>
  </si>
  <si>
    <t>Forzador de Camara 30 Soplante</t>
  </si>
  <si>
    <t>Forzador de Camara 30 Aspirante</t>
  </si>
  <si>
    <t>Forzador de Camara 35 Aspirante</t>
  </si>
  <si>
    <t>Forzador de Camara 35 Soplante</t>
  </si>
  <si>
    <t>19913 Buje plastico para precadena</t>
  </si>
  <si>
    <t>Cadena de Broiler MV64E 230 mm</t>
  </si>
  <si>
    <t>Cadena de Broiler MV64E 430 mm</t>
  </si>
  <si>
    <t>BUJE PLASTICO PRECADENA</t>
  </si>
  <si>
    <t>PISO DE GOMA ANTIDESLIZANTE X MT</t>
  </si>
  <si>
    <t>ARIPAFE</t>
  </si>
  <si>
    <t>21204 # canaleta para grasa JF63</t>
  </si>
  <si>
    <t>canaleta para grasa JF64</t>
  </si>
  <si>
    <t>CONTRAAGITADOR COMPLETO</t>
  </si>
  <si>
    <t>TAPA P/FREEZER [JUEGO 1 CCO + 1 GDE]</t>
  </si>
  <si>
    <t>14896 Cojinete interno Embrague</t>
  </si>
  <si>
    <t>22929 Transformador Nieco</t>
  </si>
  <si>
    <t>16034 Transformador Nieco  24 V usado</t>
  </si>
  <si>
    <t>16034 Transformador Nieco  24 V</t>
  </si>
  <si>
    <t>7001580 Antunes Tecla de encendido</t>
  </si>
  <si>
    <t>15480 Interruptor disyuntor Nieco , 2 polos, 50 A Usado</t>
  </si>
  <si>
    <t>13579 Pulsador, inversión de motor Usado</t>
  </si>
  <si>
    <t>532652000 EMPALME RAPIDO A CODO</t>
  </si>
  <si>
    <t>944088000F FILTRO D.50 250 MICRAS</t>
  </si>
  <si>
    <t>532655900 RAC.GOM. G1/8 M</t>
  </si>
  <si>
    <t>402246010 Oring  55,25X2,62</t>
  </si>
  <si>
    <t xml:space="preserve">946372000  REGULADOR DE FLUJO 1/8 NIQUELADO </t>
  </si>
  <si>
    <t>534600100 FILTRO SILENCIADOR</t>
  </si>
  <si>
    <t>012721 Cuplin de Taylor 3/4 "X 1 7/8"</t>
  </si>
  <si>
    <t>431914010 MOTOR 24V 420RPM</t>
  </si>
  <si>
    <t>23159 Placa Flex Usada</t>
  </si>
  <si>
    <t>Evetec</t>
  </si>
  <si>
    <t>055987 PERNO PARA TORNILLO DE FREEZER DOOR USADO</t>
  </si>
  <si>
    <t>JRF</t>
  </si>
  <si>
    <t>32564 EJE DE BATIDOR USADO</t>
  </si>
  <si>
    <t>021286SER1 Reductor de Taylor 713/716 USADO</t>
  </si>
  <si>
    <t>JTC</t>
  </si>
  <si>
    <t>021522-27  Taylor 089459-27 MOTOR USADO</t>
  </si>
  <si>
    <t>053481-27 Motor De Ventilador (TURBINA) usado</t>
  </si>
  <si>
    <t>048259-27H COMPRESSOR Taylor USADO</t>
  </si>
  <si>
    <t>533897820 Valvula  2VIE 1/8G usada</t>
  </si>
  <si>
    <t>G29090-CF23 HEADSET HS6200</t>
  </si>
  <si>
    <t>104G044 BATERIAS BAT50</t>
  </si>
  <si>
    <t>25331 Separador Porta Phu</t>
  </si>
  <si>
    <t>28112 - Chapon Trasero JF 64</t>
  </si>
  <si>
    <t>BANDEJA DE GOTEO FRONTAL - 500MM TAYLOR</t>
  </si>
  <si>
    <t xml:space="preserve">Termistor Taylor </t>
  </si>
  <si>
    <t>Taylor</t>
  </si>
  <si>
    <t>533896630R VALVULA EV 2 VIE D3 24VCC</t>
  </si>
  <si>
    <t>Bandeja Lateral Taylor 713</t>
  </si>
  <si>
    <t>Frente Polieste Round up</t>
  </si>
  <si>
    <t>Quemador Inferior JF 64 Nacional</t>
  </si>
  <si>
    <t>R-KPE2107A  Kit Panel control Horno Unox</t>
  </si>
  <si>
    <t>CONECTECH</t>
  </si>
  <si>
    <t>KIT CRISTAL UNICO SUPERIOR NEGRO RALLAS Paninera</t>
  </si>
  <si>
    <t>IC743000114  Vaselina Cattabriga</t>
  </si>
  <si>
    <t>IC155-005945 VARILLA NIVEL COMPLETA Cattabriga</t>
  </si>
  <si>
    <t>IC118108120 Cuerpo frente Cattabriga</t>
  </si>
  <si>
    <t>Caldera reparada</t>
  </si>
  <si>
    <t>Resistencia de Broiler electrico MV/JF</t>
  </si>
  <si>
    <t>RESISTENCIAS ELECTRO</t>
  </si>
  <si>
    <t>Escudo de Calor JF 64</t>
  </si>
  <si>
    <t>Sensor de hielo Manitowc</t>
  </si>
  <si>
    <t>Sonda de temperatura de Cattabriga</t>
  </si>
  <si>
    <t xml:space="preserve">Caja de Aire JF 63 </t>
  </si>
  <si>
    <t>Separador Cambro Broiler JF 63</t>
  </si>
  <si>
    <t>02-5028-02 Solapa con Iman Scotman</t>
  </si>
  <si>
    <t>02-5029-01 Deflector Scotman</t>
  </si>
  <si>
    <t>11-0606-02 Termistores Scotman</t>
  </si>
  <si>
    <t>12-3122-26 Bomba de Agua Scotman</t>
  </si>
  <si>
    <t>Grasera plancha chica</t>
  </si>
  <si>
    <t>Grasera plancha mediana</t>
  </si>
  <si>
    <t>Chapon delantero JF64</t>
  </si>
  <si>
    <t>Resistencia de Broiler Electrico Grande  JF Nacional</t>
  </si>
  <si>
    <t>Resistencia Transfer de hamburguesa</t>
  </si>
  <si>
    <t>Filtro de cobre 30 Gm con chocote</t>
  </si>
  <si>
    <t>Motocompresor R134 Freezer papas/freezer BR</t>
  </si>
  <si>
    <t>Valvula de carga para soldar</t>
  </si>
  <si>
    <t>Combistato de 1 sonda</t>
  </si>
  <si>
    <t>Cable tipo taller por mt</t>
  </si>
  <si>
    <t>934168010 Empalme Portagoma acoplamiento rapido S20</t>
  </si>
  <si>
    <t>936159045F Fondo de Camara Diametro 44</t>
  </si>
  <si>
    <t>936318000 Agitador para Molinillo</t>
  </si>
  <si>
    <t>944706030 Piston Diametro 44 Stepseal</t>
  </si>
  <si>
    <t>946792020 Moledor Izq Completo</t>
  </si>
  <si>
    <t>947155000 Etiqueta Aire Fria</t>
  </si>
  <si>
    <t>966234010 Base Tolva Cafe Doble</t>
  </si>
  <si>
    <t>781739020 Kit B PPM S20</t>
  </si>
  <si>
    <t>781741000 Kit E22 PPM S20</t>
  </si>
  <si>
    <t>781745000 Kit "C" PPM S20</t>
  </si>
  <si>
    <t>781740010 Kit E1 PPM S20</t>
  </si>
  <si>
    <t>966957020 Kit "EM" CBM S30-S20</t>
  </si>
  <si>
    <t>418925002 Valvula Retencion 1/8</t>
  </si>
  <si>
    <t>419506030 Form. Valvula de Retencion</t>
  </si>
  <si>
    <t>532567400 Empalme a Codo AD4 a D6</t>
  </si>
  <si>
    <t>532657000 Racor Rapido Recto 6M-4F</t>
  </si>
  <si>
    <t>966409000 Racor P. Goma Emp rapido D4</t>
  </si>
  <si>
    <t>976727000 Chapa cierre Camara</t>
  </si>
  <si>
    <t>981011000F Conjunto de Tubo sensor de presion</t>
  </si>
  <si>
    <t>FRENTE HELADERA VERTICAL - 550x200MM [CHICO]</t>
  </si>
  <si>
    <t>BANDEJA DE GOTEO FRONTAL CATTABRIGA</t>
  </si>
  <si>
    <t>SENSOR DE NIVEL CATTABRIGA</t>
  </si>
  <si>
    <t>Relay Finder Cattabriga</t>
  </si>
  <si>
    <t>Ruedas Freezer papas/broiler</t>
  </si>
  <si>
    <t>Sensor de freezer door</t>
  </si>
  <si>
    <t>Tuerca Grupo Café</t>
  </si>
  <si>
    <t xml:space="preserve"> 932013010 Soporte solapa</t>
  </si>
  <si>
    <t>IDITEC</t>
  </si>
  <si>
    <t xml:space="preserve"> 966171000 Rampa de salida de producto</t>
  </si>
  <si>
    <t>EV. 3 VÍAS ETV-SO2 (ELF3)</t>
  </si>
  <si>
    <t>Sensor de Temperatura</t>
  </si>
  <si>
    <t>530298120MOTOR BOMBA 220 -240/50-60</t>
  </si>
  <si>
    <t>VÁLVULA 3 VÍAS RPE diám. 1,5</t>
  </si>
  <si>
    <t>946453000 Engranaje Conico</t>
  </si>
  <si>
    <t>966519010 MOTORREDUCTOR</t>
  </si>
  <si>
    <t xml:space="preserve">537060800 TARJETA TRIAC S30	</t>
  </si>
  <si>
    <t>966011002F RACOR DIFUSOR CALDERA</t>
  </si>
  <si>
    <t xml:space="preserve">ELECTROV. 3 VÍAS	</t>
  </si>
  <si>
    <t>Tubo de Alimentacion Catabriga Nacional</t>
  </si>
  <si>
    <t>ACCES TECH</t>
  </si>
  <si>
    <t>966485000 RES. DE CARTUCHO C/CON.</t>
  </si>
  <si>
    <t>966846040 TARJETA CPU</t>
  </si>
  <si>
    <t>Cimbali</t>
  </si>
  <si>
    <t>Precio de Lista</t>
  </si>
  <si>
    <t>Margen Gancia</t>
  </si>
  <si>
    <t>LOS INVENCIBLES S,A (GUEMES)</t>
  </si>
  <si>
    <t>10020</t>
  </si>
  <si>
    <t>Válvula Seguridad 532392700</t>
  </si>
  <si>
    <t>MTZ CABILDO SAS</t>
  </si>
  <si>
    <t>ZONSUR S.R.L. (S. LIBERTAD)</t>
  </si>
  <si>
    <t>10755</t>
  </si>
  <si>
    <t>10774</t>
  </si>
  <si>
    <t>00008549</t>
  </si>
  <si>
    <t>EVOLUCION DRF S.R.L</t>
  </si>
  <si>
    <t>00008613</t>
  </si>
  <si>
    <t>SAMBU S.A.S.</t>
  </si>
  <si>
    <t>10119</t>
  </si>
  <si>
    <t>KIT DE CONDUCTO (TOBOGAN)</t>
  </si>
  <si>
    <t>00008584</t>
  </si>
  <si>
    <t>00008615</t>
  </si>
  <si>
    <t>BURGERBUS S.A.</t>
  </si>
  <si>
    <t>10136</t>
  </si>
  <si>
    <t>PLACA TRIAK SCHEDA</t>
  </si>
  <si>
    <t>10190</t>
  </si>
  <si>
    <t>CONTADOR VOLUMETRICO GICAR CON ADAPT</t>
  </si>
  <si>
    <t>00008544</t>
  </si>
  <si>
    <t>10333</t>
  </si>
  <si>
    <t>10334</t>
  </si>
  <si>
    <t>00008531</t>
  </si>
  <si>
    <t>00008596</t>
  </si>
  <si>
    <t>00008768</t>
  </si>
  <si>
    <t>DRAS SRL</t>
  </si>
  <si>
    <t>10417</t>
  </si>
  <si>
    <t>RACOR RECTO 532655700</t>
  </si>
  <si>
    <t>00008512</t>
  </si>
  <si>
    <t>BOEDO GOURMET SRL</t>
  </si>
  <si>
    <t>10419</t>
  </si>
  <si>
    <t>BOMBA INOX 533180010</t>
  </si>
  <si>
    <t>00008629</t>
  </si>
  <si>
    <t>AMICI VERDE S.R.L.</t>
  </si>
  <si>
    <t>00008614</t>
  </si>
  <si>
    <t>REDFOOD SRL</t>
  </si>
  <si>
    <t>00008659</t>
  </si>
  <si>
    <t>PARADOR 71 SRL(LINIERS)</t>
  </si>
  <si>
    <t>00008713</t>
  </si>
  <si>
    <t>FRANUS S.A.</t>
  </si>
  <si>
    <t>10421</t>
  </si>
  <si>
    <t>00008727</t>
  </si>
  <si>
    <t>10436</t>
  </si>
  <si>
    <t>10644</t>
  </si>
  <si>
    <t>00008490</t>
  </si>
  <si>
    <t>JULUSA S.R.L</t>
  </si>
  <si>
    <t>00008525</t>
  </si>
  <si>
    <t>00008561</t>
  </si>
  <si>
    <t>PUESTO RICO SA</t>
  </si>
  <si>
    <t>10887</t>
  </si>
  <si>
    <t>936045000 ANILLO BENZING OPTURADOR FOTOCELULA</t>
  </si>
  <si>
    <t>10888</t>
  </si>
  <si>
    <t>944704040 PISTÓN DIÁM 44 STEPSEAL CON FONDO CÁMARA</t>
  </si>
  <si>
    <t>00008758</t>
  </si>
  <si>
    <t>00009218</t>
  </si>
  <si>
    <t>L.C. TRESM S.R.L.</t>
  </si>
  <si>
    <t>00009197</t>
  </si>
  <si>
    <t>ZVEZA S.R.L.</t>
  </si>
  <si>
    <t>10801</t>
  </si>
  <si>
    <t>00009223</t>
  </si>
  <si>
    <t>LIBERTAD OPERACIONES  S.A</t>
  </si>
  <si>
    <t>10908</t>
  </si>
  <si>
    <t>746710000 KIT Caldera S30 con tapa posterior y jun</t>
  </si>
  <si>
    <t>00008974</t>
  </si>
  <si>
    <t>00008950</t>
  </si>
  <si>
    <t>ZONSUR S.R.L. (GOMEZ PARDO)</t>
  </si>
  <si>
    <t>10594</t>
  </si>
  <si>
    <t>00008883</t>
  </si>
  <si>
    <t>10642</t>
  </si>
  <si>
    <t>10418</t>
  </si>
  <si>
    <t>00008822</t>
  </si>
  <si>
    <t>ZENTA FOOD S.A.S</t>
  </si>
  <si>
    <t>00008825</t>
  </si>
  <si>
    <t>Gancho para separador de carnes</t>
  </si>
  <si>
    <t>FERNANDEZ NATALIA Y DE ZUBIZAR</t>
  </si>
  <si>
    <t>IDAVE SRL</t>
  </si>
  <si>
    <t>BARSI FOODS S.A (SAN ISIDRO)</t>
  </si>
  <si>
    <t>VILLA MATILDE MDQ S.A (LA PERL</t>
  </si>
  <si>
    <t>total</t>
  </si>
  <si>
    <t>Código (Ticket)</t>
  </si>
  <si>
    <t>Categoría</t>
  </si>
  <si>
    <t>Incidencia</t>
  </si>
  <si>
    <t>Prioridad</t>
  </si>
  <si>
    <t>Cód. de Sucursal</t>
  </si>
  <si>
    <t>Sucursal</t>
  </si>
  <si>
    <t>Fecha de Resolución</t>
  </si>
  <si>
    <t>HORAS</t>
  </si>
  <si>
    <t>USD</t>
  </si>
  <si>
    <t>EQUIPOS;CAFETERAS CIMBALI</t>
  </si>
  <si>
    <t>ER 021  y 022 - Anomalía en movimiento de las muelas</t>
  </si>
  <si>
    <t>Urgente</t>
  </si>
  <si>
    <t>FAVE</t>
  </si>
  <si>
    <t>Avellaneda</t>
  </si>
  <si>
    <t>2026-01-09 12:18:02</t>
  </si>
  <si>
    <t>2026-01-10 12:46:41</t>
  </si>
  <si>
    <t>2026-01-23 16:27:01</t>
  </si>
  <si>
    <t>ER 003 - Cámara fuera de posición, maquina bloqueada</t>
  </si>
  <si>
    <t>2026-01-30 13:28:02</t>
  </si>
  <si>
    <t>ER 033 y 034 - Falla de válvula, revisar según error</t>
  </si>
  <si>
    <t>2026-01-26 15:31:39</t>
  </si>
  <si>
    <t>;OTROS</t>
  </si>
  <si>
    <t>Otros trabajos, detallar en comentarios</t>
  </si>
  <si>
    <t>Baja</t>
  </si>
  <si>
    <t>2026-01-27 07:33:23</t>
  </si>
  <si>
    <t>FMBER</t>
  </si>
  <si>
    <t>Berazategui</t>
  </si>
  <si>
    <t>2025-12-28 12:26:20</t>
  </si>
  <si>
    <t>2026-01-10 14:15:08</t>
  </si>
  <si>
    <t>2026-01-10 14:54:43</t>
  </si>
  <si>
    <t>2026-01-13 18:04:29</t>
  </si>
  <si>
    <t>2026-01-14 15:36:52</t>
  </si>
  <si>
    <t>ER 062 a 065 - Calibrar equipo, filtros obstruidos o falla sensor, según error</t>
  </si>
  <si>
    <t>Normal</t>
  </si>
  <si>
    <t>2026-01-19 14:55:49</t>
  </si>
  <si>
    <t>ER 025 a 032 - Cableado defectuoso, revisar según error</t>
  </si>
  <si>
    <t>2026-01-19 14:55:30</t>
  </si>
  <si>
    <t>ER 041 - Sobrecalentamiento de motor de bomba de leche</t>
  </si>
  <si>
    <t>2026-01-22 23:05:02</t>
  </si>
  <si>
    <t>FMBOE</t>
  </si>
  <si>
    <t>Boedo</t>
  </si>
  <si>
    <t>2025-12-31 15:10:59</t>
  </si>
  <si>
    <t>ER 056 - Falla en sensor de temperatura</t>
  </si>
  <si>
    <t>2026-01-05 17:34:59</t>
  </si>
  <si>
    <t>2026-01-07 10:02:56</t>
  </si>
  <si>
    <t>2026-01-08 14:46:10</t>
  </si>
  <si>
    <t>Otras fallas, indicar número de falla</t>
  </si>
  <si>
    <t>2026-01-09 14:09:07</t>
  </si>
  <si>
    <t>Equipo salta el disyuntor o térmica</t>
  </si>
  <si>
    <t>2026-01-15 09:45:52</t>
  </si>
  <si>
    <t>2026-01-17 17:55:16</t>
  </si>
  <si>
    <t>2026-01-20 21:12:01</t>
  </si>
  <si>
    <t>2026-01-23 19:33:34</t>
  </si>
  <si>
    <t>FCABI</t>
  </si>
  <si>
    <t>Cabildo</t>
  </si>
  <si>
    <t>2026-01-02 19:46:51</t>
  </si>
  <si>
    <t>2026-01-07 19:22:34</t>
  </si>
  <si>
    <t>2026-01-09 15:32:30</t>
  </si>
  <si>
    <t>2026-01-09 16:12:17</t>
  </si>
  <si>
    <t>2026-01-09 22:18:50</t>
  </si>
  <si>
    <t>2026-01-15 19:33:22</t>
  </si>
  <si>
    <t>2026-01-19 16:51:37</t>
  </si>
  <si>
    <t>2026-01-22 13:06:27</t>
  </si>
  <si>
    <t>2026-01-25 17:20:41</t>
  </si>
  <si>
    <t>FMCYM</t>
  </si>
  <si>
    <t>Cabildo 2</t>
  </si>
  <si>
    <t>2026-01-09 15:38:17</t>
  </si>
  <si>
    <t xml:space="preserve">ER 066 y 067 - Falta de agua </t>
  </si>
  <si>
    <t>2026-01-09 22:27:12</t>
  </si>
  <si>
    <t>ER 037 y 038 - Falla en sensor, revisar según error</t>
  </si>
  <si>
    <t>2026-01-16 18:26:02</t>
  </si>
  <si>
    <t>2026-01-19 15:07:13</t>
  </si>
  <si>
    <t>FMCAN</t>
  </si>
  <si>
    <t>Canning</t>
  </si>
  <si>
    <t>2025-12-28 14:22:18</t>
  </si>
  <si>
    <t>ER 008 - Timeout manipulación grupo, falla en bloque mecanico</t>
  </si>
  <si>
    <t>2026-01-07 11:45:49</t>
  </si>
  <si>
    <t>2026-01-10 17:49:38</t>
  </si>
  <si>
    <t>FMVCP</t>
  </si>
  <si>
    <t>Carlos Paz</t>
  </si>
  <si>
    <t>2025-12-30 14:03:46</t>
  </si>
  <si>
    <t>2026-01-02 20:59:11</t>
  </si>
  <si>
    <t>2026-01-19 15:31:09</t>
  </si>
  <si>
    <t>FCFQU</t>
  </si>
  <si>
    <t>Carr Quilmes</t>
  </si>
  <si>
    <t>2026-01-07 09:21:23</t>
  </si>
  <si>
    <t>ER 058 - Falla en sonda de nivel</t>
  </si>
  <si>
    <t>2026-01-14 20:20:50</t>
  </si>
  <si>
    <t>FMCNT</t>
  </si>
  <si>
    <t>Constitución</t>
  </si>
  <si>
    <t>2025-12-28 12:22:47</t>
  </si>
  <si>
    <t>2026-01-03 11:31:03</t>
  </si>
  <si>
    <t>2026-01-22 08:06:50</t>
  </si>
  <si>
    <t>ER 059 a 061 - Problemas con el suministro de agua del equipo</t>
  </si>
  <si>
    <t>FFLOR</t>
  </si>
  <si>
    <t>Flores</t>
  </si>
  <si>
    <t>2026-01-16 12:38:23</t>
  </si>
  <si>
    <t>FFRA</t>
  </si>
  <si>
    <t>Francisco  Alvarez</t>
  </si>
  <si>
    <t>2026-01-02 14:40:44</t>
  </si>
  <si>
    <t>FGONN</t>
  </si>
  <si>
    <t>Gonnet</t>
  </si>
  <si>
    <t>2026-01-20 18:47:05</t>
  </si>
  <si>
    <t>FGRBG</t>
  </si>
  <si>
    <t>Grand Bourg</t>
  </si>
  <si>
    <t>2026-01-28 18:33:34</t>
  </si>
  <si>
    <t>FGUE</t>
  </si>
  <si>
    <t>Guemes</t>
  </si>
  <si>
    <t>2026-01-02 12:40:24</t>
  </si>
  <si>
    <t>2026-01-15 19:53:37</t>
  </si>
  <si>
    <t>2026-01-19 11:43:16</t>
  </si>
  <si>
    <t>2026-01-25 17:17:52</t>
  </si>
  <si>
    <t>2026-01-27 07:32:21</t>
  </si>
  <si>
    <t>FMJCP</t>
  </si>
  <si>
    <t>Jose C paz</t>
  </si>
  <si>
    <t>2026-01-10 17:39:51</t>
  </si>
  <si>
    <t>Pieza perdida o rota</t>
  </si>
  <si>
    <t>2026-01-11 15:49:59</t>
  </si>
  <si>
    <t>2026-01-27 22:03:25</t>
  </si>
  <si>
    <t>FMJUN</t>
  </si>
  <si>
    <t>Junin Auto</t>
  </si>
  <si>
    <t>2025-12-30 13:13:17</t>
  </si>
  <si>
    <t>2026-01-27 07:40:49</t>
  </si>
  <si>
    <t>2026-01-27 07:34:06</t>
  </si>
  <si>
    <t>FLPCA</t>
  </si>
  <si>
    <t>La Plata 2</t>
  </si>
  <si>
    <t>2026-01-07 09:31:31</t>
  </si>
  <si>
    <t>2026-01-07 09:44:41</t>
  </si>
  <si>
    <t>FLPC4</t>
  </si>
  <si>
    <t>La Plata 4</t>
  </si>
  <si>
    <t>2026-01-22 23:16:38</t>
  </si>
  <si>
    <t>FMLAC</t>
  </si>
  <si>
    <t>Lanus 2</t>
  </si>
  <si>
    <t>2025-12-27 17:13:40</t>
  </si>
  <si>
    <t>2026-01-13 12:38:20</t>
  </si>
  <si>
    <t>2026-01-18 18:47:40</t>
  </si>
  <si>
    <t>2026-01-25 13:21:40</t>
  </si>
  <si>
    <t>2026-01-26 08:14:16</t>
  </si>
  <si>
    <t>FLINR</t>
  </si>
  <si>
    <t>Liniers</t>
  </si>
  <si>
    <t>2025-12-29 14:07:30</t>
  </si>
  <si>
    <t>2026-01-07 09:03:34</t>
  </si>
  <si>
    <t>ER 055 - Elemento calentador averiado</t>
  </si>
  <si>
    <t>2026-01-05 19:28:33</t>
  </si>
  <si>
    <t>2026-01-06 14:07:54</t>
  </si>
  <si>
    <t>2026-01-06 14:06:21</t>
  </si>
  <si>
    <t>2026-01-07 11:11:29</t>
  </si>
  <si>
    <t>2026-01-07 20:43:50</t>
  </si>
  <si>
    <t>2026-01-10 16:30:48</t>
  </si>
  <si>
    <t>2026-01-16 16:33:57</t>
  </si>
  <si>
    <t>2026-01-28 12:13:19</t>
  </si>
  <si>
    <t>2026-01-28 12:39:39</t>
  </si>
  <si>
    <t>2026-01-31 07:13:44</t>
  </si>
  <si>
    <t>2026-01-31 16:12:39</t>
  </si>
  <si>
    <t>ER 051 a 054 - Falla en sensor, revisar según error</t>
  </si>
  <si>
    <t>FMLCA</t>
  </si>
  <si>
    <t>Lomas</t>
  </si>
  <si>
    <t>2026-01-18 14:25:08</t>
  </si>
  <si>
    <t>FLOA</t>
  </si>
  <si>
    <t>Lomas Auto</t>
  </si>
  <si>
    <t>2026-01-15 11:00:44</t>
  </si>
  <si>
    <t>FLUJA</t>
  </si>
  <si>
    <t>Lujan</t>
  </si>
  <si>
    <t>2026-01-03 14:32:30</t>
  </si>
  <si>
    <t>2026-01-10 19:01:55</t>
  </si>
  <si>
    <t>FMERL</t>
  </si>
  <si>
    <t>Merlo</t>
  </si>
  <si>
    <t>2026-01-05 15:17:21</t>
  </si>
  <si>
    <t>Calibrar placa de hielo</t>
  </si>
  <si>
    <t>2026-01-05 15:24:17</t>
  </si>
  <si>
    <t>2026-01-11 20:08:20</t>
  </si>
  <si>
    <t>2026-01-11 20:05:08</t>
  </si>
  <si>
    <t>2026-01-11 20:07:24</t>
  </si>
  <si>
    <t>2026-01-17 21:00:15</t>
  </si>
  <si>
    <t>FMGRA</t>
  </si>
  <si>
    <t>Monte Grande</t>
  </si>
  <si>
    <t>2026-01-07 08:59:37</t>
  </si>
  <si>
    <t>2026-01-07 12:00:08</t>
  </si>
  <si>
    <t>2026-01-15 20:08:19</t>
  </si>
  <si>
    <t>2026-01-31 11:40:07</t>
  </si>
  <si>
    <t>FMMRE</t>
  </si>
  <si>
    <t>Moreno</t>
  </si>
  <si>
    <t>2025-12-31 13:59:11</t>
  </si>
  <si>
    <t>2026-01-05 17:35:21</t>
  </si>
  <si>
    <t>2026-01-12 09:52:50</t>
  </si>
  <si>
    <t>2026-01-13 18:29:22</t>
  </si>
  <si>
    <t>2026-01-13 18:34:57</t>
  </si>
  <si>
    <t>2026-01-19 15:28:35</t>
  </si>
  <si>
    <t>EQUIPOS;CAFETERAS MELITA</t>
  </si>
  <si>
    <t>Falla de temperatura del equipo</t>
  </si>
  <si>
    <t>FMONC</t>
  </si>
  <si>
    <t>Once</t>
  </si>
  <si>
    <t>2026-01-06 12:30:56</t>
  </si>
  <si>
    <t>2026-01-07 21:10:58</t>
  </si>
  <si>
    <t>2026-01-31 07:12:53</t>
  </si>
  <si>
    <t>FPMPI</t>
  </si>
  <si>
    <t>Palmas del Pilar</t>
  </si>
  <si>
    <t>2025-12-27 17:16:31</t>
  </si>
  <si>
    <t>2025-12-27 17:15:02</t>
  </si>
  <si>
    <t>2025-12-28 12:16:39</t>
  </si>
  <si>
    <t>2026-01-02 12:02:56</t>
  </si>
  <si>
    <t>2026-01-08 13:15:25</t>
  </si>
  <si>
    <t>2026-01-11 13:35:58</t>
  </si>
  <si>
    <t>2026-01-15 20:09:20</t>
  </si>
  <si>
    <t>FMPCH</t>
  </si>
  <si>
    <t>Parque Chacabuco</t>
  </si>
  <si>
    <t>2026-01-03 15:59:16</t>
  </si>
  <si>
    <t>2026-01-03 18:07:25</t>
  </si>
  <si>
    <t>2026-01-25 15:34:51</t>
  </si>
  <si>
    <t>2026-01-30 17:35:39</t>
  </si>
  <si>
    <t>2026-01-31 07:11:37</t>
  </si>
  <si>
    <t>FMPYA</t>
  </si>
  <si>
    <t>Pompeya</t>
  </si>
  <si>
    <t>2026-01-06 20:27:46</t>
  </si>
  <si>
    <t>2026-01-07 09:46:16</t>
  </si>
  <si>
    <t>Mantenimiento para filtros</t>
  </si>
  <si>
    <t>2026-01-08 14:47:20</t>
  </si>
  <si>
    <t>FPROS</t>
  </si>
  <si>
    <t>Portal Rosario</t>
  </si>
  <si>
    <t>2025-12-31 14:32:26</t>
  </si>
  <si>
    <t>2026-01-09 18:53:59</t>
  </si>
  <si>
    <t>2026-01-12 13:58:24</t>
  </si>
  <si>
    <t>2026-01-19 15:59:58</t>
  </si>
  <si>
    <t>2026-01-26 11:27:31</t>
  </si>
  <si>
    <t>2026-01-26 11:27:22</t>
  </si>
  <si>
    <t>FMPRI</t>
  </si>
  <si>
    <t>Primera Junta</t>
  </si>
  <si>
    <t>2026-01-15 19:59:23</t>
  </si>
  <si>
    <t>FMQCA</t>
  </si>
  <si>
    <t>Quilmes Peatonal</t>
  </si>
  <si>
    <t>2025-12-30 14:01:29</t>
  </si>
  <si>
    <t>2025-12-31 11:51:51</t>
  </si>
  <si>
    <t>Equipo arroja error (indicar falla), equipo fuera de servicio</t>
  </si>
  <si>
    <t>2026-01-02 16:08:36</t>
  </si>
  <si>
    <t>2026-01-05 10:55:01</t>
  </si>
  <si>
    <t>2026-01-09 15:39:29</t>
  </si>
  <si>
    <t>2026-01-15 22:23:01</t>
  </si>
  <si>
    <t>2026-01-21 11:17:48</t>
  </si>
  <si>
    <t>2026-01-23 20:46:03</t>
  </si>
  <si>
    <t>2026-01-23 20:45:20</t>
  </si>
  <si>
    <t>2026-01-27 07:39:04</t>
  </si>
  <si>
    <t>FMPUM</t>
  </si>
  <si>
    <t>ROSARIO PUMA</t>
  </si>
  <si>
    <t>2025-12-28 13:59:18</t>
  </si>
  <si>
    <t>ER 050 - Baja presión de agua</t>
  </si>
  <si>
    <t>2026-01-27 07:35:24</t>
  </si>
  <si>
    <t>FMRAM</t>
  </si>
  <si>
    <t>Ramos</t>
  </si>
  <si>
    <t>2026-01-06 10:57:43</t>
  </si>
  <si>
    <t>Falla electrica del equipo, equipo inoperativo</t>
  </si>
  <si>
    <t>2026-01-10 14:23:01</t>
  </si>
  <si>
    <t>2026-01-21 14:47:18</t>
  </si>
  <si>
    <t>2026-01-21 14:47:48</t>
  </si>
  <si>
    <t>2026-01-23 11:50:47</t>
  </si>
  <si>
    <t>Falla en molido de café, irregular</t>
  </si>
  <si>
    <t>2026-01-23 21:01:24</t>
  </si>
  <si>
    <t>2026-01-30 17:24:05</t>
  </si>
  <si>
    <t>2026-01-31 11:24:59</t>
  </si>
  <si>
    <t>FORO</t>
  </si>
  <si>
    <t>Rosario Oroño</t>
  </si>
  <si>
    <t>2026-01-02 11:24:05</t>
  </si>
  <si>
    <t>2026-01-19 15:56:29</t>
  </si>
  <si>
    <t>FMROS</t>
  </si>
  <si>
    <t>Rosario Pellegrini</t>
  </si>
  <si>
    <t>2026-01-02 17:07:22</t>
  </si>
  <si>
    <t>2026-01-27 07:36:28</t>
  </si>
  <si>
    <t>FROG</t>
  </si>
  <si>
    <t>Rotonda Gutierrez</t>
  </si>
  <si>
    <t>2026-01-10 15:55:20</t>
  </si>
  <si>
    <t>FSLIB</t>
  </si>
  <si>
    <t>Salta Libertad</t>
  </si>
  <si>
    <t>2026-01-09 09:34:23</t>
  </si>
  <si>
    <t>FSAO</t>
  </si>
  <si>
    <t>Salta Oran</t>
  </si>
  <si>
    <t>2026-01-19 15:52:52</t>
  </si>
  <si>
    <t>FSAF</t>
  </si>
  <si>
    <t>San Fernando</t>
  </si>
  <si>
    <t>2025-12-30 14:02:40</t>
  </si>
  <si>
    <t>2026-01-04 16:24:33</t>
  </si>
  <si>
    <t>2026-01-08 15:45:21</t>
  </si>
  <si>
    <t>2026-01-17 12:45:53</t>
  </si>
  <si>
    <t>2026-01-20 21:18:43</t>
  </si>
  <si>
    <t>2026-01-30 11:34:20</t>
  </si>
  <si>
    <t>2026-01-31 13:21:07</t>
  </si>
  <si>
    <t>FMSIS</t>
  </si>
  <si>
    <t>San Isidro</t>
  </si>
  <si>
    <t>2026-01-02 20:55:44</t>
  </si>
  <si>
    <t>2026-01-02 19:56:10</t>
  </si>
  <si>
    <t>Falla en molido de café, equipo inoperativo</t>
  </si>
  <si>
    <t>2026-01-07 20:34:47</t>
  </si>
  <si>
    <t>2026-01-09 15:00:42</t>
  </si>
  <si>
    <t>2026-01-09 21:36:41</t>
  </si>
  <si>
    <t>FCSJ3</t>
  </si>
  <si>
    <t>San Justo 3</t>
  </si>
  <si>
    <t>2026-01-03 19:28:42</t>
  </si>
  <si>
    <t>2026-01-16 20:47:13</t>
  </si>
  <si>
    <t>2026-01-16 20:04:31</t>
  </si>
  <si>
    <t>2026-01-16 20:03:40</t>
  </si>
  <si>
    <t>2026-01-22 08:15:32</t>
  </si>
  <si>
    <t>2026-01-22 08:10:31</t>
  </si>
  <si>
    <t>F3DF</t>
  </si>
  <si>
    <t>San Martin Auto</t>
  </si>
  <si>
    <t>2026-01-06 10:58:21</t>
  </si>
  <si>
    <t>2026-01-06 10:59:02</t>
  </si>
  <si>
    <t>2026-01-07 09:42:08</t>
  </si>
  <si>
    <t>FMSVP</t>
  </si>
  <si>
    <t>San Martín peatonal</t>
  </si>
  <si>
    <t>2026-01-11 10:59:24</t>
  </si>
  <si>
    <t>2026-01-13 18:32:13</t>
  </si>
  <si>
    <t>FSM3</t>
  </si>
  <si>
    <t>San Miguel 3</t>
  </si>
  <si>
    <t>2026-01-10 15:28:52</t>
  </si>
  <si>
    <t>FMSMA</t>
  </si>
  <si>
    <t>San Miguel Auto</t>
  </si>
  <si>
    <t>2026-01-20 15:17:22</t>
  </si>
  <si>
    <t>FMSTO</t>
  </si>
  <si>
    <t>San Telmo</t>
  </si>
  <si>
    <t>2026-01-17 10:10:28</t>
  </si>
  <si>
    <t>FMURQ</t>
  </si>
  <si>
    <t>Urquiza</t>
  </si>
  <si>
    <t>2026-01-07 16:17:10</t>
  </si>
  <si>
    <t>2026-01-17 16:04:12</t>
  </si>
  <si>
    <t>FVDP</t>
  </si>
  <si>
    <t>Villa del Parque</t>
  </si>
  <si>
    <t>2025-12-31 14:00:34</t>
  </si>
  <si>
    <t>2026-01-02 20:57:44</t>
  </si>
  <si>
    <t>FMWVP</t>
  </si>
  <si>
    <t>Wilde</t>
  </si>
  <si>
    <t>2026-01-09 15:20:46</t>
  </si>
  <si>
    <t>2026-01-31 14:57:10</t>
  </si>
  <si>
    <t>FMZAR</t>
  </si>
  <si>
    <t>Zárate</t>
  </si>
  <si>
    <t>2026-01-05 17:32:28</t>
  </si>
  <si>
    <t>2026-01-05 17:32:37</t>
  </si>
  <si>
    <t>2026-01-05 17:32:53</t>
  </si>
  <si>
    <t>Preapertura - Apertura</t>
  </si>
  <si>
    <t>Funes</t>
  </si>
  <si>
    <t>TOP LOCALES CON MÁS INTERVENCIONES</t>
  </si>
  <si>
    <t>INCIDENCIAS MÁS FRECUENTES</t>
  </si>
  <si>
    <t>INFORME DE GESTIÓN - ENERO 2026</t>
  </si>
  <si>
    <t>Código</t>
  </si>
  <si>
    <t>Tickets</t>
  </si>
  <si>
    <t>Horas</t>
  </si>
  <si>
    <t>Frecuencia</t>
  </si>
  <si>
    <t>Indicador</t>
  </si>
  <si>
    <t>Valor</t>
  </si>
  <si>
    <t>Total de Tickets</t>
  </si>
  <si>
    <t>Total de Horas</t>
  </si>
  <si>
    <t>Costo Total (USD)</t>
  </si>
  <si>
    <t>Locales Atendidos</t>
  </si>
  <si>
    <t>Total Repuestos</t>
  </si>
  <si>
    <t>Descripción</t>
  </si>
  <si>
    <t>Última Respuesta</t>
  </si>
  <si>
    <t>Responde</t>
  </si>
  <si>
    <t>Fecha Respuesta</t>
  </si>
  <si>
    <t>Estado</t>
  </si>
  <si>
    <t>Última Actualización</t>
  </si>
  <si>
    <t>Resuelto por</t>
  </si>
  <si>
    <t>Mensaje de Resolución</t>
  </si>
  <si>
    <t>Inicio</t>
  </si>
  <si>
    <t>HS_Tecnica</t>
  </si>
  <si>
    <t>HS_Chat</t>
  </si>
  <si>
    <t>HS_PDF</t>
  </si>
  <si>
    <t>base tecnicos</t>
  </si>
  <si>
    <t>HS_Resolucion</t>
  </si>
  <si>
    <t>HS_Final</t>
  </si>
  <si>
    <t>Observaciones_Audit</t>
  </si>
  <si>
    <t>Check</t>
  </si>
  <si>
    <t>Buen día estimados. 
No funciona la molienda que gestiona el Latte , solicito visita técnica. 
Gracias</t>
  </si>
  <si>
    <t>Cerrado</t>
  </si>
  <si>
    <t>2026-01-14 01:00:05</t>
  </si>
  <si>
    <t>Bruno Leyes</t>
  </si>
  <si>
    <t>Moliendas destrabadas, en el momento de limpiar las moliendas se encontró pedacito de maderas, se calibraron y se hizo puesta a 0. Se recomienda cambio urgente de kit de oring del grupo para mejorar calidad de café.
Tiempo de servicio: 1hr</t>
  </si>
  <si>
    <t>2026-01-09 09:20:57</t>
  </si>
  <si>
    <t>Skill: PDF | Skill: Reglas Técnicas</t>
  </si>
  <si>
    <t>x</t>
  </si>
  <si>
    <t>Estimado. 
La cafetera de nuevo no sale latte y no tiene presión de agua</t>
  </si>
  <si>
    <t>2026-01-15 01:00:04</t>
  </si>
  <si>
    <t>Nahuel Loubiere</t>
  </si>
  <si>
    <t>Estimados,
Se destraba molienda MM1 y se limpia café húmedo.
Saludos</t>
  </si>
  <si>
    <t>2026-01-09 18:32:55</t>
  </si>
  <si>
    <t>Skill: Reglas Técnicas</t>
  </si>
  <si>
    <t>2026-01-28 01:00:04</t>
  </si>
  <si>
    <t>Nicolas Franco</t>
  </si>
  <si>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</si>
  <si>
    <t>2026-01-23 07:24:40</t>
  </si>
  <si>
    <t>Skill: Base Técnicos | Skill: Resolución | Skill: Chat | Skill: Reglas Técnicas</t>
  </si>
  <si>
    <t>No sale café es la segunda vez en menos de 24hs que no nos funciona y seguimos sin poder vender por favor</t>
  </si>
  <si>
    <t>.</t>
  </si>
  <si>
    <t>Lucas Ale</t>
  </si>
  <si>
    <t>2026-01-30 13:27:45</t>
  </si>
  <si>
    <t>Resuelto</t>
  </si>
  <si>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</si>
  <si>
    <t>2026-01-29 17:45:17</t>
  </si>
  <si>
    <t>Skill: Base Técnicos | Skill: Resolución | Skill: Reglas Técnicas</t>
  </si>
  <si>
    <t>No sale café</t>
  </si>
  <si>
    <t>2026-01-31 01:00:04</t>
  </si>
  <si>
    <t>Resuelto por el local 
Saludos</t>
  </si>
  <si>
    <t>2026-01-26 08:18:50</t>
  </si>
  <si>
    <t>Resuelto por el Local (0 HS)</t>
  </si>
  <si>
    <t>Colocacion de blackligth</t>
  </si>
  <si>
    <t>2026-01-31 07:45:04</t>
  </si>
  <si>
    <t>Estimados,
Esto fue resuelto por el local
Saludos.</t>
  </si>
  <si>
    <t>2026-01-13 13:42:48</t>
  </si>
  <si>
    <t>No sale leche, parece ser que la molienda esta trabada</t>
  </si>
  <si>
    <t>2026-01-02 01:00:04</t>
  </si>
  <si>
    <t>Se limpio molienda 2, se calibro y se hizo puesta a 0, se encontró pedazo de plástico trabando la molienda. Se seteo lechera para más temp, ya q el local observo q se escarchaba la manguera de leche y no permitía el paso de la misma</t>
  </si>
  <si>
    <t>2025-12-28 09:51:04</t>
  </si>
  <si>
    <t>Hola buen día, no sale café</t>
  </si>
  <si>
    <t>Cafetera destrabada, molienda clavada por maderas. Ya quedo calibrada y se realizo puesta 0
Tiemponde servicio: 1hr</t>
  </si>
  <si>
    <t>2026-01-10 08:35:36</t>
  </si>
  <si>
    <t>Hola, tenemos un broiler con bastidores  regulable y otro no, podrán realizar la visita para chequear el equipo, gracias</t>
  </si>
  <si>
    <t>Se regularon bastidores para las carnes, lsw solicito al local pedir los regulables para el segundo broiler ya que tienen los fijos</t>
  </si>
  <si>
    <t>2026-01-10 10:28:31</t>
  </si>
  <si>
    <t>Hola.., me sale el café aguado y la leche no espuma</t>
  </si>
  <si>
    <t>2026-01-18 01:00:05</t>
  </si>
  <si>
    <t>Se destraba molienda MM1 por un tornillo en una de las mismas.
Se deja el equipo operativo 
Saludos</t>
  </si>
  <si>
    <t>2026-01-13 12:25:35</t>
  </si>
  <si>
    <t>Buen dia, no nos sale cafe de la maquina, el error viene repitiendose hace semanas, lo solucionan pero se rompe de nuevo, necesitamos que nos asistan ya que no podemos vender cafe, gracias</t>
  </si>
  <si>
    <t>2026-01-19 01:00:04</t>
  </si>
  <si>
    <t>Se realiza calibración de equipo, ya que se encontraban las moliendas muy abiertas, generando que el café salga aguado.
Se deja el equipo saliendo en los tiempos de erogación correspondientes
Saludos</t>
  </si>
  <si>
    <t>2026-01-14 10:56:21</t>
  </si>
  <si>
    <t>Buen día, los cafés no salen con la correcta proporción de café, haciendo que salgan aguados y de mala calidad, lo que es café con leche sale más leche y el café muy poco.. necesito una solución lo más pronto posible gracias</t>
  </si>
  <si>
    <t>2026-01-24 01:00:05</t>
  </si>
  <si>
    <t>Estimados,
Se envia presupuesto por la reparacion de la cafetera. Por favor no triplicar los tk, se continua el tema por el otro.
Saludos.</t>
  </si>
  <si>
    <t>2026-01-16 08:51:14</t>
  </si>
  <si>
    <t>Buen dia, se prendio la cafetera y sale humo de los cables laterales, podran venir a revisarla urgente porfavor, gracias</t>
  </si>
  <si>
    <t>2026-01-19 08:02:02</t>
  </si>
  <si>
    <t>Buen dia, de la cafetera empezo a salir un monton de humo y olor a quemado</t>
  </si>
  <si>
    <t>Estimados,
Se envia presupuesto por repuestos a Marisa. Por favor aprobar dicho presupuesto para que podamos avanzar con la reparacion.
Muchas gracias</t>
  </si>
  <si>
    <t>2026-01-19 14:57:12</t>
  </si>
  <si>
    <t>2026-01-27 01:00:05</t>
  </si>
  <si>
    <t>Estimados,
Se cierra tk ya que el tema lo vio EVETEC.
Saludos</t>
  </si>
  <si>
    <t>2026-01-18 10:32:16</t>
  </si>
  <si>
    <t>No toma temperatura</t>
  </si>
  <si>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</si>
  <si>
    <t>2025-12-31 15:10:50</t>
  </si>
  <si>
    <t>2026-01-05 01:00:05</t>
  </si>
  <si>
    <t>2025-12-31 09:28:13</t>
  </si>
  <si>
    <t>Skill: Resolución | Skill: Chat | Skill: Reglas Técnicas</t>
  </si>
  <si>
    <t>no levanta temperatura y no permite hacer lavado</t>
  </si>
  <si>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</si>
  <si>
    <t>2026-01-05 17:34:49</t>
  </si>
  <si>
    <t>2026-01-10 01:00:04</t>
  </si>
  <si>
    <t>2026-01-04 08:57:36</t>
  </si>
  <si>
    <t>Skill: Resolución | Skill: Reglas Técnicas</t>
  </si>
  <si>
    <t>Cafetera sin temperatura</t>
  </si>
  <si>
    <t>2026-01-12 01:00:05</t>
  </si>
  <si>
    <t>Equipo con poco caudal de agua, el local informo q hoy a la noche realiza colocación de bomba presurizadora para mejorar el caudal.</t>
  </si>
  <si>
    <t>2026-01-06 10:12:13</t>
  </si>
  <si>
    <t>Buen día, leche y café salen sin espuma</t>
  </si>
  <si>
    <t>2026-01-13 01:00:04</t>
  </si>
  <si>
    <t>Estimados, buenas tardes. 
Esto no corresponde a una emergencia. Por favor realizar el tk en la categoría correspondiente.
Gracias</t>
  </si>
  <si>
    <t>2026-01-08 12:10:38</t>
  </si>
  <si>
    <t>Cafetera sin espuma y café aguado.</t>
  </si>
  <si>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</si>
  <si>
    <t>2026-01-09 13:56:30</t>
  </si>
  <si>
    <t>No sale con espuma</t>
  </si>
  <si>
    <t>2026-01-20 01:00:06</t>
  </si>
  <si>
    <t>Estimados,
Por favor crear el tk en la categoría que corresponda. 
Gracias</t>
  </si>
  <si>
    <t>2026-01-15 09:38:21</t>
  </si>
  <si>
    <t>Cuando está por finalizar el lavado salta el disyuntor</t>
  </si>
  <si>
    <t>2026-01-22 01:00:05</t>
  </si>
  <si>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</si>
  <si>
    <t>2026-01-17 15:01:39</t>
  </si>
  <si>
    <t>Skill: PDF | Skill: Base Técnicos | Skill: Resolución | Skill: Chat | Skill: Reglas Técnicas</t>
  </si>
  <si>
    <t>B
No sale café de una molienda</t>
  </si>
  <si>
    <t>2026-01-25 01:00:05</t>
  </si>
  <si>
    <t>Cafetera Boedo(1 hora de trabajo)
Tiket# 108874
Mm2 trabada con madera se realizó puesta cero de las dos moliendas y calibración, se regulo espuma, equipo operando</t>
  </si>
  <si>
    <t>2026-01-20 10:52:22</t>
  </si>
  <si>
    <t>Sale leche sin espuma</t>
  </si>
  <si>
    <t>Cafetera Boedo (1 hora de trabajo)
Cimbali 1860967
Tiket#109284
Se limpio circuito de leche y se encontró chicler obstruido se destapó y calibro leche y espuma, equipo operando</t>
  </si>
  <si>
    <t>2026-01-23 19:33:02</t>
  </si>
  <si>
    <t>2026-01-23 10:43:26</t>
  </si>
  <si>
    <t>Hola no sale café, adjunto foto de como sale  un expreso corto, porfavor si pueden venir a revisar.. gracias</t>
  </si>
  <si>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</si>
  <si>
    <t>2026-01-02 19:46:44</t>
  </si>
  <si>
    <t>2026-01-07 01:00:04</t>
  </si>
  <si>
    <t>2026-01-01 20:56:14</t>
  </si>
  <si>
    <t>Buenas noches género tk debido a que ya me llegaron los repuestos</t>
  </si>
  <si>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</si>
  <si>
    <t>2026-01-04 20:35:47</t>
  </si>
  <si>
    <t>No me sale café de ninguna de las dos cafeteras 
Nicolás 1165015790</t>
  </si>
  <si>
    <t>Se conversa con Iris y comenta que pudieron dejar funcionando una de las cafeteras. Por favor crear un tk nuevo por prioridad media. A la brevedad estaremos pasando a destrabar las moliendas de la otra cafetera.
Saludos</t>
  </si>
  <si>
    <t>2026-01-09 05:58:16</t>
  </si>
  <si>
    <t>No sale cafe</t>
  </si>
  <si>
    <t>Estimados, 
Por favor ver de no crear dos tk por lo mismo
Muchas gracias</t>
  </si>
  <si>
    <t>2026-01-09 15:51:53</t>
  </si>
  <si>
    <t>No sale café del lado de la paninera</t>
  </si>
  <si>
    <t>Cafetera cabildo (2 horas de trabajo)
Tiket #107183
Cimbali 1840650
Muelas trabadas con café cielo y duro, se desarmo limpio, se realizó puesta cero y calibración, equipo operando con normalidad</t>
  </si>
  <si>
    <t>2026-01-09 15:53:19</t>
  </si>
  <si>
    <t>Pierde Cafe por debajo, y salta las termicas</t>
  </si>
  <si>
    <t>Estimados, 
Se cambia acople racor recto de grupo. Se dejar el equipo operando.
Saludos.</t>
  </si>
  <si>
    <t>2026-01-15 10:43:19</t>
  </si>
  <si>
    <t>Cafetera 1 moliendas trabadas y tornillo sin relieve para que podamos destrabar nosotros 
Cafetera 2 leche sale fría 
Nicolás Heredia 
1165015790</t>
  </si>
  <si>
    <t>Estimados,
Esto fue resuelto por Tomas Vera. Se envia presupuesto por repuestos
Saludos.</t>
  </si>
  <si>
    <t>2026-01-19 07:46:34</t>
  </si>
  <si>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</si>
  <si>
    <t>2026-01-21 19:18:14</t>
  </si>
  <si>
    <t>Skill: Base Técnicos | Skill: Reglas Técnicas</t>
  </si>
  <si>
    <t>2026-01-30 01:00:05</t>
  </si>
  <si>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</si>
  <si>
    <t>2026-01-25 15:40:05</t>
  </si>
  <si>
    <t>Hola la maquina no esta funcionando, se bloqueo y no sale lo que es cafe, si podrían mandando un técnico por favor</t>
  </si>
  <si>
    <t>Ya esta en funcionamiento</t>
  </si>
  <si>
    <t>Mostaza CABILDO 2</t>
  </si>
  <si>
    <t>2026-01-09 10:49:45</t>
  </si>
  <si>
    <t>Rwspvio</t>
  </si>
  <si>
    <t>2026-01-09 10:34:40</t>
  </si>
  <si>
    <t>al hacer el lavado de la cafetera sale agua por el costado de la cafetera, cuando haces un café con la cafetera abierta y cae la pastilla se llena de agua la cafetera, y queda mojado el tovogan de la cafetera</t>
  </si>
  <si>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</si>
  <si>
    <t>2026-01-09 18:27:09</t>
  </si>
  <si>
    <t>Skill: PDF | Skill: Chat | Skill: Reglas Técnicas</t>
  </si>
  <si>
    <t>La cafetera no toma temperatura, falla en caldera.</t>
  </si>
  <si>
    <t>2026-01-21 01:00:04</t>
  </si>
  <si>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</si>
  <si>
    <t>2026-01-16 08:06:50</t>
  </si>
  <si>
    <t>El café sale aguado. Se reguló las molienda pero igualmente sale desabrido. Marca error 54 en display</t>
  </si>
  <si>
    <t>Estimados,
Se paso presupuesto a Iris Ayala por esto. Por favor aprobar el mismo y realizar el tk cuando cuenten con los repuestos en el local
Saldudos.</t>
  </si>
  <si>
    <t>2026-01-17 16:46:37</t>
  </si>
  <si>
    <t>La cafetera esta tirando café por abajo, los vasos quedan vacíos porqué el café no esta saliendo por donde debe salir</t>
  </si>
  <si>
    <t>Mauro Husak</t>
  </si>
  <si>
    <t>Se específico anteriormente en el ticket, se necesita pedir kit de orring de pistón superior e inferior, ya que al estar gastados generan mucha agua la pastilla por lo tanto no saca correctamente los cafés, a eso se debe la perdida de agua por debajo</t>
  </si>
  <si>
    <t>2025-12-27 10:01:27</t>
  </si>
  <si>
    <t>Buenos días, la cafetera nos esta tirando error 8 desde hoy temprano. Tampoco me sale café, solo agua de las 2 moliendas</t>
  </si>
  <si>
    <t>Hola, se fijaron que el tobogán no este obstruido por café?</t>
  </si>
  <si>
    <t>2026-01-06 12:03:33</t>
  </si>
  <si>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</si>
  <si>
    <t>2026-01-06 09:59:11</t>
  </si>
  <si>
    <t>Buen día nuestra cafetera nos tira error 8 y no sale café solo agua de las 2 moliendas</t>
  </si>
  <si>
    <t>Se encontró moliendas trabadas con café duro y pedazo de madera. Se calibro y se realizo puesta a 0 después de limpiarlas, tambien se le calibro espuma de leche. Se recomienda cambiar pistón superior por desgaste y kit de oring de grupo 
Tiempo de servicio: 50min</t>
  </si>
  <si>
    <t>2026-01-10 11:10:34</t>
  </si>
  <si>
    <t>Buen día estimado, 
Estamos teniendo problemas con la cimbali, no le encuentran la falla lo cual, necesitamos una revisión de un técnico.</t>
  </si>
  <si>
    <t>2026-01-04 01:00:04</t>
  </si>
  <si>
    <t>Estimados,
Ya se encuentra hecho un tk por el mismo incidente. Por favor, no duplicarlos.
Muchas gracias.</t>
  </si>
  <si>
    <t>2025-12-30 08:06:43</t>
  </si>
  <si>
    <t>Buen día estimado, 
Necesitamos con urgencia la visita de un técnico para que nos arregle una cimbali, el problema es que no le encuentran la falla. 
Aguardamos respuesta, muchas gracias.</t>
  </si>
  <si>
    <t>Estimados,
Cual es el error que presenta la cafetera?
Por favor adjuntar foto.
Saludos.</t>
  </si>
  <si>
    <t>2025-12-30 08:26:31</t>
  </si>
  <si>
    <t>Estimados, 
Se reinician termicos de la caldera grande, dejando el equipo operativo.
Solicita al deposito los siguientes repuestos: - manguera de leche- ⁠filtro de leche- ⁠reguladores de aire - ⁠protector térmico superior
Saludos.</t>
  </si>
  <si>
    <t>2025-12-30 08:09:21</t>
  </si>
  <si>
    <t>Estimados,
Esto fue resuelto por Tomas Horodeski
Saludos.</t>
  </si>
  <si>
    <t>2026-01-17 13:23:20</t>
  </si>
  <si>
    <t>Buenos días cafetera molienda 2 no funciona</t>
  </si>
  <si>
    <t>Carrefour Quilmes (1 hora de trabajo)
Cimbali 
Tiket:106674
Equipo con molienda mm2 trabada con plástico , se hizo puesta cero de ambas moliendas y calibración, se calibro espuma de la leche ya q no salía con espuma de calidad</t>
  </si>
  <si>
    <t>2026-01-06 08:39:10</t>
  </si>
  <si>
    <t>Hola buenos días, la cafetera pide el lavado constantemente y tira error 58. 
Por favor si podrán venir con urgencia ya que no la podemos usar para nada 
Gracias, Rebeca.</t>
  </si>
  <si>
    <t>Se limpia pescador de caldera ya que se encontraba tapado. Se analiza agua y se encuentra con alta dureza. Por favor ver de reemplazar los filtros y poner en marcha el ablandador de sales</t>
  </si>
  <si>
    <t>2026-01-14 07:54:28</t>
  </si>
  <si>
    <t>Porfavor si pueden venir a hacer el cambio de las 4 moliendas de las cafeteras.</t>
  </si>
  <si>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</si>
  <si>
    <t>2025-12-28 12:22:32</t>
  </si>
  <si>
    <t>2025-12-27 11:07:49</t>
  </si>
  <si>
    <t>Buen día, a una de las cafeteras no le sale café de ninguna de las dos moliendas. 
Ambas moliendas fueron cambiadas hace una semana</t>
  </si>
  <si>
    <t>2026-01-08 01:00:06</t>
  </si>
  <si>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</si>
  <si>
    <t>2026-01-03 08:30:00</t>
  </si>
  <si>
    <t>No funciona correctamente la cafetera arrojando poco café y saliendo la pastilla de esa manera.</t>
  </si>
  <si>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</si>
  <si>
    <t>2026-01-21 12:21:02</t>
  </si>
  <si>
    <t>Hola buen día, la cafetera no funciona molienda 2 y sale error 61</t>
  </si>
  <si>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</si>
  <si>
    <t>2026-01-13 10:54:28</t>
  </si>
  <si>
    <t>Hola buen dia
El equipo no está largando café a la ahora de seleccionar alguna de las opciones.
Solo larga agua y leche dependiendo del tipo de café que seleccione</t>
  </si>
  <si>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</si>
  <si>
    <t>2026-01-02 09:54:12</t>
  </si>
  <si>
    <t>Tecnico en camino
Saludos.</t>
  </si>
  <si>
    <t>2026-01-20 10:53:02</t>
  </si>
  <si>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</si>
  <si>
    <t>2026-01-20 08:35:28</t>
  </si>
  <si>
    <t>Hola buenas
La cafetera pide el lavado al realizarlo salta error 058, ya verificamos que no estén tapados los picos y las manguera, reiniciamos la máquina y sigue igual.</t>
  </si>
  <si>
    <t>Buen día, espero una respuesta lo antes posible,desde ya muchas gracias. 
Saludos, Nahir</t>
  </si>
  <si>
    <t>Sucursal Grand Bourg</t>
  </si>
  <si>
    <t>2026-01-28 07:07:25</t>
  </si>
  <si>
    <t>2026-01-28 22:52:37</t>
  </si>
  <si>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</si>
  <si>
    <t>2026-01-27 18:49:17</t>
  </si>
  <si>
    <t>No sale café, la leche sale fría y sale sin espuma</t>
  </si>
  <si>
    <t>Duración de trabajo 1:30 hs
Se hace calibración de muelas.
Se necesita hacer mantenimiento de grupo, 
pedir orring de grupo de pistón superior e inferior ya que al hacer cafés estos salen aguados</t>
  </si>
  <si>
    <t>2026-01-02 12:33:28</t>
  </si>
  <si>
    <t>Buenas tardes ,la cimbali necesita jna visita técnica y un cambio de repuesto . Ya que el café no sale ,y cuando sale aguado y frío</t>
  </si>
  <si>
    <t>Estimados,
Se cierra tk ya que crearon otro por los repuestos que llegaron. Se continua por el otro ticket.
Gracias</t>
  </si>
  <si>
    <t>2026-01-13 14:01:46</t>
  </si>
  <si>
    <t>Hola buenas! Ya estan los repuestos de la cafetera para colocar con urgencia! Muchas gracias.</t>
  </si>
  <si>
    <t>Seguimos operando.sin cafetera, no se presento ningún técnico.</t>
  </si>
  <si>
    <t>Mostaza Güemes</t>
  </si>
  <si>
    <t>2026-01-18 15:51:29</t>
  </si>
  <si>
    <t>Estimados, 
Se cambian repuestos por Tomas Vera.
Saludos.</t>
  </si>
  <si>
    <t>2026-01-15 18:04:45</t>
  </si>
  <si>
    <t>Ya estan los repuestos en el local para el.cambio de kit</t>
  </si>
  <si>
    <t>Estimados,
Esto fue resuelto por Nicolas Franco
Saludos.</t>
  </si>
  <si>
    <t>2026-01-24 11:27:12</t>
  </si>
  <si>
    <t>Skill: Base Técnicos | Skill: Chat | Skill: Reglas Técnicas</t>
  </si>
  <si>
    <t>Hola buenas estamos con la cafetera que no sale cafe, porque se traba en el tobogan, y sale vapor que hace el cafe se humedesca.</t>
  </si>
  <si>
    <t>2026-01-23 19:49:11</t>
  </si>
  <si>
    <t>Estimados, buenas tardes.
Necesitamos urgente la visita de un técnico debido a que se rompió una pieza (el tobogán) de la címballi.
Adjunto fotos de la rotura. 
Desde ya. Muchas gracias.</t>
  </si>
  <si>
    <t>Estimados,
Antes de crear el ticket, deben contar con el repuesto. Por favor solicitarlo a deposito o a cmerlo@mostazaweb.com.ar
Cuando tengan el repuesto en el local, crean el ticket y lo resolvemos.
Gracias.</t>
  </si>
  <si>
    <t>2026-01-10 17:31:27</t>
  </si>
  <si>
    <t>Instalar tobogán, el local ya lo recibio</t>
  </si>
  <si>
    <t>2026-01-16 01:00:04</t>
  </si>
  <si>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</si>
  <si>
    <t>2026-01-11 12:47:31</t>
  </si>
  <si>
    <t>El día de hoy por la tarde dejó de moler café y solo sale agua y leche. Le hicimos la limpieza completa y la limpieza de café y no funcionan las muelas. Necesitamos urgente una reparación.</t>
  </si>
  <si>
    <t>2026-01-27 23:04:31</t>
  </si>
  <si>
    <t>Cafetera José c paz 1 hora de trabajo 
Cimbali 1977240
Tiket#109744
Molineda mm1 trabada con madera se realizó limpieza, puesta cero y calibración a ambas moliendas, y se regulo leche y espuma, equipo operando</t>
  </si>
  <si>
    <t>2026-01-26 20:04:38</t>
  </si>
  <si>
    <t>No funciona ninguna de las dos muelas , no sale café</t>
  </si>
  <si>
    <t>Estimados, 
Esto fue resuelto por el local.
Saludos</t>
  </si>
  <si>
    <t>2025-12-27 18:17:47</t>
  </si>
  <si>
    <t>PIEZA FALTANTE PARA FRENTE DE BROILER ( CARNES JR ) JF63</t>
  </si>
  <si>
    <t>Estimados,
Se entrega pieza a Raul Ayala.
Saludos.</t>
  </si>
  <si>
    <t>2026-01-09 18:49:09</t>
  </si>
  <si>
    <t>Cattabriga congela por de más</t>
  </si>
  <si>
    <t>Estimados,
Esto fue resuelto? se encuentra operativo el equipo nuevamente?
Gracias</t>
  </si>
  <si>
    <t>2026-01-15 20:06:36</t>
  </si>
  <si>
    <t>Estimados,
Se cierra tk
Saludos.</t>
  </si>
  <si>
    <t>2026-01-14 15:56:15</t>
  </si>
  <si>
    <t>Buenas no sale café de las maquinas</t>
  </si>
  <si>
    <t>Cafetera 1 sale aguado
Cafetera 2 no sale</t>
  </si>
  <si>
    <t>Sucursal LA PLATA 2</t>
  </si>
  <si>
    <t>2026-01-05 13:20:18</t>
  </si>
  <si>
    <t>la plata 2 (dos horas de trabajo)
Cimbali 2095738
Tiket:106568
Equipo descalibrado y con muelas empastadas, se realizó puesta cero y calibración, se calibro espuma de leche ya q no salía equipo quedó operando con normalidad</t>
  </si>
  <si>
    <t>2026-01-05 11:59:14</t>
  </si>
  <si>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</si>
  <si>
    <t>2026-01-06 15:46:35</t>
  </si>
  <si>
    <t>Buenos días. Tenemos la molienda 2 trabada. No muele café. Las muelas son nuevas. Gracias . Sofía administradora 2215655185</t>
  </si>
  <si>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</si>
  <si>
    <t>2026-01-22 08:37:06</t>
  </si>
  <si>
    <t>Buenas tardes, la cafetera pierde demasiada agua por la parte de abajo,</t>
  </si>
  <si>
    <t>2026-01-01 01:00:04</t>
  </si>
  <si>
    <t>Estimados, 
Se acomoda desagote de leche, el cual se encontraba estrangulado. Se realiza calibracion de MM1 y MM2, quedando dentro de los parametros correspondientes.
Saludos.</t>
  </si>
  <si>
    <t>2025-12-26 12:27:11</t>
  </si>
  <si>
    <t>La molienda 1 no sale cafe</t>
  </si>
  <si>
    <t>Se realiza puesta a cero por obstrucción por madera en el café.
Saludos</t>
  </si>
  <si>
    <t>2026-01-13 09:15:53</t>
  </si>
  <si>
    <t>Buenas tardes, ya contamos con el respuesto de acrílico de la molienda n1 en el local.</t>
  </si>
  <si>
    <t>2026-01-23 01:00:05</t>
  </si>
  <si>
    <t>Cafetera Lanús 2 ( 2 horas de trabajo)
Tiket #108325
Se realizó cambio de válvula Ev y acrílico de tolva mm1, y se cargó receta, ya q estaba todo pasado por mm1 las recetas,falta cargar archivo de imágenes , equipo operando</t>
  </si>
  <si>
    <t>2026-01-16 16:54:21</t>
  </si>
  <si>
    <t>Buenas, contamos con ambas moliendas trabadas. No sale café y el equipo se apaga periódicamente.</t>
  </si>
  <si>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</si>
  <si>
    <t>2026-01-24 08:49:44</t>
  </si>
  <si>
    <t>Revisar receta de cafetera</t>
  </si>
  <si>
    <t>Estimados,
Esto no corresponde a mantenimiento. Verlo con la supervisora de la zona
Saludos</t>
  </si>
  <si>
    <t>2026-01-25 19:09:31</t>
  </si>
  <si>
    <t>No sale cafe de ninguna molienda</t>
  </si>
  <si>
    <t>2026-01-03 01:00:04</t>
  </si>
  <si>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</si>
  <si>
    <t>2025-12-29 12:15:46</t>
  </si>
  <si>
    <t>Molienda 1 saca café aguado. Molienda 2 trabada</t>
  </si>
  <si>
    <t>2026-01-07 15:15:03</t>
  </si>
  <si>
    <t>Tk duplicado</t>
  </si>
  <si>
    <t>2026-01-06 19:58:04</t>
  </si>
  <si>
    <t>Ticket Repetido/Duplicado</t>
  </si>
  <si>
    <t>Calentador averiado. Tampoco sale leche.</t>
  </si>
  <si>
    <t>Estimados:
Se reemplazo acople EV para la lanza de te y se destapo el cabezal de la bomba de leche.
Saludos.</t>
  </si>
  <si>
    <t>2026-01-05 09:53:14</t>
  </si>
  <si>
    <t>No funciona la cafetera, no saca café de las moliendas.</t>
  </si>
  <si>
    <t>2026-01-11 01:00:05</t>
  </si>
  <si>
    <t>Se destraban moliendas por madera en los granos de café.
Se recomienda cambiar las muelas
Saludos</t>
  </si>
  <si>
    <t>2026-01-06 09:35:30</t>
  </si>
  <si>
    <t>Me salta la térmica de la cafetera y se apaga.</t>
  </si>
  <si>
    <t>Se destraban moliendas por madera en el café.
Se recomienda cambiar las muelas
Saludos</t>
  </si>
  <si>
    <t>2026-01-06 11:10:03</t>
  </si>
  <si>
    <t>buen día, no me funciona ninguna de las dos moliendas.</t>
  </si>
  <si>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</si>
  <si>
    <t>2025-12-31 14:05:43</t>
  </si>
  <si>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</si>
  <si>
    <t>2025-12-31 08:46:51</t>
  </si>
  <si>
    <t>Skill: Chat | Skill: Reglas Técnicas</t>
  </si>
  <si>
    <t>Molienda trabada</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</si>
  <si>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</si>
  <si>
    <t>2026-01-07 20:43:43</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</si>
  <si>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</si>
  <si>
    <t>2026-01-07 15:22:04</t>
  </si>
  <si>
    <t>Realizar ajuste al broiler por carnes nuevas</t>
  </si>
  <si>
    <t>Estimados,
Se realiza modificación en carnes chicas
Saludos</t>
  </si>
  <si>
    <t>2026-01-08 14:01:20</t>
  </si>
  <si>
    <t>Cambiar moliendas</t>
  </si>
  <si>
    <t>Linier (2 horas de trabajo)
Cimbali 1842009
Tiket# 107784
Se realizó cambio de muelas, puesta cero y calibración de las mismas, el equipo quedó operando</t>
  </si>
  <si>
    <t>2026-01-13 14:14:42</t>
  </si>
  <si>
    <t>Salta disyuntor del broiler cuando lo intentamos prender, problemas con el enchufe</t>
  </si>
  <si>
    <t>2026-01-29 08:52:54</t>
  </si>
  <si>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</si>
  <si>
    <t>2026-01-27 10:34:07</t>
  </si>
  <si>
    <t>2026-01-29 08:53:21</t>
  </si>
  <si>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</si>
  <si>
    <t>2026-01-28 08:28:28</t>
  </si>
  <si>
    <t>No sale leche</t>
  </si>
  <si>
    <t>Ya se paso informe del equipo faltan repuestos</t>
  </si>
  <si>
    <t>2026-01-29 08:53:41</t>
  </si>
  <si>
    <t>No sale ni leche ni cafe de ninguna molienda</t>
  </si>
  <si>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</si>
  <si>
    <t>2026-01-30 08:07:30</t>
  </si>
  <si>
    <t>Hola necesitariamos un tecnico para que revise la cafetera CIMBALI y nos pase presupuesto.</t>
  </si>
  <si>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</si>
  <si>
    <t>2026-01-16 21:18:24</t>
  </si>
  <si>
    <t>Buenas tardes, nos encontramos sin poder utilizar la máquina de helados Cattabriga ya que no enciende después de corte de luz.
Aguardamos respuesta gracias.</t>
  </si>
  <si>
    <t>Estimados,
Se reemplaza fusible, ya que por el corte de luz el mismo se que quemó. 
Se deja equipo operativo</t>
  </si>
  <si>
    <t>2026-01-14 19:35:42</t>
  </si>
  <si>
    <t>Buenas, la cimbali presenta error 58. Segun mto el problema es sobrepresión en la caldera
No deja avanzar luego de realizar el lavado</t>
  </si>
  <si>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</si>
  <si>
    <t>2026-01-02 18:25:05</t>
  </si>
  <si>
    <t>La cafetera no saca cafe, se traban las moliendas pero por más que giren no sale!!! Es de suma urgencia ver el equipo ya que se está perdiendo venta</t>
  </si>
  <si>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</si>
  <si>
    <t>2026-01-09 09:00:25</t>
  </si>
  <si>
    <t>levanto tk por falla en cafetera, preveer mantenimiento ya que el cafe sale aguado, con olor feo y la leche no sale con la espuma correcta! Revisar bomba de cafetera, desde ya gracias</t>
  </si>
  <si>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</si>
  <si>
    <t>2026-01-04 12:47:28</t>
  </si>
  <si>
    <t>hola buenas, genero tk de cattabriga ya que tenia perdida de helado en la parte de las palancas, solicito ayuda, gracias.</t>
  </si>
  <si>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</si>
  <si>
    <t>EQUIPOS;MAQUINA DE HIELO</t>
  </si>
  <si>
    <t>2026-01-05 14:49:15</t>
  </si>
  <si>
    <t>Estimados, solicitamos la regulación de broiler para el uso de las nuevas carnes jr
Muchas gracias!</t>
  </si>
  <si>
    <t>Se reguló las chapas del frente del broiler</t>
  </si>
  <si>
    <t>2026-01-10 21:49:35</t>
  </si>
  <si>
    <t>No sale leche, cafe aguado y con poco espuma!</t>
  </si>
  <si>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</si>
  <si>
    <t>2026-01-11 17:28:51</t>
  </si>
  <si>
    <t>Hola buenas, genero tk para que revisen feteadora que esta trabada !</t>
  </si>
  <si>
    <t>La feteadora precisa un cambio de buje ya que tiene juego el brazo a la hora de fetear y queda mucho espacio de la misma y la guía. Proveedor moretti</t>
  </si>
  <si>
    <t>2026-01-11 17:31:26</t>
  </si>
  <si>
    <t>Hola! ambas cimballis no salen cafes! destrabamos las moliendas y siguen sin funcionar</t>
  </si>
  <si>
    <t>Estimados. se detraban moliendas.
Saludos.</t>
  </si>
  <si>
    <t>2026-01-17 11:21:39</t>
  </si>
  <si>
    <t>Hola, Buenas tardes. Solicito un técnico por un problema con las moliendas, estas no están funcionando y sale únicamente leche. 
Desde ya, muchas gracias.
Aguardamos una respuesta.</t>
  </si>
  <si>
    <t>Solucionado por el técnico</t>
  </si>
  <si>
    <t>2026-01-06 15:25:36</t>
  </si>
  <si>
    <t>Buen día, en el día de ayer recibimos una visita técnica
El día de hoy ninguna de las dos máquinas funciona,con error en molienda y máquina fria</t>
  </si>
  <si>
    <t>Me avisaron que quedó okey los 2 equipos y que no hace falta que vaya. Quedo atento igualmente. Cierro tk</t>
  </si>
  <si>
    <t>2026-01-07 11:18:21</t>
  </si>
  <si>
    <t>Hola, buenas tardes.
Solicito la visita de un técnico para instalar/colgar los carteles luminosos en el local.
Los carteles van en la zona que se observa en la foto adjunta.
Quedo a disposición ante cualquier consulta.
Gracias.</t>
  </si>
  <si>
    <t>Estimados, 
Se cierra tk ya que se encuentra creado otro por el mismo tema.
Se continua por el otro
Gracias,</t>
  </si>
  <si>
    <t>2026-01-13 20:23:42</t>
  </si>
  <si>
    <t>Hola buen día,hace 2 dias una de nuestras cafeteras no funciona ya que aparece el logo de frio y al parecer no tiene agua,solicito un técnico..muchas gracias</t>
  </si>
  <si>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</si>
  <si>
    <t>2026-01-30 21:14:32</t>
  </si>
  <si>
    <t>Resuelto por el local. Saludos</t>
  </si>
  <si>
    <t>2026-01-29 10:17:08</t>
  </si>
  <si>
    <t>Buenos Días!
Me comunico por este medio debido a que nuestra cimbali figura como fría, y no toma temperatura.</t>
  </si>
  <si>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</si>
  <si>
    <t>2025-12-31 10:39:00</t>
  </si>
  <si>
    <t>Buenas , la cafetera esta perdiendo mucha agua, y saca los cafes sin espuma</t>
  </si>
  <si>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</si>
  <si>
    <t>2026-01-05 12:48:13</t>
  </si>
  <si>
    <t>Buenas , tenemos la cafetera con perdida de agua y nos sale aguado el cafe , de las 2 cafeteras el cafe negro sale aguado</t>
  </si>
  <si>
    <t>2026-01-17 01:00:04</t>
  </si>
  <si>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</si>
  <si>
    <t>2026-01-10 20:53:00</t>
  </si>
  <si>
    <t>Buenas sale aguado el cafe de las 2 cafeteras</t>
  </si>
  <si>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</si>
  <si>
    <t>2026-01-13 10:59:19</t>
  </si>
  <si>
    <t>Buenas tardes , sale el cafe aguado y se traban las moliendas</t>
  </si>
  <si>
    <t>Cafetera moreno( 1 hora de trabajo)
Cimbali 2033458
Tiket#107804
Se regulo moliendas en cuanto a gramaje, antes de regular se reviso el café en tolvas y encontramos grando de café viejos y duros, se limpio circuito de leche y se regulo espuma, máquina operando</t>
  </si>
  <si>
    <t>2026-01-13 16:52:09</t>
  </si>
  <si>
    <t>Buenas, el cafe esta saliendo aguado en la lagrima, y expreso.</t>
  </si>
  <si>
    <t>Estimados,
Se pasa presupuesto por repuestos a Melisa. Por favor aprobar los mismos, retirarlos y una vez que esten en el local, realizan el tk para que vayamos a instalar.
Gracias.</t>
  </si>
  <si>
    <t>2026-01-17 13:53:46</t>
  </si>
  <si>
    <t>Leche sale fria</t>
  </si>
  <si>
    <t>Mostaza once
N de ticket:106675
Tiempo de servicio:30m
Se encontró la melitta salía leche fría , se le hizo un lavado completo con el ácido.
Observaciones: no optaban con el equipo de limpieza correspondiente.(lo perdieron)
Equipo operativo.</t>
  </si>
  <si>
    <t>2026-01-06 08:47:11</t>
  </si>
  <si>
    <t>No prende cafetera,  las térmicas están bien. Y el enchufe da corriente!</t>
  </si>
  <si>
    <t>Se reparo el equipo Cimbali. El local queda operando. Mañana se retira el equipo melitta para reparación en taller. Se sigue via mail.</t>
  </si>
  <si>
    <t>Cristian Merlo</t>
  </si>
  <si>
    <t>2026-01-07 21:10:52</t>
  </si>
  <si>
    <t>2026-01-06 13:22:50</t>
  </si>
  <si>
    <t>No muele</t>
  </si>
  <si>
    <t>Repetido</t>
  </si>
  <si>
    <t>2026-01-30 11:21:10</t>
  </si>
  <si>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</si>
  <si>
    <t>2025-12-26 10:54:06</t>
  </si>
  <si>
    <t>2025-12-27 10:26:56</t>
  </si>
  <si>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</si>
  <si>
    <t>2025-12-27 10:26:39</t>
  </si>
  <si>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</si>
  <si>
    <t>2025-12-31 10:47:46</t>
  </si>
  <si>
    <t>buenas tardes, no esta saliendo cafe de la cafetera, en ninguna opcion, se limpiaron las moliendas pero sigue sin salir cafe, necesitamos una solucion para poder seguir operando correctamente, muchas gracias</t>
  </si>
  <si>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</si>
  <si>
    <t>2026-01-07 19:08:47</t>
  </si>
  <si>
    <t>No sale ningun otro cafe que no sea latte y expresso,</t>
  </si>
  <si>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</si>
  <si>
    <t>2026-01-10 13:57:15</t>
  </si>
  <si>
    <t>2 Microondas sin calentar</t>
  </si>
  <si>
    <t>Estimados,
Se cierra tk ya que se encuentra duplicado.
Se continua por el otro 
Gracias,</t>
  </si>
  <si>
    <t>2026-01-11 14:40:13</t>
  </si>
  <si>
    <t>Hola buenas tardes, ya contamos con el motor para arreglar la cafetera. Necesitamos si podrían venir a arreglarla hoy, muchas gracias.</t>
  </si>
  <si>
    <t>Ya se cambio bomba de leche y se soluciono pérdida en el desgote de la leche. Se recomienda cambiar manguera ya que la que tiene es corta y al mover minimamente la cafetera de sale o queda tirante
Tiempo de servicio: 40 minutos</t>
  </si>
  <si>
    <t>2026-01-03 13:22:04</t>
  </si>
  <si>
    <t>Buenas tardes. Detectamos un error en la resistencia de grupo de café. La misma fue cambiada el 15/12/25. Solicitamos por favor que puedan revisarla ya que afecta al funcionamiento de la cafetera. Muchas gracias.</t>
  </si>
  <si>
    <t>Se encontró en corto la resistencia del grupo por lo que provoca error 55 y corto en la cafetera. Se dejó desconectada por el momento y se solicita repuesto de la misma para dejarla en condiciones</t>
  </si>
  <si>
    <t>2026-01-03 17:08:29</t>
  </si>
  <si>
    <t>Buenos dias, nuestra cafetera no está tomando temperatura para poder sacar café. Les solicitamos por favor que puedan revisar este inconveniente. Muchas gracias.</t>
  </si>
  <si>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</si>
  <si>
    <t>2026-01-25 12:14:53</t>
  </si>
  <si>
    <t>La máquina no calienta y me tira error 67</t>
  </si>
  <si>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</si>
  <si>
    <t>2026-01-29 08:48:15</t>
  </si>
  <si>
    <t>Buen día necesito un técnico con urgencia la máquina no prende y no larga café entre otros</t>
  </si>
  <si>
    <t>Resuelto tiket repetido</t>
  </si>
  <si>
    <t>2026-01-30 07:18:22</t>
  </si>
  <si>
    <t>Estan saliendo aguados los cafes, estan llenando mas leche que cafe, me hacen quejas y devoluciones por cafe frios, tiene mucha suciedad por dentro con cafe seco.</t>
  </si>
  <si>
    <t>Estimados,
Se calibra moliendas, se limpia circuito de leche y grupo de cafe.
Equipo queda operativo
Saludos.</t>
  </si>
  <si>
    <t>2026-01-06 09:15:45</t>
  </si>
  <si>
    <t>Hola buen día el café no sale y tampoco sale espuma</t>
  </si>
  <si>
    <t>2026-01-07 08:07:09</t>
  </si>
  <si>
    <t>Hola buen día el café no sale y ni sale espuma</t>
  </si>
  <si>
    <t>Estimados, 
Se realiza puesta a cero de moliendas, se calibra equipo dejándolo en los tiempos de erogación correspondientes.
Saludos</t>
  </si>
  <si>
    <t>2026-01-07 08:06:36</t>
  </si>
  <si>
    <t>La cafetera no muele el cafe correctamente, asi q no sale cafe
Ahora no sale tampoco leche ni agua</t>
  </si>
  <si>
    <t>Estimados, 
Paso el tecnico Francisco y recomienda realizar un cambio de orring de grupo, cambio de muelas y puesta a cero del equipo.
Por favor solicitar dichos repuestos al deposito y una vez que estan ahi mismo, pasamos a cambiar los repuestos.
Gracias</t>
  </si>
  <si>
    <t>2025-12-26 11:02:43</t>
  </si>
  <si>
    <t>Buenas tardes! Ya recibimos el piston y set de orings. Solicitamos la instalación de los mismos.</t>
  </si>
  <si>
    <t>Trabajo realizado por Francisco, se envio detalle y confirmacion via mail. Equipo queda operativo.
Saludos,</t>
  </si>
  <si>
    <t>2026-01-05 14:53:55</t>
  </si>
  <si>
    <t>Cafe sale aguaduado 
Al realizar los cafe se detecta el error nro 8
La pastilla sale humeda</t>
  </si>
  <si>
    <t>solucionado por Francisco, envio mail con el detalle de los realizado.</t>
  </si>
  <si>
    <t>2026-01-10 20:30:47</t>
  </si>
  <si>
    <t>El cafe sale aguado</t>
  </si>
  <si>
    <t>Estimados,
Se conversa con Francisco Rametta y comenta que esto ya quedo resuelto. Solo queda pendiente cargar las imagenes de las recetas, las cuales tiene que hacer el gerente de Zona, ya que ellos tienen las recetas 
Saludos.</t>
  </si>
  <si>
    <t>2026-01-16 17:54:02</t>
  </si>
  <si>
    <t>La maquina no larga cafe</t>
  </si>
  <si>
    <t>Estimados,
Esto fue resuelto por Francisco.
Saludos.</t>
  </si>
  <si>
    <t>2026-01-15 11:55:35</t>
  </si>
  <si>
    <t>No sald cafe</t>
  </si>
  <si>
    <t>2026-01-21 11:15:15</t>
  </si>
  <si>
    <t>Buenas! El horno PRÁCTICA se baja la temperatura solo y no cocina los productos correctamente</t>
  </si>
  <si>
    <t>Estimados,
Se paso por el local y se reviso el equipo junto a Raul. El equipo no presenta problemas tecnicos, el problema esta en la suba y baja de tension en la zona. por favor ver de no dejar la puerta abierta del horno para evitar caidas de temperaturas
gracias</t>
  </si>
  <si>
    <t>2026-01-13 19:10:16</t>
  </si>
  <si>
    <t>No sale cafe de una de las cafeteras, no muelen cafe</t>
  </si>
  <si>
    <t>Estimados, 
Esto fue resuelto por Bruno Leyes. Se destrabaron las moliendas y se calibro el equipo.
Saludos.</t>
  </si>
  <si>
    <t>2025-12-30 14:00:53</t>
  </si>
  <si>
    <t>Estimados
Esto fue resuelto por Bruno Leyes. Se destrabaron las moliendas y se calibro el equipo. Saludos.</t>
  </si>
  <si>
    <t>2025-12-30 08:57:06</t>
  </si>
  <si>
    <t>Buenas, cafetera 1 estan trabadas las moliendas y no sale cafe. Gracias</t>
  </si>
  <si>
    <t>Hora de trabajo 30m
Problema con la manguera de leche,queda operando correctamente</t>
  </si>
  <si>
    <t>2025-12-31 09:11:36</t>
  </si>
  <si>
    <t>No produce placas de hielo, no funciona</t>
  </si>
  <si>
    <t>Estimados,
Se reemplaza válvula de carga por una nueva y se destetaba válvula de descarga. Se deja el equipo operativo 
Saludos</t>
  </si>
  <si>
    <t>2026-01-02 13:09:37</t>
  </si>
  <si>
    <t>Buenas, cafetera 1 tengo las moliendas trabadas. Podrian venir a verla, gracias.</t>
  </si>
  <si>
    <t>Se encontró pedazo de madera dentro de molienda la cual causó q se trabe la misma, se limpio, calibro y realizo puesta a 0, también se limpio filtro de lanza de agua ya que no permitía q salga la cantidad de agua correspondiente
Tiempo de servicio : 1hr</t>
  </si>
  <si>
    <t>2026-01-04 16:55:55</t>
  </si>
  <si>
    <t>Tenemos una cafetera que sale el café aguado, ver y calibrar ambas</t>
  </si>
  <si>
    <t>Moliendas calibradas, los cafés salen correctamente</t>
  </si>
  <si>
    <t>2026-01-07 17:58:45</t>
  </si>
  <si>
    <t>No me sale cafe, no muelen las moliendas de cafetera 1</t>
  </si>
  <si>
    <t>Estimados
Se destraba molienda por obstrucción con un trozo de madera. Se deja el equipo operativo
Saludos</t>
  </si>
  <si>
    <t>2026-01-15 10:19:00</t>
  </si>
  <si>
    <t>Buenas, cafetera 1 esta trabada la molienda y no sale cafe.</t>
  </si>
  <si>
    <t>2026-01-26 01:00:04</t>
  </si>
  <si>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</si>
  <si>
    <t>2026-01-21 06:42:17</t>
  </si>
  <si>
    <t>Tenemos un Freezer de papas sin funcionar</t>
  </si>
  <si>
    <t>Estimados, 
Se hablo con Rocio y esto no se estara realizando. Ella solicito un equipo nuevo ya que este no tiene reparacion y si la tiene, no va a durar
Saludos.</t>
  </si>
  <si>
    <t>2026-01-23 19:56:23</t>
  </si>
  <si>
    <t>Buenas, tenemos el ascensor sin funcionar</t>
  </si>
  <si>
    <t>Estimados, 
Se hablo con Rocio y esto no se estara realizando.
Saludos.</t>
  </si>
  <si>
    <t>2026-01-23 19:58:41</t>
  </si>
  <si>
    <t>Buenos días, necesitamos colocar las pantallas promo. Gracias</t>
  </si>
  <si>
    <t>Estimados,
Se instalaron los carteles.
Saludos.</t>
  </si>
  <si>
    <t>2026-01-13 12:52:48</t>
  </si>
  <si>
    <t>Hola estimados, tengo este problema con la cafetera, me podrían ayuda porfa</t>
  </si>
  <si>
    <t>Estimados,
Esto fue resuelto por Francisco Rametta. Se reiniciaron los protectores tecnicos y se realiza lavado, dejando el equipo operativo
Saludos.</t>
  </si>
  <si>
    <t>2025-12-27 04:11:15</t>
  </si>
  <si>
    <t>Buenas estimados, estoy teniendo problemas con la cafetera, error 58, me podrían ayudar porfa.</t>
  </si>
  <si>
    <t>Estimados
Esto fue resuelto por Francisco
Saludos.</t>
  </si>
  <si>
    <t>2026-01-25 14:33:51</t>
  </si>
  <si>
    <t>Hola buenas, tenemos problemas con la freidora no prense los quemadores</t>
  </si>
  <si>
    <t>Mostaza ramos;
N de ticket;
Tiempo de servicio: 30m
Se encontró con las freidoras no encendían piloto ni quemadores así mismo tiraban falla.
la válvula de entrada de gas estaba cerrada, se abrió y se encendieron piloto y quemadores correctamente 
Equipo operativo.</t>
  </si>
  <si>
    <t>2026-01-06 10:39:52</t>
  </si>
  <si>
    <t>Hola buen dia, tenemos problema con la carameladora no gira</t>
  </si>
  <si>
    <t>Estimados,
Se destraba tostadora. En caso de que vuelva a suceder por favor solicitar cambio de bandas siliconadas 
.
Saludos</t>
  </si>
  <si>
    <t>2026-01-10 10:35:19</t>
  </si>
  <si>
    <t>Hola, de la maquina de helados cattabriga 603bib no nos esta saliendo mezcla de frutilla, anteriormente se nos habia roto el tubo y se lo cambiamos pero aun asi no sale mezcla</t>
  </si>
  <si>
    <t>Sucursal Ramos Mejia</t>
  </si>
  <si>
    <t>2026-01-21 14:42:34</t>
  </si>
  <si>
    <t>2026-01-21 14:35:33</t>
  </si>
  <si>
    <t>Buenas, tuvimos un corte de luz programado, volvio  la luz y no me prenden los videocall</t>
  </si>
  <si>
    <t>Resuelto.</t>
  </si>
  <si>
    <t>2026-01-21 14:41:30</t>
  </si>
  <si>
    <t>2026-01-21 14:38:47</t>
  </si>
  <si>
    <t>Hola, tenemos problemas con la freidora no esta llegando a temperatura</t>
  </si>
  <si>
    <t>Es la freidora de pollos</t>
  </si>
  <si>
    <t>2026-01-22 10:21:03</t>
  </si>
  <si>
    <t>Se compenso el faltante de temperatura abriéndo la presión de salida de gas de del piloto</t>
  </si>
  <si>
    <t>2026-01-22 10:20:29</t>
  </si>
  <si>
    <t>Los clientes reclaman café aguado</t>
  </si>
  <si>
    <t>Estimados,
Esto fue resuelto por Leyes Bruno
Saludos.</t>
  </si>
  <si>
    <t>2026-01-22 14:13:38</t>
  </si>
  <si>
    <t>La freidora de pollos que ya revisaron en la semana por baja temperatura Ahora no corta. Y sigue subiendo hasta 250 en la perilla mínima. 
Se puede prender fuego</t>
  </si>
  <si>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</si>
  <si>
    <t>2026-01-23 22:16:16</t>
  </si>
  <si>
    <t>El café sale sin sabor.  Pareciera que se quema y después sale solo agua . Tengo más de 5 quejas por café. [Y nones la calidad del café, el café siempre fue el mismo, peor ahora SOLO AGUA Y LECHE]</t>
  </si>
  <si>
    <t>Cafetera ramos (1 hora de trabajo)
Tiket#110126
Melita 
Se realizó calibración automática del equipo molienda mm1 y mm2, equipo operando</t>
  </si>
  <si>
    <t>2026-01-30 13:12:44</t>
  </si>
  <si>
    <t>Precisamos colocar la bomba de leche nueva</t>
  </si>
  <si>
    <t>Estimados, 
Se reemplaza la bomba de leche. Queda el equipo operativo. Se realiza calibracion de gramaje 
Saludos.</t>
  </si>
  <si>
    <t>2025-12-30 15:04:19</t>
  </si>
  <si>
    <t>Error 54. Ademas, café sale aguado, es necesario ver calibración.</t>
  </si>
  <si>
    <t>Estimados,
Se enviua presupuesto por sensor de temperatura. Por favor, una vez que cuenten con dicho repuesto, generen nuevamente el tk para que vayamos a instalar
Saludos.</t>
  </si>
  <si>
    <t>2026-01-17 15:33:28</t>
  </si>
  <si>
    <t>Buenas tardes, precisamos colocar la bomba de leche.</t>
  </si>
  <si>
    <t>Estimados,
Paso Francisco y comento que la bomba de leche no tiene el rendimiento adecuado. Por favor, realicen el recambio con el depósito y cuando llegue la nueva bomba de leche, la instalamos.
Gracias</t>
  </si>
  <si>
    <t>2025-12-30 14:58:29</t>
  </si>
  <si>
    <t>buen dia, llego la bomba de respuesto, precisamos que venga a colocarla mantenimiento</t>
  </si>
  <si>
    <t>Estimados,
Se cierra tk, ya que hay dos por el mismo tema.
Saludos.</t>
  </si>
  <si>
    <t>2026-01-19 12:43:47</t>
  </si>
  <si>
    <t>Buenas tardes! Emito tk para realizar la regulación del separador de carnes jr. Tengo broiler chico fijo y el otro si es con regulación.</t>
  </si>
  <si>
    <t>Estimados,
Deben solicitar a depósito las chapas adicionales para su adaptación. A su vez, hacer el tk en la categoría otros y no en cafeteras. La prioridad debería ser baja, no urgente.
Saludos</t>
  </si>
  <si>
    <t>2026-01-10 15:52:48</t>
  </si>
  <si>
    <t>Tobogan roto. Se pide repuesto</t>
  </si>
  <si>
    <t>Estimados, buenos dias.
Los repuestos de solicitan por mail al deposito, poniendo en copia a Cmerlo@mostazaweb.com.ar
Luego cuando les lleguen los repuestos, nos realizan el tk
Saludos.</t>
  </si>
  <si>
    <t>2026-01-07 17:30:34</t>
  </si>
  <si>
    <t>Estimado mediante este ticket es para comunicar la falla de los acoples de la caldera grande del servicio, y esto hace salta la térmica.</t>
  </si>
  <si>
    <t>Estimados,
Se hablo con Fabrizio Bollero. Se cierra tk
Saludos.</t>
  </si>
  <si>
    <t>2026-01-17 21:41:53</t>
  </si>
  <si>
    <t>No funciona la molienda 1, no hace movimiento ni ruido del funcionamiento.</t>
  </si>
  <si>
    <t>Estimados,
Se hace una puesta a cero, se limpian las moliendas y se calibran las mismas.
Saludos</t>
  </si>
  <si>
    <t>2025-12-29 13:06:54</t>
  </si>
  <si>
    <t>Muy buenos dias!!! Moliendo mm2 sin funcionamiento.</t>
  </si>
  <si>
    <t>2026-01-09 01:00:04</t>
  </si>
  <si>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</si>
  <si>
    <t>2026-01-04 11:11:11</t>
  </si>
  <si>
    <t>No funciona molienda mm1</t>
  </si>
  <si>
    <t>En la visita se realizo una limpieza de moliendas en la que se encontró trozos de madera la cual no permitían moler el cafe y trababa las muelas, también se limpio el pico de café, se calibraron moliendas y se realizo puesta a 0
Tiempo de servicio: 45 minutos</t>
  </si>
  <si>
    <t>2026-01-07 20:08:07</t>
  </si>
  <si>
    <t>Molienda 1 no funciona, no sale cafe ni hace ningún movimiento.</t>
  </si>
  <si>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</si>
  <si>
    <t>2026-01-16 11:56:20</t>
  </si>
  <si>
    <t>Falla en bomba de leche, no levanta y se corto la manguera por lo que pierde.</t>
  </si>
  <si>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</si>
  <si>
    <t>2026-01-20 17:24:09</t>
  </si>
  <si>
    <t>Buenas tardes. Las moliendas no muelen</t>
  </si>
  <si>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</si>
  <si>
    <t>2026-01-28 16:02:57</t>
  </si>
  <si>
    <t>Falla en leche, no esta calibrada y sale sin espuma.</t>
  </si>
  <si>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</si>
  <si>
    <t>2026-01-30 12:38:13</t>
  </si>
  <si>
    <t>Heladera bajo mesada no llega a temperatura.</t>
  </si>
  <si>
    <t>Estimados,
Se revisa la heladera bajo mesada. Se denota un fuerte sonido en el compresor lo cual da indicio de un desgaste prematuro.
Por favor, ver con deposito la garantia del mismo.
Gracias.</t>
  </si>
  <si>
    <t>2026-01-02 09:21:03</t>
  </si>
  <si>
    <t>Freezzer carnes no llega a temperatura</t>
  </si>
  <si>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</si>
  <si>
    <t>2026-01-02 19:55:56</t>
  </si>
  <si>
    <t>2026-01-02 17:00:24</t>
  </si>
  <si>
    <t>Molienda 1 no muele café. Se verifica y a simple vista no se ve nada que trabe la molienda</t>
  </si>
  <si>
    <t>Vino el técnico a arreglarla pero volvió a trabarse apenas se retiro</t>
  </si>
  <si>
    <t>Gerente Sucursal</t>
  </si>
  <si>
    <t>2026-01-07 18:42:58</t>
  </si>
  <si>
    <t>San isidro (1hora)
Melita
Tiket:106949
Equipo con molienda una trabada se destrabó y quedó operando con normalidad, el equipo se calibrar solo</t>
  </si>
  <si>
    <t>2026-01-07 15:02:21</t>
  </si>
  <si>
    <t>Horno pratica nos arroja un error</t>
  </si>
  <si>
    <t>Se revisa horno por completo y no se encuentra desperfecto . Se chequea la tensión de entrada y por el momento es la adecuada. En caso de que vuelva a suceder, deberíamos de ver la posibilidad de instalar un elevador de tension
Saludos</t>
  </si>
  <si>
    <t>2026-01-08 18:48:34</t>
  </si>
  <si>
    <t>Calibrar guías de carnes junior</t>
  </si>
  <si>
    <t>Estimados,
Se cierra tk repetido. Ya se crearon 3 tk por lo mismo.
Saludos.</t>
  </si>
  <si>
    <t>2026-01-08 19:58:10</t>
  </si>
  <si>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</si>
  <si>
    <t>2026-01-03 15:17:50</t>
  </si>
  <si>
    <t>Cafetera san justo peatonal (1 hora de trabajo)
Cimbali 1840208
Tiket#108338
Se realizó puesta cero y calibración de muelas, se calibro espuma, falta filtro de leche 
Repuestos: filtro de leche</t>
  </si>
  <si>
    <t>2026-01-16 18:26:23</t>
  </si>
  <si>
    <t>Estimados,
Se cierra el tk ya que el mismo se encuentra triplicado. Se continua por el otro.
Saludos.</t>
  </si>
  <si>
    <t>2026-01-16 18:26:46</t>
  </si>
  <si>
    <t>Calibrar maquina</t>
  </si>
  <si>
    <t>2026-01-16 18:27:25</t>
  </si>
  <si>
    <t>Freidora los quemadores no encienden y cuando la abrís explota</t>
  </si>
  <si>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</si>
  <si>
    <t>2026-01-21 09:47:19</t>
  </si>
  <si>
    <t>Cambiar resorte paninera ya que se cae</t>
  </si>
  <si>
    <t>Paninera san justo (1 hora de trabajo)
Tiket#108992
Se acomodo resorte de la paninera y se realizó preventiva ,equipo operando</t>
  </si>
  <si>
    <t>2026-01-21 09:47:54</t>
  </si>
  <si>
    <t>Estimados, 
Se cierra tk ya que se generaron 3 por el mismo incidente.
Saludos.</t>
  </si>
  <si>
    <t>2026-01-06 09:41:30</t>
  </si>
  <si>
    <t>Buenos días , la cafetera del lado del transfer tiene el error 066 no tiene agua ,porfavor nos podrían ayudar ,por el momento está apagada</t>
  </si>
  <si>
    <t>2026-01-06 09:44:43</t>
  </si>
  <si>
    <t>Buenos dias, la cafetera del lado del transfer tiene el error 066 ,no tiene agua necesito si nos pondrían ayudar porfavor</t>
  </si>
  <si>
    <t>Adjunto fotos restantes</t>
  </si>
  <si>
    <t>2026-01-07 09:41:48</t>
  </si>
  <si>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</si>
  <si>
    <t>2026-01-06 09:47:49</t>
  </si>
  <si>
    <t>Las moliendas hacen un ruido raro, ya la lavamos y limpiamos, revisamos las moliendas y siguen sin dar café</t>
  </si>
  <si>
    <t>Sucursal Franquicia San Martin peatonal</t>
  </si>
  <si>
    <t>2026-01-10 19:24:41</t>
  </si>
  <si>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</si>
  <si>
    <t>2026-01-10 19:22:42</t>
  </si>
  <si>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</si>
  <si>
    <t>Estimados,
Se reemplaza fusible de equipo y se deja el mismo operando.
Saludos.</t>
  </si>
  <si>
    <t>2026-01-11 12:12:28</t>
  </si>
  <si>
    <t>Molienda 1  tiene restos de madera que no logramos sacar, en la imagen muestro los restos que sacamos de la superficie.</t>
  </si>
  <si>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</si>
  <si>
    <t>2026-01-09 12:37:20</t>
  </si>
  <si>
    <t>Buenas tardes la cafetera no realiza correctamente molienda de café y su extracción resulta diluida y con olor a quemado. El cafe desechado contiene exceso de agua y traba sus partes removibles. El sabor del cafe es baboso y ácido.</t>
  </si>
  <si>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</si>
  <si>
    <t>2026-01-19 15:11:34</t>
  </si>
  <si>
    <t>Cuando intentamos hacer un cafe nos sale agua de las dos moliendas, se traban cada 20 minutos</t>
  </si>
  <si>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</si>
  <si>
    <t>2026-01-15 22:24:14</t>
  </si>
  <si>
    <t>Buenos dias, reabri el ticket 104152, las moliendas de la cafetera 1 y cafetera 2 no funcionan, unicamente esta funcionando una de cada cafetera,</t>
  </si>
  <si>
    <t>Fotos</t>
  </si>
  <si>
    <t>2026-01-07 15:31:34</t>
  </si>
  <si>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</si>
  <si>
    <t>2026-01-07 11:06:58</t>
  </si>
  <si>
    <t>Buenos dias,
Una de las cafeteras no subsiona leche .. sale solo cafe negro. Podrian venir a revisarla ? 
Estimamos que es la bomba</t>
  </si>
  <si>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</si>
  <si>
    <t>2026-01-16 17:35:27</t>
  </si>
  <si>
    <t>Hola buenas tardes, me comunico ya que tengo un problema con la mm1 ya que no muele los granos de cafe</t>
  </si>
  <si>
    <t>Buenos días necesito que pase un tecnico lo antes posible ya que no funcionan ninguna de las dos moliendas</t>
  </si>
  <si>
    <t>Gerente Villa del Parque</t>
  </si>
  <si>
    <t>2025-12-31 07:46:50</t>
  </si>
  <si>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</si>
  <si>
    <t>2025-12-30 19:52:30</t>
  </si>
  <si>
    <t>Buenas, la cafetera no deja de gotear agua por el mismo suministro</t>
  </si>
  <si>
    <t>Duración de trabajo 1:30hs
Tecnico a cargo: Mauro Husak
Se reinician térmicos de caldera y se limpia grupo, se revisa perdida de agua de tetera queda operando correctamente
Saludos.</t>
  </si>
  <si>
    <t>2026-01-02 14:37:50</t>
  </si>
  <si>
    <t>No sale café de la cafetera</t>
  </si>
  <si>
    <t>LOCAL: Wilde (2 horas de trabajo)
Ticket #107109
Cimbali 2095738
Equipo con muelas trabadas, se abrió, limpio, se realizó puesta cero y calibración de café ,se regulo espuma</t>
  </si>
  <si>
    <t>2026-01-09 07:32:29</t>
  </si>
  <si>
    <t>Buenos días, el cafe espresso esta saliendo aguado. Porfavor se podria revisar? Desde ya muchas gracias.</t>
  </si>
  <si>
    <t>Estimados,
Se paso por el local y se calibro equipo
Saludos.</t>
  </si>
  <si>
    <t>2026-01-27 11:29:57</t>
  </si>
  <si>
    <t>El equipo arroja error critico y no deja usarla, probamos apagando, dejandola reposar 10 minutos, al encenderla y seleccionar algun café vuelve el mismo error, adjunto foto del error</t>
  </si>
  <si>
    <t>Se cierra tk</t>
  </si>
  <si>
    <t>2025-09-30 19:19:55</t>
  </si>
  <si>
    <t>Salta falla critica en equipo y no deja usarla, el café tambien sale mas lento a comparación de cuando estaba recien instalada</t>
  </si>
  <si>
    <t>2025-10-22 16:42:30</t>
  </si>
  <si>
    <t>Hola! Molienda 1 no funciona, me figura que está el depósito vacío y sale solo agua</t>
  </si>
  <si>
    <t>2025-12-14 11:45:59</t>
  </si>
  <si>
    <t>TOTAL (Solo con X)</t>
  </si>
  <si>
    <t>Total horas</t>
  </si>
  <si>
    <t xml:space="preserve">Total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</si>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</sst>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 #,##0.00_-;\-&quot;$&quot;\ * #,##0.00_-;_-&quot;$&quot;\ * &quot;-&quot;??_-;_-@_-"/>
    <numFmt numFmtId="165" formatCode="_-[$USD]\ * #,##0.00_-;\-[$USD]\ * #,##0.00_-;_-[$USD]\ * &quot;-&quot;??_-;_-@_-"/>
    <numFmt numFmtId="166" formatCode="_-[$$-2C0A]\ * #,##0.00_-;\-[$$-2C0A]\ * #,##0.00_-;_-[$$-2C0A]\ * &quot;-&quot;??_-;_-@_-"/>
    <numFmt numFmtId="167" formatCode="_-* #,##0.00\ [$€-C0A]_-;\-* #,##0.00\ [$€-C0A]_-;_-* &quot;-&quot;??\ [$€-C0A]_-;_-@_-"/>
    <numFmt numFmtId="168" formatCode="&quot;$&quot;#,##0.00"/>
    <numFmt numFmtId="169" formatCode="&quot;$&quot;\ #,##0.00"/>
  </numFmts>
  <fonts count="20" x14ac:knownFonts="1">
    <font>
      <sz val="10"/>
      <name val="Arial"/>
    </font>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9"/>
      <name val="Aptos Narrow"/>
      <family val="2"/>
    </font>
    <font>
      <sz val="10"/>
      <name val="Aptos Narrow"/>
      <family val="2"/>
    </font>
    <font>
      <sz val="9"/>
      <color rgb="FF323C46"/>
      <name val="Montserrat"/>
    </font>
    <font>
      <sz val="8"/>
      <color rgb="FF323C46"/>
      <name val="Montserrat"/>
    </font>
    <font>
      <sz val="11"/>
      <color rgb="FF000000"/>
      <name val="Aptos Narrow"/>
      <family val="2"/>
      <scheme val="minor"/>
    </font>
    <font>
      <sz val="7"/>
      <color rgb="FF000000"/>
      <name val="Montserrat"/>
    </font>
    <font>
      <sz val="7"/>
      <color rgb="FF323C46"/>
      <name val="Montserrat"/>
    </font>
    <font>
      <sz val="11"/>
      <color rgb="FF000000"/>
      <name val="Aptos Narrow"/>
      <family val="2"/>
    </font>
    <font>
      <b/>
      <sz val="12"/>
      <color theme="1"/>
      <name val="Aptos Narrow"/>
      <family val="2"/>
      <scheme val="minor"/>
    </font>
    <font>
      <b/>
      <sz val="11"/>
      <color rgb="FFFFFFFF"/>
      <name val="Calibri"/>
      <family val="2"/>
    </font>
    <font>
      <b/>
      <sz val="14"/>
      <color rgb="FF1F4E79"/>
      <name val="Calibri"/>
      <family val="2"/>
    </font>
    <font>
      <b/>
      <sz val="11"/>
      <name val="Calibri"/>
      <family val="2"/>
    </font>
    <font>
      <sz val="11"/>
      <color theme="0"/>
      <name val="Aptos Narrow"/>
      <family val="2"/>
      <scheme val="minor"/>
    </font>
    <font>
      <b/>
      <sz val="14"/>
      <color theme="1"/>
      <name val="Aptos Narrow"/>
      <family val="2"/>
      <scheme val="minor"/>
    </font>
    <font>
      <sz val="10"/>
      <color theme="0"/>
      <name val="Arial"/>
      <family val="2"/>
    </font>
  </fonts>
  <fills count="13">
    <fill>
      <patternFill patternType="none"/>
    </fill>
    <fill>
      <patternFill patternType="gray125"/>
    </fill>
    <fill>
      <patternFill patternType="solid">
        <fgColor indexed="44"/>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FF"/>
        <bgColor indexed="64"/>
      </patternFill>
    </fill>
    <fill>
      <patternFill patternType="solid">
        <fgColor rgb="FF1F4E78"/>
        <bgColor rgb="FF1F4E78"/>
      </patternFill>
    </fill>
    <fill>
      <patternFill patternType="solid">
        <fgColor theme="0"/>
        <bgColor indexed="64"/>
      </patternFill>
    </fill>
    <fill>
      <patternFill patternType="solid">
        <fgColor rgb="FF1F4E79"/>
        <bgColor rgb="FF1F4E79"/>
      </patternFill>
    </fill>
    <fill>
      <patternFill patternType="solid">
        <fgColor rgb="FFD9E1F2"/>
        <bgColor rgb="FFD9E1F2"/>
      </patternFill>
    </fill>
    <fill>
      <patternFill patternType="solid">
        <fgColor theme="3" tint="0.79998168889431442"/>
        <bgColor indexed="64"/>
      </patternFill>
    </fill>
    <fill>
      <patternFill patternType="solid">
        <fgColor theme="3" tint="0.59999389629810485"/>
        <bgColor indexed="64"/>
      </patternFill>
    </fill>
    <fill>
      <patternFill patternType="solid">
        <fgColor rgb="FF00FA00"/>
        <bgColor indexed="64"/>
      </patternFill>
    </fill>
  </fills>
  <borders count="10">
    <border>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0" fontId="2" fillId="0" borderId="0"/>
    <xf numFmtId="164" fontId="2" fillId="0" borderId="0" applyFont="0" applyFill="0" applyBorder="0" applyAlignment="0" applyProtection="0"/>
  </cellStyleXfs>
  <cellXfs count="73">
    <xf numFmtId="0" fontId="0" fillId="0" borderId="0" xfId="0"/>
    <xf numFmtId="0" fontId="4" fillId="0" borderId="0" xfId="0" applyFont="1"/>
    <xf numFmtId="14" fontId="0" fillId="0" borderId="0" xfId="0" applyNumberFormat="1"/>
    <xf numFmtId="165" fontId="0" fillId="0" borderId="0" xfId="0" applyNumberFormat="1" applyAlignment="1">
      <alignment horizontal="right"/>
    </xf>
    <xf numFmtId="165" fontId="0" fillId="0" borderId="0" xfId="0" applyNumberFormat="1"/>
    <xf numFmtId="2" fontId="0" fillId="0" borderId="0" xfId="0" applyNumberFormat="1"/>
    <xf numFmtId="0" fontId="5" fillId="2" borderId="0" xfId="1" applyFont="1" applyFill="1" applyAlignment="1">
      <alignment horizontal="center" vertical="center"/>
    </xf>
    <xf numFmtId="0" fontId="5" fillId="2" borderId="1" xfId="1" applyFont="1" applyFill="1" applyBorder="1" applyAlignment="1">
      <alignment horizontal="center" vertical="center"/>
    </xf>
    <xf numFmtId="0" fontId="5" fillId="0" borderId="0" xfId="1" applyFont="1" applyAlignment="1">
      <alignment horizontal="center" vertical="center"/>
    </xf>
    <xf numFmtId="0" fontId="2" fillId="3" borderId="0" xfId="1" applyFill="1"/>
    <xf numFmtId="0" fontId="2" fillId="0" borderId="0" xfId="1"/>
    <xf numFmtId="0" fontId="6" fillId="0" borderId="0" xfId="1" applyFont="1" applyAlignment="1">
      <alignment horizontal="center" vertical="center"/>
    </xf>
    <xf numFmtId="0" fontId="6" fillId="0" borderId="0" xfId="1" applyFont="1" applyAlignment="1">
      <alignment horizontal="center"/>
    </xf>
    <xf numFmtId="0" fontId="6" fillId="0" borderId="0" xfId="1" applyFont="1"/>
    <xf numFmtId="165" fontId="2" fillId="0" borderId="0" xfId="1" applyNumberFormat="1"/>
    <xf numFmtId="166" fontId="2" fillId="0" borderId="0" xfId="1" applyNumberFormat="1"/>
    <xf numFmtId="2" fontId="2" fillId="3" borderId="0" xfId="1" applyNumberFormat="1" applyFill="1"/>
    <xf numFmtId="2" fontId="2" fillId="0" borderId="0" xfId="1" applyNumberFormat="1"/>
    <xf numFmtId="0" fontId="2" fillId="4" borderId="0" xfId="1" applyFill="1"/>
    <xf numFmtId="0" fontId="7" fillId="0" borderId="0" xfId="1" applyFont="1"/>
    <xf numFmtId="0" fontId="7" fillId="5" borderId="0" xfId="1" applyFont="1" applyFill="1" applyAlignment="1">
      <alignment vertical="center" wrapText="1"/>
    </xf>
    <xf numFmtId="167" fontId="2" fillId="0" borderId="0" xfId="1" applyNumberFormat="1"/>
    <xf numFmtId="165" fontId="3" fillId="0" borderId="0" xfId="1" applyNumberFormat="1" applyFont="1"/>
    <xf numFmtId="167" fontId="0" fillId="0" borderId="0" xfId="2" applyNumberFormat="1" applyFont="1" applyBorder="1"/>
    <xf numFmtId="0" fontId="8" fillId="0" borderId="0" xfId="1" applyFont="1"/>
    <xf numFmtId="16" fontId="2" fillId="0" borderId="0" xfId="1" applyNumberFormat="1"/>
    <xf numFmtId="0" fontId="6" fillId="0" borderId="2" xfId="1" applyFont="1" applyBorder="1"/>
    <xf numFmtId="0" fontId="9" fillId="0" borderId="0" xfId="1" applyFont="1"/>
    <xf numFmtId="0" fontId="9" fillId="0" borderId="2" xfId="1" applyFont="1" applyBorder="1" applyAlignment="1">
      <alignment wrapText="1"/>
    </xf>
    <xf numFmtId="0" fontId="10" fillId="0" borderId="0" xfId="1" applyFont="1"/>
    <xf numFmtId="0" fontId="9" fillId="0" borderId="3" xfId="1" applyFont="1" applyBorder="1"/>
    <xf numFmtId="0" fontId="11" fillId="0" borderId="0" xfId="1" applyFont="1"/>
    <xf numFmtId="0" fontId="2" fillId="0" borderId="0" xfId="1" applyAlignment="1">
      <alignment horizontal="center"/>
    </xf>
    <xf numFmtId="0" fontId="1" fillId="0" borderId="0" xfId="0" applyFont="1"/>
    <xf numFmtId="0" fontId="9" fillId="0" borderId="3" xfId="0" applyFont="1" applyBorder="1"/>
    <xf numFmtId="0" fontId="6" fillId="0" borderId="0" xfId="0" applyFont="1" applyAlignment="1">
      <alignment horizontal="center" vertical="center"/>
    </xf>
    <xf numFmtId="0" fontId="6" fillId="0" borderId="0" xfId="0" applyFont="1"/>
    <xf numFmtId="0" fontId="6" fillId="0" borderId="0" xfId="0" applyFont="1" applyAlignment="1">
      <alignment horizontal="center"/>
    </xf>
    <xf numFmtId="165" fontId="1" fillId="0" borderId="0" xfId="0" applyNumberFormat="1" applyFont="1"/>
    <xf numFmtId="166" fontId="1" fillId="0" borderId="0" xfId="0" applyNumberFormat="1" applyFont="1"/>
    <xf numFmtId="0" fontId="12" fillId="0" borderId="2" xfId="0" applyFont="1" applyBorder="1"/>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left"/>
    </xf>
    <xf numFmtId="0" fontId="14" fillId="6" borderId="4" xfId="0" applyFont="1" applyFill="1" applyBorder="1" applyAlignment="1">
      <alignment horizontal="center" vertical="center"/>
    </xf>
    <xf numFmtId="0" fontId="0" fillId="0" borderId="4" xfId="0" applyBorder="1" applyAlignment="1">
      <alignment horizontal="center" vertical="center"/>
    </xf>
    <xf numFmtId="168" fontId="0" fillId="0" borderId="4" xfId="0" applyNumberFormat="1" applyBorder="1" applyAlignment="1">
      <alignment horizontal="center" vertical="center"/>
    </xf>
    <xf numFmtId="0" fontId="0" fillId="0" borderId="4" xfId="0" applyBorder="1" applyAlignment="1">
      <alignment horizontal="center"/>
    </xf>
    <xf numFmtId="0" fontId="0" fillId="0" borderId="4" xfId="0" applyBorder="1"/>
    <xf numFmtId="169" fontId="0" fillId="7" borderId="4" xfId="0" applyNumberFormat="1" applyFill="1" applyBorder="1"/>
    <xf numFmtId="168" fontId="0" fillId="0" borderId="0" xfId="0" applyNumberFormat="1"/>
    <xf numFmtId="0" fontId="15" fillId="0" borderId="0" xfId="0" applyFont="1"/>
    <xf numFmtId="0" fontId="14" fillId="8" borderId="5" xfId="0" applyFont="1" applyFill="1" applyBorder="1" applyAlignment="1">
      <alignment horizontal="center"/>
    </xf>
    <xf numFmtId="0" fontId="0" fillId="0" borderId="5" xfId="0" applyBorder="1"/>
    <xf numFmtId="0" fontId="0" fillId="0" borderId="5" xfId="0" applyBorder="1" applyAlignment="1">
      <alignment horizontal="center"/>
    </xf>
    <xf numFmtId="0" fontId="0" fillId="0" borderId="6" xfId="0" applyBorder="1"/>
    <xf numFmtId="0" fontId="16" fillId="9" borderId="4" xfId="0" applyFont="1" applyFill="1" applyBorder="1" applyAlignment="1">
      <alignment horizontal="center" vertical="center"/>
    </xf>
    <xf numFmtId="168" fontId="16" fillId="9" borderId="4" xfId="0" applyNumberFormat="1" applyFont="1" applyFill="1" applyBorder="1" applyAlignment="1">
      <alignment horizontal="center" vertical="center"/>
    </xf>
    <xf numFmtId="0" fontId="17" fillId="0" borderId="0" xfId="0" applyFont="1" applyAlignment="1">
      <alignment horizontal="center"/>
    </xf>
    <xf numFmtId="168" fontId="17" fillId="0" borderId="0" xfId="0" applyNumberFormat="1" applyFont="1"/>
    <xf numFmtId="0" fontId="17" fillId="7" borderId="4" xfId="0" applyFont="1" applyFill="1" applyBorder="1" applyAlignment="1">
      <alignment horizontal="center" vertical="center"/>
    </xf>
    <xf numFmtId="0" fontId="0" fillId="10" borderId="0" xfId="0" applyFill="1"/>
    <xf numFmtId="0" fontId="3" fillId="10" borderId="0" xfId="0" applyFont="1" applyFill="1" applyAlignment="1">
      <alignment horizontal="center"/>
    </xf>
    <xf numFmtId="168" fontId="3" fillId="10" borderId="0" xfId="0" applyNumberFormat="1" applyFont="1" applyFill="1"/>
    <xf numFmtId="0" fontId="13" fillId="11" borderId="7" xfId="0" applyFont="1" applyFill="1" applyBorder="1" applyAlignment="1">
      <alignment horizontal="center"/>
    </xf>
    <xf numFmtId="0" fontId="13" fillId="11" borderId="8" xfId="0" applyFont="1" applyFill="1" applyBorder="1" applyAlignment="1">
      <alignment horizontal="center"/>
    </xf>
    <xf numFmtId="0" fontId="18" fillId="12" borderId="7" xfId="0" applyFont="1" applyFill="1" applyBorder="1" applyAlignment="1">
      <alignment horizontal="right"/>
    </xf>
    <xf numFmtId="0" fontId="18" fillId="12" borderId="9" xfId="0" applyFont="1" applyFill="1" applyBorder="1"/>
    <xf numFmtId="168" fontId="18" fillId="12" borderId="8" xfId="0" applyNumberFormat="1" applyFont="1" applyFill="1" applyBorder="1"/>
    <xf numFmtId="165" fontId="0" fillId="0" borderId="5" xfId="0" applyNumberFormat="1" applyBorder="1" applyAlignment="1">
      <alignment horizontal="center"/>
    </xf>
    <xf numFmtId="0" fontId="19" fillId="0" borderId="0" xfId="0" applyFont="1"/>
    <xf numFmtId="0" fontId="0" fillId="0" borderId="0" xfId="0" applyAlignment="1">
      <alignment horizontal="right"/>
    </xf>
    <xf numFmtId="0" fontId="0" fillId="0" borderId="6" xfId="0" applyFill="1" applyBorder="1"/>
  </cellXfs>
  <cellStyles count="3">
    <cellStyle name="Moneda 2" xfId="2" xr:uid="{D598B166-DF6F-4B6F-8F45-2377ECDA1655}"/>
    <cellStyle name="Normal" xfId="0" builtinId="0"/>
    <cellStyle name="Normal 2" xfId="1" xr:uid="{098A76F3-E54C-4D48-B346-7141F2C17343}"/>
  </cellStyles>
  <dxfs count="35">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165" formatCode="_-[$USD]\ * #,##0.00_-;\-[$USD]\ * #,##0.00_-;_-[$USD]\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USD]\ * #,##0.00_-;\-[$USD]\ * #,##0.00_-;_-[$USD]\ * &quot;-&quot;??_-;_-@_-"/>
    </dxf>
    <dxf>
      <font>
        <b val="0"/>
        <i val="0"/>
        <strike val="0"/>
        <condense val="0"/>
        <extend val="0"/>
        <outline val="0"/>
        <shadow val="0"/>
        <u val="none"/>
        <vertAlign val="baseline"/>
        <sz val="11"/>
        <color theme="1"/>
        <name val="Aptos Narrow"/>
        <family val="2"/>
        <scheme val="minor"/>
      </font>
      <numFmt numFmtId="165" formatCode="_-[$USD]\ * #,##0.00_-;\-[$USD]\ * #,##0.00_-;_-[$USD]\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USD]\ * #,##0.00_-;\-[$USD]\ * #,##0.00_-;_-[$USD]\ * &quot;-&quot;??_-;_-@_-"/>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166" formatCode="_-[$$-2C0A]\ * #,##0.00_-;\-[$$-2C0A]\ * #,##0.00_-;_-[$$-2C0A]\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6" formatCode="_-[$$-2C0A]\ * #,##0.00_-;\-[$$-2C0A]\ * #,##0.00_-;_-[$$-2C0A]\ * &quot;-&quot;??_-;_-@_-"/>
    </dxf>
    <dxf>
      <font>
        <b val="0"/>
        <i val="0"/>
        <strike val="0"/>
        <condense val="0"/>
        <extend val="0"/>
        <outline val="0"/>
        <shadow val="0"/>
        <u val="none"/>
        <vertAlign val="baseline"/>
        <sz val="11"/>
        <color theme="1"/>
        <name val="Aptos Narrow"/>
        <family val="2"/>
        <scheme val="minor"/>
      </font>
      <numFmt numFmtId="165" formatCode="_-[$USD]\ * #,##0.00_-;\-[$USD]\ * #,##0.00_-;_-[$USD]\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USD]\ * #,##0.00_-;\-[$USD]\ * #,##0.00_-;_-[$USD]\ * &quot;-&quot;??_-;_-@_-"/>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ptos Narrow"/>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ptos Narrow"/>
        <family val="2"/>
        <scheme val="none"/>
      </font>
    </dxf>
    <dxf>
      <font>
        <b val="0"/>
        <i val="0"/>
        <strike val="0"/>
        <condense val="0"/>
        <extend val="0"/>
        <outline val="0"/>
        <shadow val="0"/>
        <u val="none"/>
        <vertAlign val="baseline"/>
        <sz val="10"/>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border>
      <protection locked="1" hidden="0"/>
    </dxf>
    <dxf>
      <font>
        <b val="0"/>
        <i val="0"/>
        <strike val="0"/>
        <condense val="0"/>
        <extend val="0"/>
        <outline val="0"/>
        <shadow val="0"/>
        <u val="none"/>
        <vertAlign val="baseline"/>
        <sz val="10"/>
        <color auto="1"/>
        <name val="Aptos Narrow"/>
        <family val="2"/>
        <scheme val="none"/>
      </font>
      <alignment horizontal="center" vertical="bottom" textRotation="0" wrapText="0" indent="0" justifyLastLine="0" shrinkToFit="0" readingOrder="0"/>
    </dxf>
    <dxf>
      <font>
        <b/>
        <i val="0"/>
        <strike val="0"/>
        <condense val="0"/>
        <extend val="0"/>
        <outline val="0"/>
        <shadow val="0"/>
        <u val="none"/>
        <vertAlign val="baseline"/>
        <sz val="9"/>
        <color auto="1"/>
        <name val="Aptos Narrow"/>
        <family val="2"/>
        <scheme val="none"/>
      </font>
      <fill>
        <patternFill patternType="solid">
          <fgColor indexed="64"/>
          <bgColor indexed="4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_-[$USD]\ * #,##0.00_-;\-[$USD]\ * #,##0.00_-;_-[$USD]\ * &quot;-&quot;??_-;_-@_-"/>
    </dxf>
    <dxf>
      <numFmt numFmtId="165" formatCode="_-[$USD]\ * #,##0.00_-;\-[$USD]\ * #,##0.00_-;_-[$USD]\ * &quot;-&quot;??_-;_-@_-"/>
    </dxf>
    <dxf>
      <numFmt numFmtId="165" formatCode="_-[$USD]\ * #,##0.00_-;\-[$USD]\ * #,##0.00_-;_-[$USD]\ * &quot;-&quot;??_-;_-@_-"/>
      <alignment horizontal="right" vertical="bottom" textRotation="0" wrapText="0" indent="0" justifyLastLine="0" shrinkToFit="0" readingOrder="0"/>
    </dxf>
    <dxf>
      <numFmt numFmtId="165" formatCode="_-[$USD]\ * #,##0.00_-;\-[$USD]\ * #,##0.00_-;_-[$USD]\ * &quot;-&quot;??_-;_-@_-"/>
      <alignment horizontal="right" vertical="bottom" textRotation="0" wrapText="0" indent="0" justifyLastLine="0" shrinkToFit="0" readingOrder="0"/>
    </dxf>
    <dxf>
      <numFmt numFmtId="165" formatCode="_-[$USD]\ * #,##0.00_-;\-[$USD]\ * #,##0.00_-;_-[$USD]\ * &quot;-&quot;??_-;_-@_-"/>
      <alignment horizontal="right" vertical="bottom" textRotation="0" wrapText="0" indent="0" justifyLastLine="0" shrinkToFit="0" readingOrder="0"/>
    </dxf>
    <dxf>
      <numFmt numFmtId="165" formatCode="_-[$USD]\ * #,##0.00_-;\-[$USD]\ * #,##0.00_-;_-[$USD]\ * &quot;-&quot;??_-;_-@_-"/>
      <alignment horizontal="right" vertical="bottom" textRotation="0" wrapText="0" indent="0" justifyLastLine="0" shrinkToFit="0" readingOrder="0"/>
    </dxf>
    <dxf>
      <numFmt numFmtId="170" formatCode="d/m/yyyy"/>
    </dxf>
    <dxf>
      <numFmt numFmtId="170"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215900</xdr:colOff>
      <xdr:row>42</xdr:row>
      <xdr:rowOff>12700</xdr:rowOff>
    </xdr:from>
    <xdr:to>
      <xdr:col>9</xdr:col>
      <xdr:colOff>558800</xdr:colOff>
      <xdr:row>70</xdr:row>
      <xdr:rowOff>3054</xdr:rowOff>
    </xdr:to>
    <xdr:pic>
      <xdr:nvPicPr>
        <xdr:cNvPr id="2" name="Imagen 1">
          <a:extLst>
            <a:ext uri="{FF2B5EF4-FFF2-40B4-BE49-F238E27FC236}">
              <a16:creationId xmlns:a16="http://schemas.microsoft.com/office/drawing/2014/main" id="{7D96CB42-C267-5549-88FF-598AD9E1C4C9}"/>
            </a:ext>
          </a:extLst>
        </xdr:cNvPr>
        <xdr:cNvPicPr>
          <a:picLocks noChangeAspect="1"/>
        </xdr:cNvPicPr>
      </xdr:nvPicPr>
      <xdr:blipFill>
        <a:blip xmlns:r="http://schemas.openxmlformats.org/officeDocument/2006/relationships" r:embed="rId1"/>
        <a:stretch>
          <a:fillRect/>
        </a:stretch>
      </xdr:blipFill>
      <xdr:spPr>
        <a:xfrm>
          <a:off x="215900" y="8013700"/>
          <a:ext cx="7772400" cy="4613154"/>
        </a:xfrm>
        <a:prstGeom prst="rect">
          <a:avLst/>
        </a:prstGeom>
      </xdr:spPr>
    </xdr:pic>
    <xdr:clientData/>
  </xdr:twoCellAnchor>
  <xdr:twoCellAnchor editAs="oneCell">
    <xdr:from>
      <xdr:col>9</xdr:col>
      <xdr:colOff>355600</xdr:colOff>
      <xdr:row>22</xdr:row>
      <xdr:rowOff>25400</xdr:rowOff>
    </xdr:from>
    <xdr:to>
      <xdr:col>18</xdr:col>
      <xdr:colOff>698500</xdr:colOff>
      <xdr:row>45</xdr:row>
      <xdr:rowOff>59820</xdr:rowOff>
    </xdr:to>
    <xdr:pic>
      <xdr:nvPicPr>
        <xdr:cNvPr id="3" name="Imagen 2">
          <a:extLst>
            <a:ext uri="{FF2B5EF4-FFF2-40B4-BE49-F238E27FC236}">
              <a16:creationId xmlns:a16="http://schemas.microsoft.com/office/drawing/2014/main" id="{12FF8A9A-E69D-524F-A192-516ED3EA76D7}"/>
            </a:ext>
          </a:extLst>
        </xdr:cNvPr>
        <xdr:cNvPicPr>
          <a:picLocks noChangeAspect="1"/>
        </xdr:cNvPicPr>
      </xdr:nvPicPr>
      <xdr:blipFill>
        <a:blip xmlns:r="http://schemas.openxmlformats.org/officeDocument/2006/relationships" r:embed="rId2"/>
        <a:stretch>
          <a:fillRect/>
        </a:stretch>
      </xdr:blipFill>
      <xdr:spPr>
        <a:xfrm>
          <a:off x="7785100" y="4216400"/>
          <a:ext cx="7772400" cy="3831720"/>
        </a:xfrm>
        <a:prstGeom prst="rect">
          <a:avLst/>
        </a:prstGeom>
      </xdr:spPr>
    </xdr:pic>
    <xdr:clientData/>
  </xdr:twoCellAnchor>
  <xdr:twoCellAnchor editAs="oneCell">
    <xdr:from>
      <xdr:col>9</xdr:col>
      <xdr:colOff>266700</xdr:colOff>
      <xdr:row>1</xdr:row>
      <xdr:rowOff>50800</xdr:rowOff>
    </xdr:from>
    <xdr:to>
      <xdr:col>18</xdr:col>
      <xdr:colOff>609600</xdr:colOff>
      <xdr:row>24</xdr:row>
      <xdr:rowOff>85220</xdr:rowOff>
    </xdr:to>
    <xdr:pic>
      <xdr:nvPicPr>
        <xdr:cNvPr id="4" name="Imagen 3">
          <a:extLst>
            <a:ext uri="{FF2B5EF4-FFF2-40B4-BE49-F238E27FC236}">
              <a16:creationId xmlns:a16="http://schemas.microsoft.com/office/drawing/2014/main" id="{62B90528-1FC4-1C40-9F22-E6E7DCEF2E60}"/>
            </a:ext>
          </a:extLst>
        </xdr:cNvPr>
        <xdr:cNvPicPr>
          <a:picLocks noChangeAspect="1"/>
        </xdr:cNvPicPr>
      </xdr:nvPicPr>
      <xdr:blipFill>
        <a:blip xmlns:r="http://schemas.openxmlformats.org/officeDocument/2006/relationships" r:embed="rId3"/>
        <a:stretch>
          <a:fillRect/>
        </a:stretch>
      </xdr:blipFill>
      <xdr:spPr>
        <a:xfrm>
          <a:off x="7696200" y="241300"/>
          <a:ext cx="7772400" cy="3831720"/>
        </a:xfrm>
        <a:prstGeom prst="rect">
          <a:avLst/>
        </a:prstGeom>
      </xdr:spPr>
    </xdr:pic>
    <xdr:clientData/>
  </xdr:twoCellAnchor>
  <xdr:twoCellAnchor editAs="oneCell">
    <xdr:from>
      <xdr:col>0</xdr:col>
      <xdr:colOff>368300</xdr:colOff>
      <xdr:row>1</xdr:row>
      <xdr:rowOff>114300</xdr:rowOff>
    </xdr:from>
    <xdr:to>
      <xdr:col>8</xdr:col>
      <xdr:colOff>762000</xdr:colOff>
      <xdr:row>45</xdr:row>
      <xdr:rowOff>63500</xdr:rowOff>
    </xdr:to>
    <xdr:pic>
      <xdr:nvPicPr>
        <xdr:cNvPr id="5" name="Imagen 4">
          <a:extLst>
            <a:ext uri="{FF2B5EF4-FFF2-40B4-BE49-F238E27FC236}">
              <a16:creationId xmlns:a16="http://schemas.microsoft.com/office/drawing/2014/main" id="{1D3EEB45-8BDB-9048-8843-CBF1142E984C}"/>
            </a:ext>
          </a:extLst>
        </xdr:cNvPr>
        <xdr:cNvPicPr>
          <a:picLocks noChangeAspect="1"/>
        </xdr:cNvPicPr>
      </xdr:nvPicPr>
      <xdr:blipFill>
        <a:blip xmlns:r="http://schemas.openxmlformats.org/officeDocument/2006/relationships" r:embed="rId4"/>
        <a:stretch>
          <a:fillRect/>
        </a:stretch>
      </xdr:blipFill>
      <xdr:spPr>
        <a:xfrm>
          <a:off x="368300" y="304800"/>
          <a:ext cx="6997700" cy="7213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6C6CE-2B53-489B-A182-7F04F53F521A}" name="Tabla1" displayName="Tabla1" ref="A1:L72" totalsRowCount="1">
  <autoFilter ref="A1:L71" xr:uid="{B32397CE-CC89-4001-8F09-38C4F2BB6B5C}"/>
  <sortState xmlns:xlrd2="http://schemas.microsoft.com/office/spreadsheetml/2017/richdata2" ref="A2:L71">
    <sortCondition ref="D1:D71"/>
  </sortState>
  <tableColumns count="12">
    <tableColumn id="1" xr3:uid="{83834AB4-D625-40F8-A17C-7115DA48210D}" name="articulo"/>
    <tableColumn id="2" xr3:uid="{C019A8A6-42DA-422D-B031-3C9A7EA85F80}" name="descripcion"/>
    <tableColumn id="3" xr3:uid="{9BA04B50-FE6B-44AE-8A84-EED8A05EA2B1}" name="presentacion"/>
    <tableColumn id="4" xr3:uid="{C6EA14C0-FD6E-4DD8-B045-742BBBA91A0E}" name="fecha" dataDxfId="34" totalsRowDxfId="33"/>
    <tableColumn id="5" xr3:uid="{5A7E1970-864C-45D6-9B76-624088825F47}" name="modulo"/>
    <tableColumn id="6" xr3:uid="{91E7950E-7AA2-4757-B200-C7DD30A3B0DC}" name="cbte"/>
    <tableColumn id="7" xr3:uid="{8CA398CF-DD8E-42EF-B71B-55AD4EB57A7D}" name="numero"/>
    <tableColumn id="8" xr3:uid="{CE7CE2F1-7E05-4ED9-B77B-5D2EA586882E}" name="cantidad"/>
    <tableColumn id="9" xr3:uid="{48C1969E-2E1A-4E67-9F2F-BD3B8A1263C5}" name="razon"/>
    <tableColumn id="10" xr3:uid="{412C35F4-93DF-418E-8802-E3756B648652}" name="Valor vendido en dolares" dataDxfId="32" totalsRowDxfId="31"/>
    <tableColumn id="17" xr3:uid="{A5EE3F70-EC90-4C26-848C-2A6CF066ACAB}" name="Precio de Lista" dataDxfId="30" totalsRowDxfId="29">
      <calculatedColumnFormula>VLOOKUP(VALUE(A2),Tabla13[#All],9,0)</calculatedColumnFormula>
    </tableColumn>
    <tableColumn id="14" xr3:uid="{67AFC06A-3993-4CEE-9B9A-AD13EDAAB39C}" name="Margen Gancia" totalsRowFunction="custom" dataDxfId="28" totalsRowDxfId="27">
      <calculatedColumnFormula>Tabla1[[#This Row],[Valor vendido en dolares]]-Tabla1[[#This Row],[Precio de Lista]]</calculatedColumnFormula>
      <totalsRowFormula>SUM(Tabla1[Margen Gancia])</totalsRow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119AC9-347B-4FE9-897F-3989BCAEC6D4}" name="Tabla13" displayName="Tabla13" ref="A1:L557" totalsRowCount="1" headerRowDxfId="26">
  <autoFilter ref="A1:L556" xr:uid="{91813DCC-0B1E-4572-9496-1BE59C0F1143}"/>
  <sortState xmlns:xlrd2="http://schemas.microsoft.com/office/spreadsheetml/2017/richdata2" ref="A2:L556">
    <sortCondition ref="A1:A556"/>
  </sortState>
  <tableColumns count="12">
    <tableColumn id="1" xr3:uid="{9D771C50-E2CE-494B-BE1D-FD32A77E2A54}" name="CODIGO" dataDxfId="25" totalsRowDxfId="24"/>
    <tableColumn id="2" xr3:uid="{750BEDD1-A7CE-4352-909E-D58615B38FE8}" name="CATEGORIA" dataDxfId="23" totalsRowDxfId="22"/>
    <tableColumn id="3" xr3:uid="{39379D3F-BCB3-4672-8BB6-FB2F086D5242}" name="DESCRIPCION" dataDxfId="21" totalsRowDxfId="20"/>
    <tableColumn id="4" xr3:uid="{A8187DCA-4A7E-448C-8F33-B625D6B4D520}" name="DEPOSITO" dataDxfId="19" totalsRowDxfId="18"/>
    <tableColumn id="5" xr3:uid="{D19C11D9-2215-409E-9999-F9223C67015E}" name="Proveedor" totalsRowDxfId="17"/>
    <tableColumn id="6" xr3:uid="{280618E8-2E3D-4A9E-9BD7-A974A2DDA31C}" name="PRECIO USD" dataDxfId="16" totalsRowDxfId="15"/>
    <tableColumn id="7" xr3:uid="{70258327-98FA-4961-B07F-38E0CB14BC55}" name="PRECIO ARS" dataDxfId="14" totalsRowDxfId="13"/>
    <tableColumn id="8" xr3:uid="{118CDED4-BB2C-499F-A3FD-6701C6E0839E}" name="PRECIO EUR" totalsRowDxfId="12"/>
    <tableColumn id="9" xr3:uid="{EE3A04E6-7C03-4B81-BC30-197509CFBBB5}" name="Precio final en USD" dataDxfId="11" totalsRowDxfId="10">
      <calculatedColumnFormula>IF(AND(F2="",G2="",H2=""),"",IF(F2&lt;&gt;"",F2,IF(G2&lt;&gt;"",G2/$O$1,IF(H2&lt;&gt;"",H2*$O$2,"ver"))))</calculatedColumnFormula>
    </tableColumn>
    <tableColumn id="12" xr3:uid="{8D85154A-432D-4F82-8221-1D9E46213EA9}" name="Precio + valor FRQ" dataDxfId="9" totalsRowDxfId="8">
      <calculatedColumnFormula>Tabla13[[#This Row],[Precio final en USD]]*$P$4</calculatedColumnFormula>
    </tableColumn>
    <tableColumn id="10" xr3:uid="{60EA5C2D-4B43-420E-A319-0EC737AC27EC}" name="Comentario" totalsRowDxfId="7"/>
    <tableColumn id="11" xr3:uid="{901DF5C9-32B5-49AC-B785-863CEC95104B}" name="Columna1" totalsRowDxfId="6"/>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D32E-C0A4-AF4E-AFD9-B9F1ADF1E71A}">
  <dimension ref="B2:N59"/>
  <sheetViews>
    <sheetView tabSelected="1" workbookViewId="0">
      <selection activeCell="H53" sqref="H53"/>
    </sheetView>
  </sheetViews>
  <sheetFormatPr baseColWidth="10" defaultRowHeight="13" x14ac:dyDescent="0.15"/>
  <cols>
    <col min="1" max="1" width="7.33203125" customWidth="1"/>
    <col min="3" max="3" width="16.5" bestFit="1" customWidth="1"/>
    <col min="7" max="7" width="8.1640625" customWidth="1"/>
    <col min="8" max="8" width="58.33203125" bestFit="1" customWidth="1"/>
    <col min="12" max="12" width="37.33203125" bestFit="1" customWidth="1"/>
    <col min="13" max="13" width="13.1640625" bestFit="1" customWidth="1"/>
  </cols>
  <sheetData>
    <row r="2" spans="2:14" ht="19" x14ac:dyDescent="0.25">
      <c r="B2" s="51" t="s">
        <v>989</v>
      </c>
      <c r="H2" s="51" t="s">
        <v>990</v>
      </c>
      <c r="L2" s="51" t="s">
        <v>991</v>
      </c>
    </row>
    <row r="4" spans="2:14" ht="15" x14ac:dyDescent="0.2">
      <c r="B4" s="52" t="s">
        <v>992</v>
      </c>
      <c r="C4" s="52" t="s">
        <v>657</v>
      </c>
      <c r="D4" s="52" t="s">
        <v>993</v>
      </c>
      <c r="E4" s="52" t="s">
        <v>994</v>
      </c>
      <c r="F4" s="52" t="s">
        <v>660</v>
      </c>
      <c r="H4" s="52" t="s">
        <v>654</v>
      </c>
      <c r="I4" s="52" t="s">
        <v>995</v>
      </c>
      <c r="J4" s="52" t="s">
        <v>994</v>
      </c>
      <c r="L4" s="52" t="s">
        <v>996</v>
      </c>
      <c r="M4" s="52" t="s">
        <v>997</v>
      </c>
    </row>
    <row r="5" spans="2:14" x14ac:dyDescent="0.15">
      <c r="B5" s="53" t="s">
        <v>790</v>
      </c>
      <c r="C5" s="53" t="s">
        <v>791</v>
      </c>
      <c r="D5" s="53">
        <v>12</v>
      </c>
      <c r="E5" s="53">
        <v>33</v>
      </c>
      <c r="F5">
        <v>825</v>
      </c>
      <c r="H5" s="53" t="s">
        <v>662</v>
      </c>
      <c r="I5" s="53">
        <v>44</v>
      </c>
      <c r="J5" s="53">
        <v>147</v>
      </c>
      <c r="L5" s="54" t="s">
        <v>998</v>
      </c>
      <c r="M5" s="54">
        <v>192</v>
      </c>
      <c r="N5" s="70"/>
    </row>
    <row r="6" spans="2:14" x14ac:dyDescent="0.15">
      <c r="B6" s="53" t="s">
        <v>705</v>
      </c>
      <c r="C6" s="53" t="s">
        <v>706</v>
      </c>
      <c r="D6" s="53">
        <v>9</v>
      </c>
      <c r="E6" s="53">
        <v>20</v>
      </c>
      <c r="F6">
        <v>500</v>
      </c>
      <c r="H6" s="53" t="s">
        <v>700</v>
      </c>
      <c r="I6" s="53">
        <v>23</v>
      </c>
      <c r="J6" s="53">
        <v>43</v>
      </c>
      <c r="L6" s="54" t="s">
        <v>999</v>
      </c>
      <c r="M6" s="54">
        <f>ENERO!H194</f>
        <v>544</v>
      </c>
      <c r="N6" s="70"/>
    </row>
    <row r="7" spans="2:14" x14ac:dyDescent="0.15">
      <c r="B7" s="53" t="s">
        <v>691</v>
      </c>
      <c r="C7" s="53" t="s">
        <v>692</v>
      </c>
      <c r="D7" s="53">
        <v>8</v>
      </c>
      <c r="E7" s="53">
        <v>22</v>
      </c>
      <c r="F7">
        <v>550</v>
      </c>
      <c r="H7" s="53" t="s">
        <v>674</v>
      </c>
      <c r="I7" s="53">
        <v>18</v>
      </c>
      <c r="J7" s="53">
        <v>36</v>
      </c>
      <c r="L7" s="54" t="s">
        <v>1000</v>
      </c>
      <c r="M7" s="54">
        <f>ENERO!I194</f>
        <v>13600</v>
      </c>
      <c r="N7" s="70">
        <v>13600</v>
      </c>
    </row>
    <row r="8" spans="2:14" x14ac:dyDescent="0.15">
      <c r="B8" s="53" t="s">
        <v>880</v>
      </c>
      <c r="C8" s="53" t="s">
        <v>881</v>
      </c>
      <c r="D8" s="53">
        <v>8</v>
      </c>
      <c r="E8" s="53">
        <v>27</v>
      </c>
      <c r="F8">
        <v>675</v>
      </c>
      <c r="H8" s="53" t="s">
        <v>671</v>
      </c>
      <c r="I8" s="53">
        <v>15</v>
      </c>
      <c r="J8" s="53">
        <v>38</v>
      </c>
      <c r="L8" s="54" t="s">
        <v>1001</v>
      </c>
      <c r="M8" s="54">
        <v>54</v>
      </c>
      <c r="N8" s="70"/>
    </row>
    <row r="9" spans="2:14" x14ac:dyDescent="0.15">
      <c r="B9" s="53" t="s">
        <v>898</v>
      </c>
      <c r="C9" s="53" t="s">
        <v>899</v>
      </c>
      <c r="D9" s="53">
        <v>8</v>
      </c>
      <c r="E9" s="53">
        <v>23</v>
      </c>
      <c r="F9">
        <v>575</v>
      </c>
      <c r="H9" s="53" t="s">
        <v>698</v>
      </c>
      <c r="I9" s="53">
        <v>11</v>
      </c>
      <c r="J9" s="53">
        <v>26</v>
      </c>
      <c r="L9" s="54"/>
      <c r="M9" s="54"/>
      <c r="N9" s="70"/>
    </row>
    <row r="10" spans="2:14" x14ac:dyDescent="0.15">
      <c r="B10" s="53" t="s">
        <v>677</v>
      </c>
      <c r="C10" s="53" t="s">
        <v>678</v>
      </c>
      <c r="D10" s="53">
        <v>7</v>
      </c>
      <c r="E10" s="53">
        <v>14</v>
      </c>
      <c r="F10">
        <v>350</v>
      </c>
      <c r="H10" s="53" t="s">
        <v>684</v>
      </c>
      <c r="I10" s="53">
        <v>8</v>
      </c>
      <c r="J10" s="53">
        <v>22</v>
      </c>
      <c r="L10" s="54" t="s">
        <v>1002</v>
      </c>
      <c r="M10" s="69">
        <f>Tabla1[[#Totals],[Margen Gancia]]</f>
        <v>4796.9011525423712</v>
      </c>
      <c r="N10" s="70">
        <v>4796.8999999999996</v>
      </c>
    </row>
    <row r="11" spans="2:14" x14ac:dyDescent="0.15">
      <c r="B11" s="53" t="s">
        <v>664</v>
      </c>
      <c r="C11" s="53" t="s">
        <v>665</v>
      </c>
      <c r="D11" s="53">
        <v>6</v>
      </c>
      <c r="E11" s="53">
        <v>13</v>
      </c>
      <c r="F11">
        <v>325</v>
      </c>
      <c r="H11" s="53" t="s">
        <v>727</v>
      </c>
      <c r="I11" s="53">
        <v>6</v>
      </c>
      <c r="J11" s="53">
        <v>13</v>
      </c>
      <c r="N11" s="70"/>
    </row>
    <row r="12" spans="2:14" x14ac:dyDescent="0.15">
      <c r="B12" s="53" t="s">
        <v>944</v>
      </c>
      <c r="C12" s="53" t="s">
        <v>945</v>
      </c>
      <c r="D12" s="53">
        <v>6</v>
      </c>
      <c r="E12" s="53">
        <v>14</v>
      </c>
      <c r="F12">
        <v>350</v>
      </c>
      <c r="H12" s="53" t="s">
        <v>719</v>
      </c>
      <c r="I12" s="53">
        <v>6</v>
      </c>
      <c r="J12" s="53">
        <v>13</v>
      </c>
      <c r="L12" s="71" t="s">
        <v>1682</v>
      </c>
      <c r="M12">
        <f>N7+N10</f>
        <v>18396.900000000001</v>
      </c>
    </row>
    <row r="13" spans="2:14" x14ac:dyDescent="0.15">
      <c r="B13" s="53" t="s">
        <v>927</v>
      </c>
      <c r="C13" s="53" t="s">
        <v>928</v>
      </c>
      <c r="D13" s="53">
        <v>6</v>
      </c>
      <c r="E13" s="53">
        <v>27</v>
      </c>
      <c r="F13">
        <v>675</v>
      </c>
      <c r="H13" s="53" t="s">
        <v>768</v>
      </c>
      <c r="I13" s="53">
        <v>6</v>
      </c>
      <c r="J13" s="53">
        <v>13</v>
      </c>
    </row>
    <row r="14" spans="2:14" x14ac:dyDescent="0.15">
      <c r="B14" s="53" t="s">
        <v>817</v>
      </c>
      <c r="C14" s="53" t="s">
        <v>818</v>
      </c>
      <c r="D14" s="53">
        <v>6</v>
      </c>
      <c r="E14" s="53">
        <v>20</v>
      </c>
      <c r="F14">
        <v>500</v>
      </c>
      <c r="H14" s="53" t="s">
        <v>669</v>
      </c>
      <c r="I14" s="53">
        <v>3</v>
      </c>
      <c r="J14" s="53">
        <v>5</v>
      </c>
    </row>
    <row r="15" spans="2:14" x14ac:dyDescent="0.15">
      <c r="B15" s="53" t="s">
        <v>758</v>
      </c>
      <c r="C15" s="53" t="s">
        <v>759</v>
      </c>
      <c r="D15" s="53">
        <v>5</v>
      </c>
      <c r="E15" s="53">
        <v>12</v>
      </c>
      <c r="F15">
        <v>300</v>
      </c>
      <c r="H15" s="53" t="s">
        <v>721</v>
      </c>
      <c r="I15" s="53">
        <v>3</v>
      </c>
      <c r="J15" s="53">
        <v>8</v>
      </c>
    </row>
    <row r="16" spans="2:14" x14ac:dyDescent="0.15">
      <c r="B16" s="53" t="s">
        <v>936</v>
      </c>
      <c r="C16" s="53" t="s">
        <v>937</v>
      </c>
      <c r="D16" s="53">
        <v>5</v>
      </c>
      <c r="E16" s="53">
        <v>8</v>
      </c>
      <c r="F16">
        <v>200</v>
      </c>
      <c r="H16" s="53" t="s">
        <v>806</v>
      </c>
      <c r="I16" s="53">
        <v>3</v>
      </c>
      <c r="J16" s="53">
        <v>9</v>
      </c>
    </row>
    <row r="17" spans="2:10" x14ac:dyDescent="0.15">
      <c r="B17" s="53" t="s">
        <v>832</v>
      </c>
      <c r="C17" s="53" t="s">
        <v>833</v>
      </c>
      <c r="D17" s="53">
        <v>5</v>
      </c>
      <c r="E17" s="53">
        <v>18</v>
      </c>
      <c r="F17">
        <v>450</v>
      </c>
      <c r="H17" s="53" t="s">
        <v>884</v>
      </c>
      <c r="I17" s="53">
        <v>3</v>
      </c>
      <c r="J17" s="53">
        <v>8</v>
      </c>
    </row>
    <row r="18" spans="2:10" x14ac:dyDescent="0.15">
      <c r="B18" s="53" t="s">
        <v>869</v>
      </c>
      <c r="C18" s="53" t="s">
        <v>870</v>
      </c>
      <c r="D18" s="53">
        <v>5</v>
      </c>
      <c r="E18" s="53">
        <v>11</v>
      </c>
      <c r="F18">
        <v>275</v>
      </c>
      <c r="H18" s="53" t="s">
        <v>820</v>
      </c>
      <c r="I18" s="53">
        <v>2</v>
      </c>
      <c r="J18" s="53">
        <v>6</v>
      </c>
    </row>
    <row r="19" spans="2:10" x14ac:dyDescent="0.15">
      <c r="B19" s="53" t="s">
        <v>856</v>
      </c>
      <c r="C19" s="53" t="s">
        <v>857</v>
      </c>
      <c r="D19" s="53">
        <v>5</v>
      </c>
      <c r="E19" s="53">
        <v>11</v>
      </c>
      <c r="F19">
        <v>275</v>
      </c>
      <c r="H19" s="53" t="s">
        <v>794</v>
      </c>
      <c r="I19" s="53">
        <v>2</v>
      </c>
      <c r="J19" s="53">
        <v>7</v>
      </c>
    </row>
    <row r="20" spans="2:10" x14ac:dyDescent="0.15">
      <c r="B20" s="53" t="s">
        <v>716</v>
      </c>
      <c r="C20" s="53" t="s">
        <v>717</v>
      </c>
      <c r="D20" s="53">
        <v>4</v>
      </c>
      <c r="E20" s="53">
        <v>6</v>
      </c>
      <c r="F20">
        <v>150</v>
      </c>
      <c r="H20" s="53" t="s">
        <v>694</v>
      </c>
      <c r="I20" s="53">
        <v>2</v>
      </c>
      <c r="J20" s="53">
        <v>5</v>
      </c>
    </row>
    <row r="21" spans="2:10" x14ac:dyDescent="0.15">
      <c r="B21" s="53" t="s">
        <v>847</v>
      </c>
      <c r="C21" s="53" t="s">
        <v>848</v>
      </c>
      <c r="D21" s="53">
        <v>4</v>
      </c>
      <c r="E21" s="53">
        <v>23</v>
      </c>
      <c r="F21">
        <v>575</v>
      </c>
      <c r="H21" s="53" t="s">
        <v>687</v>
      </c>
      <c r="I21" s="53">
        <v>2</v>
      </c>
      <c r="J21" s="53">
        <v>0</v>
      </c>
    </row>
    <row r="22" spans="2:10" x14ac:dyDescent="0.15">
      <c r="B22" s="53" t="s">
        <v>826</v>
      </c>
      <c r="C22" s="53" t="s">
        <v>827</v>
      </c>
      <c r="D22" s="53">
        <v>4</v>
      </c>
      <c r="E22" s="53">
        <v>2</v>
      </c>
      <c r="F22">
        <v>50</v>
      </c>
      <c r="H22" s="53" t="s">
        <v>745</v>
      </c>
      <c r="I22" s="53">
        <v>2</v>
      </c>
      <c r="J22" s="53">
        <v>3</v>
      </c>
    </row>
    <row r="23" spans="2:10" x14ac:dyDescent="0.15">
      <c r="B23" s="53" t="s">
        <v>783</v>
      </c>
      <c r="C23" s="53" t="s">
        <v>784</v>
      </c>
      <c r="D23" s="53">
        <v>4</v>
      </c>
      <c r="E23" s="53">
        <v>13</v>
      </c>
      <c r="F23">
        <v>325</v>
      </c>
      <c r="H23" s="53" t="s">
        <v>906</v>
      </c>
      <c r="I23" s="53">
        <v>2</v>
      </c>
      <c r="J23" s="53">
        <v>7</v>
      </c>
    </row>
    <row r="24" spans="2:10" x14ac:dyDescent="0.15">
      <c r="B24" s="53" t="s">
        <v>952</v>
      </c>
      <c r="C24" s="53" t="s">
        <v>953</v>
      </c>
      <c r="D24" s="53">
        <v>3</v>
      </c>
      <c r="E24" s="53">
        <v>8</v>
      </c>
      <c r="F24">
        <v>200</v>
      </c>
      <c r="H24" s="53" t="s">
        <v>940</v>
      </c>
      <c r="I24" s="53">
        <v>2</v>
      </c>
      <c r="J24" s="53">
        <v>3</v>
      </c>
    </row>
    <row r="25" spans="2:10" x14ac:dyDescent="0.15">
      <c r="B25" s="53" t="s">
        <v>982</v>
      </c>
      <c r="C25" s="53" t="s">
        <v>983</v>
      </c>
      <c r="D25" s="53">
        <v>3</v>
      </c>
      <c r="E25" s="53">
        <v>0</v>
      </c>
      <c r="F25">
        <v>0</v>
      </c>
      <c r="H25" s="53" t="s">
        <v>738</v>
      </c>
      <c r="I25" s="53">
        <v>2</v>
      </c>
      <c r="J25" s="53">
        <v>10</v>
      </c>
    </row>
    <row r="26" spans="2:10" x14ac:dyDescent="0.15">
      <c r="B26" s="53" t="s">
        <v>842</v>
      </c>
      <c r="C26" s="53" t="s">
        <v>843</v>
      </c>
      <c r="D26" s="53">
        <v>3</v>
      </c>
      <c r="E26" s="53">
        <v>6</v>
      </c>
      <c r="F26">
        <v>150</v>
      </c>
      <c r="H26" s="53" t="s">
        <v>841</v>
      </c>
      <c r="I26" s="53">
        <v>2</v>
      </c>
      <c r="J26" s="53">
        <v>3</v>
      </c>
    </row>
    <row r="27" spans="2:10" x14ac:dyDescent="0.15">
      <c r="B27" s="53" t="s">
        <v>765</v>
      </c>
      <c r="C27" s="53" t="s">
        <v>766</v>
      </c>
      <c r="D27" s="53">
        <v>3</v>
      </c>
      <c r="E27" s="53">
        <v>7</v>
      </c>
      <c r="F27">
        <v>175</v>
      </c>
      <c r="H27" s="53" t="s">
        <v>901</v>
      </c>
      <c r="I27" s="53">
        <v>2</v>
      </c>
      <c r="J27" s="53">
        <v>2</v>
      </c>
    </row>
    <row r="28" spans="2:10" x14ac:dyDescent="0.15">
      <c r="B28" s="53" t="s">
        <v>863</v>
      </c>
      <c r="C28" s="53" t="s">
        <v>864</v>
      </c>
      <c r="D28" s="53">
        <v>3</v>
      </c>
      <c r="E28" s="53">
        <v>6</v>
      </c>
      <c r="F28">
        <v>150</v>
      </c>
      <c r="H28" s="53" t="s">
        <v>689</v>
      </c>
      <c r="I28" s="53">
        <v>1</v>
      </c>
      <c r="J28" s="53">
        <v>0</v>
      </c>
    </row>
    <row r="29" spans="2:10" x14ac:dyDescent="0.15">
      <c r="B29" s="53" t="s">
        <v>910</v>
      </c>
      <c r="C29" s="53" t="s">
        <v>911</v>
      </c>
      <c r="D29" s="53">
        <v>2</v>
      </c>
      <c r="E29" s="53">
        <v>4</v>
      </c>
      <c r="F29">
        <v>100</v>
      </c>
      <c r="H29" s="53" t="s">
        <v>896</v>
      </c>
      <c r="I29" s="53">
        <v>1</v>
      </c>
      <c r="J29" s="53">
        <v>0</v>
      </c>
    </row>
    <row r="30" spans="2:10" x14ac:dyDescent="0.15">
      <c r="B30" s="53" t="s">
        <v>970</v>
      </c>
      <c r="C30" s="53" t="s">
        <v>971</v>
      </c>
      <c r="D30" s="53">
        <v>2</v>
      </c>
      <c r="E30" s="53">
        <v>7</v>
      </c>
      <c r="F30">
        <v>175</v>
      </c>
      <c r="H30" s="53" t="s">
        <v>867</v>
      </c>
      <c r="I30" s="53">
        <v>1</v>
      </c>
      <c r="J30" s="53">
        <v>3</v>
      </c>
    </row>
    <row r="31" spans="2:10" x14ac:dyDescent="0.15">
      <c r="B31" s="53" t="s">
        <v>730</v>
      </c>
      <c r="C31" s="53" t="s">
        <v>731</v>
      </c>
      <c r="D31" s="53">
        <v>2</v>
      </c>
      <c r="E31" s="53">
        <v>10</v>
      </c>
      <c r="F31">
        <v>250</v>
      </c>
    </row>
    <row r="32" spans="2:10" x14ac:dyDescent="0.15">
      <c r="B32" s="53" t="s">
        <v>740</v>
      </c>
      <c r="C32" s="53" t="s">
        <v>741</v>
      </c>
      <c r="D32" s="53">
        <v>2</v>
      </c>
      <c r="E32" s="53">
        <v>10</v>
      </c>
      <c r="F32">
        <v>250</v>
      </c>
    </row>
    <row r="33" spans="2:6" x14ac:dyDescent="0.15">
      <c r="B33" s="53" t="s">
        <v>724</v>
      </c>
      <c r="C33" s="53" t="s">
        <v>725</v>
      </c>
      <c r="D33" s="53">
        <v>2</v>
      </c>
      <c r="E33" s="53">
        <v>9</v>
      </c>
      <c r="F33">
        <v>225</v>
      </c>
    </row>
    <row r="34" spans="2:6" x14ac:dyDescent="0.15">
      <c r="B34" s="53" t="s">
        <v>776</v>
      </c>
      <c r="C34" s="53" t="s">
        <v>777</v>
      </c>
      <c r="D34" s="53">
        <v>2</v>
      </c>
      <c r="E34" s="53">
        <v>9</v>
      </c>
      <c r="F34">
        <v>225</v>
      </c>
    </row>
    <row r="35" spans="2:6" x14ac:dyDescent="0.15">
      <c r="B35" s="53" t="s">
        <v>735</v>
      </c>
      <c r="C35" s="53" t="s">
        <v>736</v>
      </c>
      <c r="D35" s="53">
        <v>2</v>
      </c>
      <c r="E35" s="53">
        <v>7</v>
      </c>
      <c r="F35">
        <v>175</v>
      </c>
    </row>
    <row r="36" spans="2:6" x14ac:dyDescent="0.15">
      <c r="B36" s="53" t="s">
        <v>914</v>
      </c>
      <c r="C36" s="53" t="s">
        <v>915</v>
      </c>
      <c r="D36" s="53">
        <v>2</v>
      </c>
      <c r="E36" s="53">
        <v>0</v>
      </c>
      <c r="F36">
        <v>0</v>
      </c>
    </row>
    <row r="37" spans="2:6" x14ac:dyDescent="0.15">
      <c r="B37" s="53" t="s">
        <v>978</v>
      </c>
      <c r="C37" s="53" t="s">
        <v>979</v>
      </c>
      <c r="D37" s="53">
        <v>2</v>
      </c>
      <c r="E37" s="53">
        <v>8</v>
      </c>
      <c r="F37">
        <v>200</v>
      </c>
    </row>
    <row r="38" spans="2:6" x14ac:dyDescent="0.15">
      <c r="B38" s="53" t="s">
        <v>957</v>
      </c>
      <c r="C38" s="53" t="s">
        <v>958</v>
      </c>
      <c r="D38" s="53">
        <v>2</v>
      </c>
      <c r="E38" s="53">
        <v>7</v>
      </c>
      <c r="F38">
        <v>175</v>
      </c>
    </row>
    <row r="39" spans="2:6" x14ac:dyDescent="0.15">
      <c r="B39" s="53" t="s">
        <v>813</v>
      </c>
      <c r="C39" s="53" t="s">
        <v>814</v>
      </c>
      <c r="D39" s="53">
        <v>2</v>
      </c>
      <c r="E39" s="53">
        <v>11</v>
      </c>
      <c r="F39">
        <v>275</v>
      </c>
    </row>
    <row r="40" spans="2:6" x14ac:dyDescent="0.15">
      <c r="B40" s="53" t="s">
        <v>771</v>
      </c>
      <c r="C40" s="53" t="s">
        <v>772</v>
      </c>
      <c r="D40" s="53">
        <v>2</v>
      </c>
      <c r="E40" s="53">
        <v>1</v>
      </c>
      <c r="F40">
        <v>25</v>
      </c>
    </row>
    <row r="41" spans="2:6" x14ac:dyDescent="0.15">
      <c r="B41" s="53" t="s">
        <v>780</v>
      </c>
      <c r="C41" s="53" t="s">
        <v>781</v>
      </c>
      <c r="D41" s="53">
        <v>1</v>
      </c>
      <c r="E41" s="53">
        <v>6</v>
      </c>
      <c r="F41">
        <v>150</v>
      </c>
    </row>
    <row r="42" spans="2:6" x14ac:dyDescent="0.15">
      <c r="B42" s="53" t="s">
        <v>749</v>
      </c>
      <c r="C42" s="53" t="s">
        <v>750</v>
      </c>
      <c r="D42" s="53">
        <v>1</v>
      </c>
      <c r="E42" s="53">
        <v>3</v>
      </c>
      <c r="F42">
        <v>75</v>
      </c>
    </row>
    <row r="43" spans="2:6" x14ac:dyDescent="0.15">
      <c r="B43" s="53" t="s">
        <v>755</v>
      </c>
      <c r="C43" s="53" t="s">
        <v>756</v>
      </c>
      <c r="D43" s="53">
        <v>1</v>
      </c>
      <c r="E43" s="53">
        <v>6</v>
      </c>
      <c r="F43">
        <v>150</v>
      </c>
    </row>
    <row r="44" spans="2:6" x14ac:dyDescent="0.15">
      <c r="B44" s="53" t="s">
        <v>746</v>
      </c>
      <c r="C44" s="53" t="s">
        <v>747</v>
      </c>
      <c r="D44" s="53">
        <v>1</v>
      </c>
      <c r="E44" s="53">
        <v>3</v>
      </c>
      <c r="F44">
        <v>75</v>
      </c>
    </row>
    <row r="45" spans="2:6" x14ac:dyDescent="0.15">
      <c r="B45" s="53" t="s">
        <v>752</v>
      </c>
      <c r="C45" s="53" t="s">
        <v>753</v>
      </c>
      <c r="D45" s="53">
        <v>1</v>
      </c>
      <c r="E45" s="53">
        <v>4</v>
      </c>
      <c r="F45">
        <v>100</v>
      </c>
    </row>
    <row r="46" spans="2:6" x14ac:dyDescent="0.15">
      <c r="B46" s="53" t="s">
        <v>810</v>
      </c>
      <c r="C46" s="53" t="s">
        <v>811</v>
      </c>
      <c r="D46" s="53">
        <v>1</v>
      </c>
      <c r="E46" s="53">
        <v>4</v>
      </c>
      <c r="F46">
        <v>100</v>
      </c>
    </row>
    <row r="47" spans="2:6" x14ac:dyDescent="0.15">
      <c r="B47" s="53" t="s">
        <v>807</v>
      </c>
      <c r="C47" s="53" t="s">
        <v>808</v>
      </c>
      <c r="D47" s="53">
        <v>1</v>
      </c>
      <c r="E47" s="53">
        <v>4</v>
      </c>
      <c r="F47">
        <v>100</v>
      </c>
    </row>
    <row r="48" spans="2:6" x14ac:dyDescent="0.15">
      <c r="B48" s="53" t="s">
        <v>893</v>
      </c>
      <c r="C48" s="53" t="s">
        <v>894</v>
      </c>
      <c r="D48" s="53">
        <v>1</v>
      </c>
      <c r="E48" s="53">
        <v>8</v>
      </c>
      <c r="F48">
        <v>200</v>
      </c>
    </row>
    <row r="49" spans="2:6" x14ac:dyDescent="0.15">
      <c r="B49" s="53" t="s">
        <v>877</v>
      </c>
      <c r="C49" s="53" t="s">
        <v>878</v>
      </c>
      <c r="D49" s="53">
        <v>1</v>
      </c>
      <c r="E49" s="53">
        <v>2</v>
      </c>
      <c r="F49">
        <v>50</v>
      </c>
    </row>
    <row r="50" spans="2:6" x14ac:dyDescent="0.15">
      <c r="B50" s="53" t="s">
        <v>964</v>
      </c>
      <c r="C50" s="53" t="s">
        <v>965</v>
      </c>
      <c r="D50" s="53">
        <v>1</v>
      </c>
      <c r="E50" s="53">
        <v>4</v>
      </c>
      <c r="F50">
        <v>100</v>
      </c>
    </row>
    <row r="51" spans="2:6" x14ac:dyDescent="0.15">
      <c r="B51" s="53" t="s">
        <v>967</v>
      </c>
      <c r="C51" s="53" t="s">
        <v>968</v>
      </c>
      <c r="D51" s="53">
        <v>1</v>
      </c>
      <c r="E51" s="53">
        <v>3</v>
      </c>
      <c r="F51">
        <v>75</v>
      </c>
    </row>
    <row r="52" spans="2:6" x14ac:dyDescent="0.15">
      <c r="B52" s="53" t="s">
        <v>918</v>
      </c>
      <c r="C52" s="53" t="s">
        <v>919</v>
      </c>
      <c r="D52" s="53">
        <v>1</v>
      </c>
      <c r="E52" s="53">
        <v>0</v>
      </c>
      <c r="F52">
        <v>0</v>
      </c>
    </row>
    <row r="53" spans="2:6" x14ac:dyDescent="0.15">
      <c r="B53" s="53" t="s">
        <v>924</v>
      </c>
      <c r="C53" s="53" t="s">
        <v>925</v>
      </c>
      <c r="D53" s="53">
        <v>1</v>
      </c>
      <c r="E53" s="53">
        <v>0</v>
      </c>
      <c r="F53">
        <v>0</v>
      </c>
    </row>
    <row r="54" spans="2:6" x14ac:dyDescent="0.15">
      <c r="B54" s="53" t="s">
        <v>921</v>
      </c>
      <c r="C54" s="53" t="s">
        <v>922</v>
      </c>
      <c r="D54" s="53">
        <v>1</v>
      </c>
      <c r="E54" s="53">
        <v>0</v>
      </c>
      <c r="F54">
        <v>0</v>
      </c>
    </row>
    <row r="55" spans="2:6" x14ac:dyDescent="0.15">
      <c r="B55" s="53" t="s">
        <v>961</v>
      </c>
      <c r="C55" s="53" t="s">
        <v>962</v>
      </c>
      <c r="D55" s="53">
        <v>1</v>
      </c>
      <c r="E55" s="53">
        <v>3</v>
      </c>
      <c r="F55">
        <v>75</v>
      </c>
    </row>
    <row r="56" spans="2:6" x14ac:dyDescent="0.15">
      <c r="B56" s="53" t="s">
        <v>974</v>
      </c>
      <c r="C56" s="53" t="s">
        <v>975</v>
      </c>
      <c r="D56" s="53">
        <v>1</v>
      </c>
      <c r="E56" s="53">
        <v>7</v>
      </c>
      <c r="F56">
        <v>175</v>
      </c>
    </row>
    <row r="57" spans="2:6" x14ac:dyDescent="0.15">
      <c r="C57" s="55" t="s">
        <v>988</v>
      </c>
      <c r="D57" s="72"/>
      <c r="E57" s="55">
        <v>40</v>
      </c>
      <c r="F57">
        <v>1000</v>
      </c>
    </row>
    <row r="58" spans="2:6" x14ac:dyDescent="0.15">
      <c r="C58" s="55" t="s">
        <v>731</v>
      </c>
      <c r="D58" s="72"/>
      <c r="E58" s="55">
        <v>20</v>
      </c>
      <c r="F58">
        <v>500</v>
      </c>
    </row>
    <row r="59" spans="2:6" x14ac:dyDescent="0.15">
      <c r="E59">
        <f>SUM(E5:E58)</f>
        <v>544</v>
      </c>
      <c r="F59">
        <f>SUM(F5:F58)</f>
        <v>13600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43868-3D4A-5647-B675-886E63887072}">
  <dimension ref="A1:I194"/>
  <sheetViews>
    <sheetView workbookViewId="0">
      <selection activeCell="K33" sqref="K33"/>
    </sheetView>
  </sheetViews>
  <sheetFormatPr baseColWidth="10" defaultRowHeight="13" x14ac:dyDescent="0.15"/>
  <cols>
    <col min="1" max="1" width="12.5" bestFit="1" customWidth="1"/>
    <col min="2" max="2" width="23.5" bestFit="1" customWidth="1"/>
    <col min="3" max="3" width="58.33203125" bestFit="1" customWidth="1"/>
    <col min="4" max="4" width="8.33203125" bestFit="1" customWidth="1"/>
    <col min="5" max="5" width="13.6640625" bestFit="1" customWidth="1"/>
    <col min="6" max="6" width="16.5" bestFit="1" customWidth="1"/>
    <col min="7" max="7" width="17.6640625" bestFit="1" customWidth="1"/>
    <col min="8" max="8" width="6.5" bestFit="1" customWidth="1"/>
    <col min="9" max="9" width="10.1640625" bestFit="1" customWidth="1"/>
  </cols>
  <sheetData>
    <row r="1" spans="1:9" ht="15" x14ac:dyDescent="0.15">
      <c r="A1" s="44" t="s">
        <v>652</v>
      </c>
      <c r="B1" s="44" t="s">
        <v>653</v>
      </c>
      <c r="C1" s="44" t="s">
        <v>654</v>
      </c>
      <c r="D1" s="44" t="s">
        <v>655</v>
      </c>
      <c r="E1" s="44" t="s">
        <v>656</v>
      </c>
      <c r="F1" s="44" t="s">
        <v>657</v>
      </c>
      <c r="G1" s="44" t="s">
        <v>658</v>
      </c>
      <c r="H1" s="44" t="s">
        <v>659</v>
      </c>
      <c r="I1" s="44" t="s">
        <v>660</v>
      </c>
    </row>
    <row r="2" spans="1:9" x14ac:dyDescent="0.15">
      <c r="A2" s="45">
        <v>107125</v>
      </c>
      <c r="B2" s="45" t="s">
        <v>661</v>
      </c>
      <c r="C2" s="45" t="s">
        <v>662</v>
      </c>
      <c r="D2" s="45" t="s">
        <v>663</v>
      </c>
      <c r="E2" s="45" t="s">
        <v>664</v>
      </c>
      <c r="F2" s="45" t="s">
        <v>665</v>
      </c>
      <c r="G2" s="45" t="s">
        <v>666</v>
      </c>
      <c r="H2" s="45">
        <v>3</v>
      </c>
      <c r="I2" s="46">
        <f t="shared" ref="I2:I65" si="0">H2*25</f>
        <v>75</v>
      </c>
    </row>
    <row r="3" spans="1:9" x14ac:dyDescent="0.15">
      <c r="A3" s="45">
        <v>107225</v>
      </c>
      <c r="B3" s="45" t="s">
        <v>661</v>
      </c>
      <c r="C3" s="45" t="s">
        <v>662</v>
      </c>
      <c r="D3" s="45" t="s">
        <v>663</v>
      </c>
      <c r="E3" s="45" t="s">
        <v>664</v>
      </c>
      <c r="F3" s="45" t="s">
        <v>665</v>
      </c>
      <c r="G3" s="45" t="s">
        <v>667</v>
      </c>
      <c r="H3" s="45">
        <v>3</v>
      </c>
      <c r="I3" s="46">
        <f t="shared" si="0"/>
        <v>75</v>
      </c>
    </row>
    <row r="4" spans="1:9" x14ac:dyDescent="0.15">
      <c r="A4" s="45">
        <v>109263</v>
      </c>
      <c r="B4" s="45" t="s">
        <v>661</v>
      </c>
      <c r="C4" s="45" t="s">
        <v>662</v>
      </c>
      <c r="D4" s="45" t="s">
        <v>663</v>
      </c>
      <c r="E4" s="45" t="s">
        <v>664</v>
      </c>
      <c r="F4" s="45" t="s">
        <v>665</v>
      </c>
      <c r="G4" s="45" t="s">
        <v>668</v>
      </c>
      <c r="H4" s="45">
        <v>4</v>
      </c>
      <c r="I4" s="46">
        <f t="shared" si="0"/>
        <v>100</v>
      </c>
    </row>
    <row r="5" spans="1:9" x14ac:dyDescent="0.15">
      <c r="A5" s="45">
        <v>110062</v>
      </c>
      <c r="B5" s="45" t="s">
        <v>661</v>
      </c>
      <c r="C5" s="45" t="s">
        <v>669</v>
      </c>
      <c r="D5" s="45" t="s">
        <v>663</v>
      </c>
      <c r="E5" s="45" t="s">
        <v>664</v>
      </c>
      <c r="F5" s="45" t="s">
        <v>665</v>
      </c>
      <c r="G5" s="45" t="s">
        <v>670</v>
      </c>
      <c r="H5" s="45">
        <v>3</v>
      </c>
      <c r="I5" s="46">
        <f t="shared" si="0"/>
        <v>75</v>
      </c>
    </row>
    <row r="6" spans="1:9" x14ac:dyDescent="0.15">
      <c r="A6" s="45">
        <v>109601</v>
      </c>
      <c r="B6" s="45" t="s">
        <v>661</v>
      </c>
      <c r="C6" s="45" t="s">
        <v>671</v>
      </c>
      <c r="D6" s="45" t="s">
        <v>663</v>
      </c>
      <c r="E6" s="45" t="s">
        <v>664</v>
      </c>
      <c r="F6" s="45" t="s">
        <v>665</v>
      </c>
      <c r="G6" s="45" t="s">
        <v>672</v>
      </c>
      <c r="H6" s="45">
        <v>0</v>
      </c>
      <c r="I6" s="46">
        <f t="shared" si="0"/>
        <v>0</v>
      </c>
    </row>
    <row r="7" spans="1:9" x14ac:dyDescent="0.15">
      <c r="A7" s="45">
        <v>107778</v>
      </c>
      <c r="B7" s="45" t="s">
        <v>673</v>
      </c>
      <c r="C7" s="45" t="s">
        <v>674</v>
      </c>
      <c r="D7" s="45" t="s">
        <v>675</v>
      </c>
      <c r="E7" s="45" t="s">
        <v>664</v>
      </c>
      <c r="F7" s="45" t="s">
        <v>665</v>
      </c>
      <c r="G7" s="45" t="s">
        <v>676</v>
      </c>
      <c r="H7" s="45">
        <v>0</v>
      </c>
      <c r="I7" s="46">
        <f t="shared" si="0"/>
        <v>0</v>
      </c>
    </row>
    <row r="8" spans="1:9" x14ac:dyDescent="0.15">
      <c r="A8" s="45">
        <v>105519</v>
      </c>
      <c r="B8" s="45" t="s">
        <v>661</v>
      </c>
      <c r="C8" s="45" t="s">
        <v>662</v>
      </c>
      <c r="D8" s="45" t="s">
        <v>663</v>
      </c>
      <c r="E8" s="45" t="s">
        <v>677</v>
      </c>
      <c r="F8" s="45" t="s">
        <v>678</v>
      </c>
      <c r="G8" s="45" t="s">
        <v>679</v>
      </c>
      <c r="H8" s="45">
        <v>3</v>
      </c>
      <c r="I8" s="46">
        <f t="shared" si="0"/>
        <v>75</v>
      </c>
    </row>
    <row r="9" spans="1:9" x14ac:dyDescent="0.15">
      <c r="A9" s="45">
        <v>107262</v>
      </c>
      <c r="B9" s="45" t="s">
        <v>661</v>
      </c>
      <c r="C9" s="45" t="s">
        <v>662</v>
      </c>
      <c r="D9" s="45" t="s">
        <v>663</v>
      </c>
      <c r="E9" s="45" t="s">
        <v>677</v>
      </c>
      <c r="F9" s="45" t="s">
        <v>678</v>
      </c>
      <c r="G9" s="45" t="s">
        <v>680</v>
      </c>
      <c r="H9" s="45">
        <v>3</v>
      </c>
      <c r="I9" s="46">
        <f t="shared" si="0"/>
        <v>75</v>
      </c>
    </row>
    <row r="10" spans="1:9" x14ac:dyDescent="0.15">
      <c r="A10" s="45">
        <v>107277</v>
      </c>
      <c r="B10" s="45" t="s">
        <v>673</v>
      </c>
      <c r="C10" s="45" t="s">
        <v>674</v>
      </c>
      <c r="D10" s="45" t="s">
        <v>675</v>
      </c>
      <c r="E10" s="45" t="s">
        <v>677</v>
      </c>
      <c r="F10" s="45" t="s">
        <v>678</v>
      </c>
      <c r="G10" s="45" t="s">
        <v>681</v>
      </c>
      <c r="H10" s="45">
        <v>2</v>
      </c>
      <c r="I10" s="46">
        <f t="shared" si="0"/>
        <v>50</v>
      </c>
    </row>
    <row r="11" spans="1:9" x14ac:dyDescent="0.15">
      <c r="A11" s="45">
        <v>107767</v>
      </c>
      <c r="B11" s="45" t="s">
        <v>661</v>
      </c>
      <c r="C11" s="45" t="s">
        <v>662</v>
      </c>
      <c r="D11" s="45" t="s">
        <v>663</v>
      </c>
      <c r="E11" s="45" t="s">
        <v>677</v>
      </c>
      <c r="F11" s="45" t="s">
        <v>678</v>
      </c>
      <c r="G11" s="45" t="s">
        <v>682</v>
      </c>
      <c r="H11" s="45">
        <v>3</v>
      </c>
      <c r="I11" s="46">
        <f t="shared" si="0"/>
        <v>75</v>
      </c>
    </row>
    <row r="12" spans="1:9" x14ac:dyDescent="0.15">
      <c r="A12" s="45">
        <v>107932</v>
      </c>
      <c r="B12" s="45" t="s">
        <v>661</v>
      </c>
      <c r="C12" s="45" t="s">
        <v>662</v>
      </c>
      <c r="D12" s="45" t="s">
        <v>663</v>
      </c>
      <c r="E12" s="45" t="s">
        <v>677</v>
      </c>
      <c r="F12" s="45" t="s">
        <v>678</v>
      </c>
      <c r="G12" s="45" t="s">
        <v>683</v>
      </c>
      <c r="H12" s="45">
        <v>3</v>
      </c>
      <c r="I12" s="46">
        <f t="shared" si="0"/>
        <v>75</v>
      </c>
    </row>
    <row r="13" spans="1:9" x14ac:dyDescent="0.15">
      <c r="A13" s="45">
        <v>108218</v>
      </c>
      <c r="B13" s="45" t="s">
        <v>661</v>
      </c>
      <c r="C13" s="45" t="s">
        <v>684</v>
      </c>
      <c r="D13" s="45" t="s">
        <v>685</v>
      </c>
      <c r="E13" s="45" t="s">
        <v>677</v>
      </c>
      <c r="F13" s="45" t="s">
        <v>678</v>
      </c>
      <c r="G13" s="45" t="s">
        <v>686</v>
      </c>
      <c r="H13" s="45">
        <v>0</v>
      </c>
      <c r="I13" s="46">
        <f t="shared" si="0"/>
        <v>0</v>
      </c>
    </row>
    <row r="14" spans="1:9" x14ac:dyDescent="0.15">
      <c r="A14" s="45">
        <v>108693</v>
      </c>
      <c r="B14" s="45" t="s">
        <v>661</v>
      </c>
      <c r="C14" s="45" t="s">
        <v>687</v>
      </c>
      <c r="D14" s="45" t="s">
        <v>663</v>
      </c>
      <c r="E14" s="45" t="s">
        <v>677</v>
      </c>
      <c r="F14" s="45" t="s">
        <v>678</v>
      </c>
      <c r="G14" s="45" t="s">
        <v>688</v>
      </c>
      <c r="H14" s="45">
        <v>0</v>
      </c>
      <c r="I14" s="46">
        <f t="shared" si="0"/>
        <v>0</v>
      </c>
    </row>
    <row r="15" spans="1:9" x14ac:dyDescent="0.15">
      <c r="A15" s="45">
        <v>108584</v>
      </c>
      <c r="B15" s="45" t="s">
        <v>661</v>
      </c>
      <c r="C15" s="45" t="s">
        <v>689</v>
      </c>
      <c r="D15" s="45" t="s">
        <v>685</v>
      </c>
      <c r="E15" s="45" t="s">
        <v>677</v>
      </c>
      <c r="F15" s="45" t="s">
        <v>678</v>
      </c>
      <c r="G15" s="45" t="s">
        <v>690</v>
      </c>
      <c r="H15" s="45">
        <v>0</v>
      </c>
      <c r="I15" s="46">
        <f t="shared" si="0"/>
        <v>0</v>
      </c>
    </row>
    <row r="16" spans="1:9" x14ac:dyDescent="0.15">
      <c r="A16" s="45">
        <v>105889</v>
      </c>
      <c r="B16" s="45" t="s">
        <v>661</v>
      </c>
      <c r="C16" s="45" t="s">
        <v>671</v>
      </c>
      <c r="D16" s="45" t="s">
        <v>663</v>
      </c>
      <c r="E16" s="45" t="s">
        <v>691</v>
      </c>
      <c r="F16" s="45" t="s">
        <v>692</v>
      </c>
      <c r="G16" s="45" t="s">
        <v>693</v>
      </c>
      <c r="H16" s="45">
        <v>3</v>
      </c>
      <c r="I16" s="46">
        <f t="shared" si="0"/>
        <v>75</v>
      </c>
    </row>
    <row r="17" spans="1:9" x14ac:dyDescent="0.15">
      <c r="A17" s="45">
        <v>106295</v>
      </c>
      <c r="B17" s="45" t="s">
        <v>661</v>
      </c>
      <c r="C17" s="45" t="s">
        <v>694</v>
      </c>
      <c r="D17" s="45" t="s">
        <v>685</v>
      </c>
      <c r="E17" s="45" t="s">
        <v>691</v>
      </c>
      <c r="F17" s="45" t="s">
        <v>692</v>
      </c>
      <c r="G17" s="45" t="s">
        <v>695</v>
      </c>
      <c r="H17" s="45">
        <v>5</v>
      </c>
      <c r="I17" s="46">
        <f t="shared" si="0"/>
        <v>125</v>
      </c>
    </row>
    <row r="18" spans="1:9" x14ac:dyDescent="0.15">
      <c r="A18" s="45">
        <v>106696</v>
      </c>
      <c r="B18" s="45" t="s">
        <v>661</v>
      </c>
      <c r="C18" s="45" t="s">
        <v>671</v>
      </c>
      <c r="D18" s="45" t="s">
        <v>663</v>
      </c>
      <c r="E18" s="45" t="s">
        <v>691</v>
      </c>
      <c r="F18" s="45" t="s">
        <v>692</v>
      </c>
      <c r="G18" s="45" t="s">
        <v>696</v>
      </c>
      <c r="H18" s="45">
        <v>2</v>
      </c>
      <c r="I18" s="46">
        <f t="shared" si="0"/>
        <v>50</v>
      </c>
    </row>
    <row r="19" spans="1:9" x14ac:dyDescent="0.15">
      <c r="A19" s="45">
        <v>107046</v>
      </c>
      <c r="B19" s="45" t="s">
        <v>661</v>
      </c>
      <c r="C19" s="45" t="s">
        <v>671</v>
      </c>
      <c r="D19" s="45" t="s">
        <v>663</v>
      </c>
      <c r="E19" s="45" t="s">
        <v>691</v>
      </c>
      <c r="F19" s="45" t="s">
        <v>692</v>
      </c>
      <c r="G19" s="45" t="s">
        <v>697</v>
      </c>
      <c r="H19" s="45">
        <v>0</v>
      </c>
      <c r="I19" s="46">
        <f t="shared" si="0"/>
        <v>0</v>
      </c>
    </row>
    <row r="20" spans="1:9" x14ac:dyDescent="0.15">
      <c r="A20" s="45">
        <v>107160</v>
      </c>
      <c r="B20" s="45" t="s">
        <v>661</v>
      </c>
      <c r="C20" s="45" t="s">
        <v>698</v>
      </c>
      <c r="D20" s="45" t="s">
        <v>675</v>
      </c>
      <c r="E20" s="45" t="s">
        <v>691</v>
      </c>
      <c r="F20" s="45" t="s">
        <v>692</v>
      </c>
      <c r="G20" s="45" t="s">
        <v>699</v>
      </c>
      <c r="H20" s="45">
        <v>3</v>
      </c>
      <c r="I20" s="46">
        <f t="shared" si="0"/>
        <v>75</v>
      </c>
    </row>
    <row r="21" spans="1:9" x14ac:dyDescent="0.15">
      <c r="A21" s="45">
        <v>108080</v>
      </c>
      <c r="B21" s="45" t="s">
        <v>661</v>
      </c>
      <c r="C21" s="45" t="s">
        <v>700</v>
      </c>
      <c r="D21" s="45" t="s">
        <v>663</v>
      </c>
      <c r="E21" s="45" t="s">
        <v>691</v>
      </c>
      <c r="F21" s="45" t="s">
        <v>692</v>
      </c>
      <c r="G21" s="45" t="s">
        <v>701</v>
      </c>
      <c r="H21" s="45">
        <v>0</v>
      </c>
      <c r="I21" s="46">
        <f t="shared" si="0"/>
        <v>0</v>
      </c>
    </row>
    <row r="22" spans="1:9" x14ac:dyDescent="0.15">
      <c r="A22" s="45">
        <v>108469</v>
      </c>
      <c r="B22" s="45" t="s">
        <v>661</v>
      </c>
      <c r="C22" s="45" t="s">
        <v>700</v>
      </c>
      <c r="D22" s="45" t="s">
        <v>663</v>
      </c>
      <c r="E22" s="45" t="s">
        <v>691</v>
      </c>
      <c r="F22" s="45" t="s">
        <v>692</v>
      </c>
      <c r="G22" s="45" t="s">
        <v>702</v>
      </c>
      <c r="H22" s="45">
        <v>3</v>
      </c>
      <c r="I22" s="46">
        <f t="shared" si="0"/>
        <v>75</v>
      </c>
    </row>
    <row r="23" spans="1:9" x14ac:dyDescent="0.15">
      <c r="A23" s="45">
        <v>108874</v>
      </c>
      <c r="B23" s="45" t="s">
        <v>661</v>
      </c>
      <c r="C23" s="45" t="s">
        <v>671</v>
      </c>
      <c r="D23" s="45" t="s">
        <v>663</v>
      </c>
      <c r="E23" s="45" t="s">
        <v>691</v>
      </c>
      <c r="F23" s="45" t="s">
        <v>692</v>
      </c>
      <c r="G23" s="45" t="s">
        <v>703</v>
      </c>
      <c r="H23" s="45">
        <v>3</v>
      </c>
      <c r="I23" s="46">
        <f t="shared" si="0"/>
        <v>75</v>
      </c>
    </row>
    <row r="24" spans="1:9" x14ac:dyDescent="0.15">
      <c r="A24" s="45">
        <v>109284</v>
      </c>
      <c r="B24" s="45" t="s">
        <v>661</v>
      </c>
      <c r="C24" s="45" t="s">
        <v>671</v>
      </c>
      <c r="D24" s="45" t="s">
        <v>663</v>
      </c>
      <c r="E24" s="45" t="s">
        <v>691</v>
      </c>
      <c r="F24" s="45" t="s">
        <v>692</v>
      </c>
      <c r="G24" s="45" t="s">
        <v>704</v>
      </c>
      <c r="H24" s="45">
        <v>3</v>
      </c>
      <c r="I24" s="46">
        <f t="shared" si="0"/>
        <v>75</v>
      </c>
    </row>
    <row r="25" spans="1:9" x14ac:dyDescent="0.15">
      <c r="A25" s="45">
        <v>105963</v>
      </c>
      <c r="B25" s="45" t="s">
        <v>661</v>
      </c>
      <c r="C25" s="45" t="s">
        <v>662</v>
      </c>
      <c r="D25" s="45" t="s">
        <v>663</v>
      </c>
      <c r="E25" s="45" t="s">
        <v>705</v>
      </c>
      <c r="F25" s="45" t="s">
        <v>706</v>
      </c>
      <c r="G25" s="45" t="s">
        <v>707</v>
      </c>
      <c r="H25" s="45">
        <v>3</v>
      </c>
      <c r="I25" s="46">
        <f t="shared" si="0"/>
        <v>75</v>
      </c>
    </row>
    <row r="26" spans="1:9" x14ac:dyDescent="0.15">
      <c r="A26" s="45">
        <v>106477</v>
      </c>
      <c r="B26" s="45" t="s">
        <v>661</v>
      </c>
      <c r="C26" s="45" t="s">
        <v>662</v>
      </c>
      <c r="D26" s="45" t="s">
        <v>663</v>
      </c>
      <c r="E26" s="45" t="s">
        <v>705</v>
      </c>
      <c r="F26" s="45" t="s">
        <v>706</v>
      </c>
      <c r="G26" s="45" t="s">
        <v>708</v>
      </c>
      <c r="H26" s="45">
        <v>3</v>
      </c>
      <c r="I26" s="46">
        <f t="shared" si="0"/>
        <v>75</v>
      </c>
    </row>
    <row r="27" spans="1:9" x14ac:dyDescent="0.15">
      <c r="A27" s="45">
        <v>107102</v>
      </c>
      <c r="B27" s="45" t="s">
        <v>661</v>
      </c>
      <c r="C27" s="45" t="s">
        <v>662</v>
      </c>
      <c r="D27" s="45" t="s">
        <v>663</v>
      </c>
      <c r="E27" s="45" t="s">
        <v>705</v>
      </c>
      <c r="F27" s="45" t="s">
        <v>706</v>
      </c>
      <c r="G27" s="45" t="s">
        <v>709</v>
      </c>
      <c r="H27" s="45">
        <v>0</v>
      </c>
      <c r="I27" s="46">
        <f t="shared" si="0"/>
        <v>0</v>
      </c>
    </row>
    <row r="28" spans="1:9" x14ac:dyDescent="0.15">
      <c r="A28" s="45">
        <v>107181</v>
      </c>
      <c r="B28" s="45" t="s">
        <v>661</v>
      </c>
      <c r="C28" s="45" t="s">
        <v>662</v>
      </c>
      <c r="D28" s="45" t="s">
        <v>663</v>
      </c>
      <c r="E28" s="45" t="s">
        <v>705</v>
      </c>
      <c r="F28" s="45" t="s">
        <v>706</v>
      </c>
      <c r="G28" s="45" t="s">
        <v>710</v>
      </c>
      <c r="H28" s="45">
        <v>0</v>
      </c>
      <c r="I28" s="46">
        <f t="shared" si="0"/>
        <v>0</v>
      </c>
    </row>
    <row r="29" spans="1:9" x14ac:dyDescent="0.15">
      <c r="A29" s="45">
        <v>107182</v>
      </c>
      <c r="B29" s="45" t="s">
        <v>661</v>
      </c>
      <c r="C29" s="45" t="s">
        <v>662</v>
      </c>
      <c r="D29" s="45" t="s">
        <v>663</v>
      </c>
      <c r="E29" s="45" t="s">
        <v>705</v>
      </c>
      <c r="F29" s="45" t="s">
        <v>706</v>
      </c>
      <c r="G29" s="45" t="s">
        <v>711</v>
      </c>
      <c r="H29" s="45">
        <v>3</v>
      </c>
      <c r="I29" s="46">
        <f t="shared" si="0"/>
        <v>75</v>
      </c>
    </row>
    <row r="30" spans="1:9" x14ac:dyDescent="0.15">
      <c r="A30" s="45">
        <v>108097</v>
      </c>
      <c r="B30" s="45" t="s">
        <v>661</v>
      </c>
      <c r="C30" s="45" t="s">
        <v>700</v>
      </c>
      <c r="D30" s="45" t="s">
        <v>663</v>
      </c>
      <c r="E30" s="45" t="s">
        <v>705</v>
      </c>
      <c r="F30" s="45" t="s">
        <v>706</v>
      </c>
      <c r="G30" s="45" t="s">
        <v>712</v>
      </c>
      <c r="H30" s="45">
        <v>3</v>
      </c>
      <c r="I30" s="46">
        <f t="shared" si="0"/>
        <v>75</v>
      </c>
    </row>
    <row r="31" spans="1:9" x14ac:dyDescent="0.15">
      <c r="A31" s="45">
        <v>108689</v>
      </c>
      <c r="B31" s="45" t="s">
        <v>661</v>
      </c>
      <c r="C31" s="45" t="s">
        <v>662</v>
      </c>
      <c r="D31" s="45" t="s">
        <v>663</v>
      </c>
      <c r="E31" s="45" t="s">
        <v>705</v>
      </c>
      <c r="F31" s="45" t="s">
        <v>706</v>
      </c>
      <c r="G31" s="45" t="s">
        <v>713</v>
      </c>
      <c r="H31" s="45">
        <v>3</v>
      </c>
      <c r="I31" s="46">
        <f t="shared" si="0"/>
        <v>75</v>
      </c>
    </row>
    <row r="32" spans="1:9" x14ac:dyDescent="0.15">
      <c r="A32" s="45">
        <v>109118</v>
      </c>
      <c r="B32" s="45" t="s">
        <v>661</v>
      </c>
      <c r="C32" s="45" t="s">
        <v>662</v>
      </c>
      <c r="D32" s="45" t="s">
        <v>663</v>
      </c>
      <c r="E32" s="45" t="s">
        <v>705</v>
      </c>
      <c r="F32" s="45" t="s">
        <v>706</v>
      </c>
      <c r="G32" s="45" t="s">
        <v>714</v>
      </c>
      <c r="H32" s="45">
        <v>3</v>
      </c>
      <c r="I32" s="46">
        <f t="shared" si="0"/>
        <v>75</v>
      </c>
    </row>
    <row r="33" spans="1:9" x14ac:dyDescent="0.15">
      <c r="A33" s="45">
        <v>109557</v>
      </c>
      <c r="B33" s="45" t="s">
        <v>661</v>
      </c>
      <c r="C33" s="45" t="s">
        <v>700</v>
      </c>
      <c r="D33" s="45" t="s">
        <v>663</v>
      </c>
      <c r="E33" s="45" t="s">
        <v>705</v>
      </c>
      <c r="F33" s="45" t="s">
        <v>706</v>
      </c>
      <c r="G33" s="45" t="s">
        <v>715</v>
      </c>
      <c r="H33" s="45">
        <v>2</v>
      </c>
      <c r="I33" s="46">
        <f t="shared" si="0"/>
        <v>50</v>
      </c>
    </row>
    <row r="34" spans="1:9" x14ac:dyDescent="0.15">
      <c r="A34" s="45">
        <v>107138</v>
      </c>
      <c r="B34" s="45" t="s">
        <v>661</v>
      </c>
      <c r="C34" s="45" t="s">
        <v>669</v>
      </c>
      <c r="D34" s="45" t="s">
        <v>663</v>
      </c>
      <c r="E34" s="45" t="s">
        <v>716</v>
      </c>
      <c r="F34" s="45" t="s">
        <v>717</v>
      </c>
      <c r="G34" s="45" t="s">
        <v>718</v>
      </c>
      <c r="H34" s="45">
        <v>2</v>
      </c>
      <c r="I34" s="46">
        <f t="shared" si="0"/>
        <v>50</v>
      </c>
    </row>
    <row r="35" spans="1:9" x14ac:dyDescent="0.15">
      <c r="A35" s="45">
        <v>107222</v>
      </c>
      <c r="B35" s="45" t="s">
        <v>661</v>
      </c>
      <c r="C35" s="45" t="s">
        <v>719</v>
      </c>
      <c r="D35" s="45" t="s">
        <v>663</v>
      </c>
      <c r="E35" s="45" t="s">
        <v>716</v>
      </c>
      <c r="F35" s="45" t="s">
        <v>717</v>
      </c>
      <c r="G35" s="45" t="s">
        <v>720</v>
      </c>
      <c r="H35" s="45">
        <v>2</v>
      </c>
      <c r="I35" s="46">
        <f t="shared" si="0"/>
        <v>50</v>
      </c>
    </row>
    <row r="36" spans="1:9" x14ac:dyDescent="0.15">
      <c r="A36" s="45">
        <v>108213</v>
      </c>
      <c r="B36" s="45" t="s">
        <v>661</v>
      </c>
      <c r="C36" s="45" t="s">
        <v>721</v>
      </c>
      <c r="D36" s="45" t="s">
        <v>663</v>
      </c>
      <c r="E36" s="45" t="s">
        <v>716</v>
      </c>
      <c r="F36" s="45" t="s">
        <v>717</v>
      </c>
      <c r="G36" s="45" t="s">
        <v>722</v>
      </c>
      <c r="H36" s="45">
        <v>2</v>
      </c>
      <c r="I36" s="46">
        <f t="shared" si="0"/>
        <v>50</v>
      </c>
    </row>
    <row r="37" spans="1:9" x14ac:dyDescent="0.15">
      <c r="A37" s="45">
        <v>108489</v>
      </c>
      <c r="B37" s="45" t="s">
        <v>661</v>
      </c>
      <c r="C37" s="45" t="s">
        <v>662</v>
      </c>
      <c r="D37" s="45" t="s">
        <v>663</v>
      </c>
      <c r="E37" s="45" t="s">
        <v>716</v>
      </c>
      <c r="F37" s="45" t="s">
        <v>717</v>
      </c>
      <c r="G37" s="45" t="s">
        <v>723</v>
      </c>
      <c r="H37" s="45">
        <v>0</v>
      </c>
      <c r="I37" s="46">
        <f t="shared" si="0"/>
        <v>0</v>
      </c>
    </row>
    <row r="38" spans="1:9" x14ac:dyDescent="0.15">
      <c r="A38" s="45">
        <v>105394</v>
      </c>
      <c r="B38" s="45" t="s">
        <v>661</v>
      </c>
      <c r="C38" s="45" t="s">
        <v>669</v>
      </c>
      <c r="D38" s="45" t="s">
        <v>663</v>
      </c>
      <c r="E38" s="45" t="s">
        <v>724</v>
      </c>
      <c r="F38" s="45" t="s">
        <v>725</v>
      </c>
      <c r="G38" s="45" t="s">
        <v>726</v>
      </c>
      <c r="H38" s="45">
        <v>2</v>
      </c>
      <c r="I38" s="46">
        <f t="shared" si="0"/>
        <v>50</v>
      </c>
    </row>
    <row r="39" spans="1:9" x14ac:dyDescent="0.15">
      <c r="A39" s="45">
        <v>106692</v>
      </c>
      <c r="B39" s="45" t="s">
        <v>661</v>
      </c>
      <c r="C39" s="45" t="s">
        <v>727</v>
      </c>
      <c r="D39" s="45" t="s">
        <v>663</v>
      </c>
      <c r="E39" s="45" t="s">
        <v>724</v>
      </c>
      <c r="F39" s="45" t="s">
        <v>725</v>
      </c>
      <c r="G39" s="45" t="s">
        <v>728</v>
      </c>
      <c r="H39" s="45">
        <v>3</v>
      </c>
      <c r="I39" s="46">
        <f t="shared" si="0"/>
        <v>75</v>
      </c>
    </row>
    <row r="40" spans="1:9" x14ac:dyDescent="0.15">
      <c r="A40" s="45">
        <v>107284</v>
      </c>
      <c r="B40" s="45" t="s">
        <v>661</v>
      </c>
      <c r="C40" s="45" t="s">
        <v>727</v>
      </c>
      <c r="D40" s="45" t="s">
        <v>663</v>
      </c>
      <c r="E40" s="45" t="s">
        <v>724</v>
      </c>
      <c r="F40" s="45" t="s">
        <v>725</v>
      </c>
      <c r="G40" s="45" t="s">
        <v>729</v>
      </c>
      <c r="H40" s="45">
        <v>4</v>
      </c>
      <c r="I40" s="46">
        <f t="shared" si="0"/>
        <v>100</v>
      </c>
    </row>
    <row r="41" spans="1:9" x14ac:dyDescent="0.15">
      <c r="A41" s="45">
        <v>105802</v>
      </c>
      <c r="B41" s="45" t="s">
        <v>661</v>
      </c>
      <c r="C41" s="45" t="s">
        <v>698</v>
      </c>
      <c r="D41" s="45" t="s">
        <v>675</v>
      </c>
      <c r="E41" s="45" t="s">
        <v>730</v>
      </c>
      <c r="F41" s="45" t="s">
        <v>731</v>
      </c>
      <c r="G41" s="45" t="s">
        <v>732</v>
      </c>
      <c r="H41" s="45">
        <v>0</v>
      </c>
      <c r="I41" s="46">
        <f t="shared" si="0"/>
        <v>0</v>
      </c>
    </row>
    <row r="42" spans="1:9" x14ac:dyDescent="0.15">
      <c r="A42" s="45">
        <v>105803</v>
      </c>
      <c r="B42" s="45" t="s">
        <v>661</v>
      </c>
      <c r="C42" s="45" t="s">
        <v>671</v>
      </c>
      <c r="D42" s="45" t="s">
        <v>663</v>
      </c>
      <c r="E42" s="45" t="s">
        <v>730</v>
      </c>
      <c r="F42" s="45" t="s">
        <v>731</v>
      </c>
      <c r="G42" s="45" t="s">
        <v>733</v>
      </c>
      <c r="H42" s="45">
        <v>5</v>
      </c>
      <c r="I42" s="46">
        <f t="shared" si="0"/>
        <v>125</v>
      </c>
    </row>
    <row r="43" spans="1:9" x14ac:dyDescent="0.15">
      <c r="A43" s="45">
        <v>108445</v>
      </c>
      <c r="B43" s="45" t="s">
        <v>661</v>
      </c>
      <c r="C43" s="45" t="s">
        <v>662</v>
      </c>
      <c r="D43" s="45" t="s">
        <v>663</v>
      </c>
      <c r="E43" s="45" t="s">
        <v>730</v>
      </c>
      <c r="F43" s="45" t="s">
        <v>731</v>
      </c>
      <c r="G43" s="45" t="s">
        <v>734</v>
      </c>
      <c r="H43" s="45">
        <v>5</v>
      </c>
      <c r="I43" s="46">
        <f t="shared" si="0"/>
        <v>125</v>
      </c>
    </row>
    <row r="44" spans="1:9" x14ac:dyDescent="0.15">
      <c r="A44" s="45">
        <v>106674</v>
      </c>
      <c r="B44" s="45" t="s">
        <v>661</v>
      </c>
      <c r="C44" s="45" t="s">
        <v>698</v>
      </c>
      <c r="D44" s="45" t="s">
        <v>675</v>
      </c>
      <c r="E44" s="45" t="s">
        <v>735</v>
      </c>
      <c r="F44" s="45" t="s">
        <v>736</v>
      </c>
      <c r="G44" s="45" t="s">
        <v>737</v>
      </c>
      <c r="H44" s="45">
        <v>3</v>
      </c>
      <c r="I44" s="46">
        <f t="shared" si="0"/>
        <v>75</v>
      </c>
    </row>
    <row r="45" spans="1:9" x14ac:dyDescent="0.15">
      <c r="A45" s="45">
        <v>107879</v>
      </c>
      <c r="B45" s="45" t="s">
        <v>661</v>
      </c>
      <c r="C45" s="45" t="s">
        <v>738</v>
      </c>
      <c r="D45" s="45" t="s">
        <v>685</v>
      </c>
      <c r="E45" s="45" t="s">
        <v>735</v>
      </c>
      <c r="F45" s="45" t="s">
        <v>736</v>
      </c>
      <c r="G45" s="45" t="s">
        <v>739</v>
      </c>
      <c r="H45" s="45">
        <v>4</v>
      </c>
      <c r="I45" s="46">
        <f t="shared" si="0"/>
        <v>100</v>
      </c>
    </row>
    <row r="46" spans="1:9" x14ac:dyDescent="0.15">
      <c r="A46" s="45">
        <v>105410</v>
      </c>
      <c r="B46" s="45" t="s">
        <v>661</v>
      </c>
      <c r="C46" s="45" t="s">
        <v>662</v>
      </c>
      <c r="D46" s="45" t="s">
        <v>663</v>
      </c>
      <c r="E46" s="45" t="s">
        <v>740</v>
      </c>
      <c r="F46" s="45" t="s">
        <v>741</v>
      </c>
      <c r="G46" s="45" t="s">
        <v>742</v>
      </c>
      <c r="H46" s="45">
        <v>3</v>
      </c>
      <c r="I46" s="46">
        <f t="shared" si="0"/>
        <v>75</v>
      </c>
    </row>
    <row r="47" spans="1:9" x14ac:dyDescent="0.15">
      <c r="A47" s="45">
        <v>106115</v>
      </c>
      <c r="B47" s="45" t="s">
        <v>661</v>
      </c>
      <c r="C47" s="45" t="s">
        <v>662</v>
      </c>
      <c r="D47" s="45" t="s">
        <v>663</v>
      </c>
      <c r="E47" s="45" t="s">
        <v>740</v>
      </c>
      <c r="F47" s="45" t="s">
        <v>741</v>
      </c>
      <c r="G47" s="45" t="s">
        <v>743</v>
      </c>
      <c r="H47" s="45">
        <v>3</v>
      </c>
      <c r="I47" s="46">
        <f t="shared" si="0"/>
        <v>75</v>
      </c>
    </row>
    <row r="48" spans="1:9" x14ac:dyDescent="0.15">
      <c r="A48" s="45">
        <v>109036</v>
      </c>
      <c r="B48" s="45" t="s">
        <v>661</v>
      </c>
      <c r="C48" s="45" t="s">
        <v>662</v>
      </c>
      <c r="D48" s="45" t="s">
        <v>663</v>
      </c>
      <c r="E48" s="45" t="s">
        <v>740</v>
      </c>
      <c r="F48" s="45" t="s">
        <v>741</v>
      </c>
      <c r="G48" s="45" t="s">
        <v>744</v>
      </c>
      <c r="H48" s="45">
        <v>4</v>
      </c>
      <c r="I48" s="46">
        <f t="shared" si="0"/>
        <v>100</v>
      </c>
    </row>
    <row r="49" spans="1:9" x14ac:dyDescent="0.15">
      <c r="A49" s="45">
        <v>107696</v>
      </c>
      <c r="B49" s="45" t="s">
        <v>661</v>
      </c>
      <c r="C49" s="45" t="s">
        <v>745</v>
      </c>
      <c r="D49" s="45" t="s">
        <v>685</v>
      </c>
      <c r="E49" s="45" t="s">
        <v>746</v>
      </c>
      <c r="F49" s="45" t="s">
        <v>747</v>
      </c>
      <c r="G49" s="45" t="s">
        <v>748</v>
      </c>
      <c r="H49" s="45">
        <v>3</v>
      </c>
      <c r="I49" s="46">
        <f t="shared" si="0"/>
        <v>75</v>
      </c>
    </row>
    <row r="50" spans="1:9" x14ac:dyDescent="0.15">
      <c r="A50" s="45">
        <v>106000</v>
      </c>
      <c r="B50" s="45" t="s">
        <v>661</v>
      </c>
      <c r="C50" s="45" t="s">
        <v>671</v>
      </c>
      <c r="D50" s="45" t="s">
        <v>663</v>
      </c>
      <c r="E50" s="45" t="s">
        <v>749</v>
      </c>
      <c r="F50" s="45" t="s">
        <v>750</v>
      </c>
      <c r="G50" s="45" t="s">
        <v>751</v>
      </c>
      <c r="H50" s="45">
        <v>3</v>
      </c>
      <c r="I50" s="46">
        <f t="shared" si="0"/>
        <v>75</v>
      </c>
    </row>
    <row r="51" spans="1:9" x14ac:dyDescent="0.15">
      <c r="A51" s="45">
        <v>108850</v>
      </c>
      <c r="B51" s="45" t="s">
        <v>661</v>
      </c>
      <c r="C51" s="45" t="s">
        <v>700</v>
      </c>
      <c r="D51" s="45" t="s">
        <v>663</v>
      </c>
      <c r="E51" s="45" t="s">
        <v>752</v>
      </c>
      <c r="F51" s="45" t="s">
        <v>753</v>
      </c>
      <c r="G51" s="45" t="s">
        <v>754</v>
      </c>
      <c r="H51" s="45">
        <v>4</v>
      </c>
      <c r="I51" s="46">
        <f t="shared" si="0"/>
        <v>100</v>
      </c>
    </row>
    <row r="52" spans="1:9" x14ac:dyDescent="0.15">
      <c r="A52" s="45">
        <v>109875</v>
      </c>
      <c r="B52" s="45" t="s">
        <v>661</v>
      </c>
      <c r="C52" s="45" t="s">
        <v>738</v>
      </c>
      <c r="D52" s="45" t="s">
        <v>685</v>
      </c>
      <c r="E52" s="45" t="s">
        <v>755</v>
      </c>
      <c r="F52" s="45" t="s">
        <v>756</v>
      </c>
      <c r="G52" s="45" t="s">
        <v>757</v>
      </c>
      <c r="H52" s="45">
        <v>6</v>
      </c>
      <c r="I52" s="46">
        <f t="shared" si="0"/>
        <v>150</v>
      </c>
    </row>
    <row r="53" spans="1:9" x14ac:dyDescent="0.15">
      <c r="A53" s="45">
        <v>106027</v>
      </c>
      <c r="B53" s="45" t="s">
        <v>661</v>
      </c>
      <c r="C53" s="45" t="s">
        <v>727</v>
      </c>
      <c r="D53" s="45" t="s">
        <v>663</v>
      </c>
      <c r="E53" s="45" t="s">
        <v>758</v>
      </c>
      <c r="F53" s="45" t="s">
        <v>759</v>
      </c>
      <c r="G53" s="45" t="s">
        <v>760</v>
      </c>
      <c r="H53" s="45">
        <v>3</v>
      </c>
      <c r="I53" s="46">
        <f t="shared" si="0"/>
        <v>75</v>
      </c>
    </row>
    <row r="54" spans="1:9" x14ac:dyDescent="0.15">
      <c r="A54" s="45">
        <v>107782</v>
      </c>
      <c r="B54" s="45" t="s">
        <v>661</v>
      </c>
      <c r="C54" s="45" t="s">
        <v>727</v>
      </c>
      <c r="D54" s="45" t="s">
        <v>663</v>
      </c>
      <c r="E54" s="45" t="s">
        <v>758</v>
      </c>
      <c r="F54" s="45" t="s">
        <v>759</v>
      </c>
      <c r="G54" s="45" t="s">
        <v>761</v>
      </c>
      <c r="H54" s="45">
        <v>0</v>
      </c>
      <c r="I54" s="46">
        <f t="shared" si="0"/>
        <v>0</v>
      </c>
    </row>
    <row r="55" spans="1:9" x14ac:dyDescent="0.15">
      <c r="A55" s="45">
        <v>108177</v>
      </c>
      <c r="B55" s="45" t="s">
        <v>661</v>
      </c>
      <c r="C55" s="45" t="s">
        <v>671</v>
      </c>
      <c r="D55" s="45" t="s">
        <v>663</v>
      </c>
      <c r="E55" s="45" t="s">
        <v>758</v>
      </c>
      <c r="F55" s="45" t="s">
        <v>759</v>
      </c>
      <c r="G55" s="45" t="s">
        <v>762</v>
      </c>
      <c r="H55" s="45">
        <v>3</v>
      </c>
      <c r="I55" s="46">
        <f t="shared" si="0"/>
        <v>75</v>
      </c>
    </row>
    <row r="56" spans="1:9" x14ac:dyDescent="0.15">
      <c r="A56" s="45">
        <v>109416</v>
      </c>
      <c r="B56" s="45" t="s">
        <v>661</v>
      </c>
      <c r="C56" s="45" t="s">
        <v>727</v>
      </c>
      <c r="D56" s="45" t="s">
        <v>663</v>
      </c>
      <c r="E56" s="45" t="s">
        <v>758</v>
      </c>
      <c r="F56" s="45" t="s">
        <v>759</v>
      </c>
      <c r="G56" s="45" t="s">
        <v>763</v>
      </c>
      <c r="H56" s="45">
        <v>3</v>
      </c>
      <c r="I56" s="46">
        <f t="shared" si="0"/>
        <v>75</v>
      </c>
    </row>
    <row r="57" spans="1:9" x14ac:dyDescent="0.15">
      <c r="A57" s="45">
        <v>109331</v>
      </c>
      <c r="B57" s="45" t="s">
        <v>661</v>
      </c>
      <c r="C57" s="45" t="s">
        <v>721</v>
      </c>
      <c r="D57" s="45" t="s">
        <v>663</v>
      </c>
      <c r="E57" s="45" t="s">
        <v>758</v>
      </c>
      <c r="F57" s="45" t="s">
        <v>759</v>
      </c>
      <c r="G57" s="45" t="s">
        <v>764</v>
      </c>
      <c r="H57" s="45">
        <v>3</v>
      </c>
      <c r="I57" s="46">
        <f t="shared" si="0"/>
        <v>75</v>
      </c>
    </row>
    <row r="58" spans="1:9" x14ac:dyDescent="0.15">
      <c r="A58" s="45">
        <v>107325</v>
      </c>
      <c r="B58" s="45" t="s">
        <v>661</v>
      </c>
      <c r="C58" s="45" t="s">
        <v>727</v>
      </c>
      <c r="D58" s="45" t="s">
        <v>663</v>
      </c>
      <c r="E58" s="45" t="s">
        <v>765</v>
      </c>
      <c r="F58" s="45" t="s">
        <v>766</v>
      </c>
      <c r="G58" s="45" t="s">
        <v>767</v>
      </c>
      <c r="H58" s="45">
        <v>0</v>
      </c>
      <c r="I58" s="46">
        <f t="shared" si="0"/>
        <v>0</v>
      </c>
    </row>
    <row r="59" spans="1:9" x14ac:dyDescent="0.15">
      <c r="A59" s="45">
        <v>107404</v>
      </c>
      <c r="B59" s="45" t="s">
        <v>661</v>
      </c>
      <c r="C59" s="45" t="s">
        <v>768</v>
      </c>
      <c r="D59" s="45" t="s">
        <v>675</v>
      </c>
      <c r="E59" s="45" t="s">
        <v>765</v>
      </c>
      <c r="F59" s="45" t="s">
        <v>766</v>
      </c>
      <c r="G59" s="45" t="s">
        <v>769</v>
      </c>
      <c r="H59" s="45">
        <v>4</v>
      </c>
      <c r="I59" s="46">
        <f t="shared" si="0"/>
        <v>100</v>
      </c>
    </row>
    <row r="60" spans="1:9" x14ac:dyDescent="0.15">
      <c r="A60" s="45">
        <v>109744</v>
      </c>
      <c r="B60" s="45" t="s">
        <v>661</v>
      </c>
      <c r="C60" s="45" t="s">
        <v>662</v>
      </c>
      <c r="D60" s="45" t="s">
        <v>663</v>
      </c>
      <c r="E60" s="45" t="s">
        <v>765</v>
      </c>
      <c r="F60" s="45" t="s">
        <v>766</v>
      </c>
      <c r="G60" s="45" t="s">
        <v>770</v>
      </c>
      <c r="H60" s="45">
        <v>3</v>
      </c>
      <c r="I60" s="46">
        <f t="shared" si="0"/>
        <v>75</v>
      </c>
    </row>
    <row r="61" spans="1:9" x14ac:dyDescent="0.15">
      <c r="A61" s="45">
        <v>105479</v>
      </c>
      <c r="B61" s="45" t="s">
        <v>661</v>
      </c>
      <c r="C61" s="45" t="s">
        <v>662</v>
      </c>
      <c r="D61" s="45" t="s">
        <v>663</v>
      </c>
      <c r="E61" s="45" t="s">
        <v>771</v>
      </c>
      <c r="F61" s="45" t="s">
        <v>772</v>
      </c>
      <c r="G61" s="45" t="s">
        <v>773</v>
      </c>
      <c r="H61" s="45">
        <v>0</v>
      </c>
      <c r="I61" s="46">
        <f t="shared" si="0"/>
        <v>0</v>
      </c>
    </row>
    <row r="62" spans="1:9" x14ac:dyDescent="0.15">
      <c r="A62" s="45">
        <v>107227</v>
      </c>
      <c r="B62" s="45" t="s">
        <v>673</v>
      </c>
      <c r="C62" s="45" t="s">
        <v>674</v>
      </c>
      <c r="D62" s="45" t="s">
        <v>675</v>
      </c>
      <c r="E62" s="45" t="s">
        <v>771</v>
      </c>
      <c r="F62" s="45" t="s">
        <v>772</v>
      </c>
      <c r="G62" s="45" t="s">
        <v>774</v>
      </c>
      <c r="H62" s="45">
        <v>1</v>
      </c>
      <c r="I62" s="46">
        <f t="shared" si="0"/>
        <v>25</v>
      </c>
    </row>
    <row r="63" spans="1:9" x14ac:dyDescent="0.15">
      <c r="A63" s="45">
        <v>108000</v>
      </c>
      <c r="B63" s="45" t="s">
        <v>673</v>
      </c>
      <c r="C63" s="45" t="s">
        <v>674</v>
      </c>
      <c r="D63" s="45" t="s">
        <v>675</v>
      </c>
      <c r="E63" s="45" t="s">
        <v>771</v>
      </c>
      <c r="F63" s="45" t="s">
        <v>772</v>
      </c>
      <c r="G63" s="45" t="s">
        <v>775</v>
      </c>
      <c r="H63" s="45">
        <v>0</v>
      </c>
      <c r="I63" s="46">
        <f t="shared" si="0"/>
        <v>0</v>
      </c>
    </row>
    <row r="64" spans="1:9" x14ac:dyDescent="0.15">
      <c r="A64" s="45">
        <v>106568</v>
      </c>
      <c r="B64" s="45" t="s">
        <v>661</v>
      </c>
      <c r="C64" s="45" t="s">
        <v>662</v>
      </c>
      <c r="D64" s="45" t="s">
        <v>663</v>
      </c>
      <c r="E64" s="45" t="s">
        <v>776</v>
      </c>
      <c r="F64" s="45" t="s">
        <v>777</v>
      </c>
      <c r="G64" s="45" t="s">
        <v>778</v>
      </c>
      <c r="H64" s="45">
        <v>4</v>
      </c>
      <c r="I64" s="46">
        <f t="shared" si="0"/>
        <v>100</v>
      </c>
    </row>
    <row r="65" spans="1:9" x14ac:dyDescent="0.15">
      <c r="A65" s="45">
        <v>106753</v>
      </c>
      <c r="B65" s="45" t="s">
        <v>661</v>
      </c>
      <c r="C65" s="45" t="s">
        <v>662</v>
      </c>
      <c r="D65" s="45" t="s">
        <v>663</v>
      </c>
      <c r="E65" s="45" t="s">
        <v>776</v>
      </c>
      <c r="F65" s="45" t="s">
        <v>777</v>
      </c>
      <c r="G65" s="45" t="s">
        <v>779</v>
      </c>
      <c r="H65" s="45">
        <v>5</v>
      </c>
      <c r="I65" s="46">
        <f t="shared" si="0"/>
        <v>125</v>
      </c>
    </row>
    <row r="66" spans="1:9" x14ac:dyDescent="0.15">
      <c r="A66" s="45">
        <v>109155</v>
      </c>
      <c r="B66" s="45" t="s">
        <v>661</v>
      </c>
      <c r="C66" s="45" t="s">
        <v>662</v>
      </c>
      <c r="D66" s="45" t="s">
        <v>663</v>
      </c>
      <c r="E66" s="45" t="s">
        <v>780</v>
      </c>
      <c r="F66" s="45" t="s">
        <v>781</v>
      </c>
      <c r="G66" s="45" t="s">
        <v>782</v>
      </c>
      <c r="H66" s="45">
        <v>6</v>
      </c>
      <c r="I66" s="46">
        <f t="shared" ref="I66:I129" si="1">H66*25</f>
        <v>150</v>
      </c>
    </row>
    <row r="67" spans="1:9" x14ac:dyDescent="0.15">
      <c r="A67" s="45">
        <v>105249</v>
      </c>
      <c r="B67" s="45" t="s">
        <v>661</v>
      </c>
      <c r="C67" s="45" t="s">
        <v>719</v>
      </c>
      <c r="D67" s="45" t="s">
        <v>663</v>
      </c>
      <c r="E67" s="45" t="s">
        <v>783</v>
      </c>
      <c r="F67" s="45" t="s">
        <v>784</v>
      </c>
      <c r="G67" s="45" t="s">
        <v>785</v>
      </c>
      <c r="H67" s="45">
        <v>3</v>
      </c>
      <c r="I67" s="46">
        <f t="shared" si="1"/>
        <v>75</v>
      </c>
    </row>
    <row r="68" spans="1:9" x14ac:dyDescent="0.15">
      <c r="A68" s="45">
        <v>107685</v>
      </c>
      <c r="B68" s="45" t="s">
        <v>661</v>
      </c>
      <c r="C68" s="45" t="s">
        <v>662</v>
      </c>
      <c r="D68" s="45" t="s">
        <v>663</v>
      </c>
      <c r="E68" s="45" t="s">
        <v>783</v>
      </c>
      <c r="F68" s="45" t="s">
        <v>784</v>
      </c>
      <c r="G68" s="45" t="s">
        <v>786</v>
      </c>
      <c r="H68" s="45">
        <v>3</v>
      </c>
      <c r="I68" s="46">
        <f t="shared" si="1"/>
        <v>75</v>
      </c>
    </row>
    <row r="69" spans="1:9" x14ac:dyDescent="0.15">
      <c r="A69" s="45">
        <v>108325</v>
      </c>
      <c r="B69" s="45" t="s">
        <v>661</v>
      </c>
      <c r="C69" s="45" t="s">
        <v>662</v>
      </c>
      <c r="D69" s="45" t="s">
        <v>663</v>
      </c>
      <c r="E69" s="45" t="s">
        <v>783</v>
      </c>
      <c r="F69" s="45" t="s">
        <v>784</v>
      </c>
      <c r="G69" s="45" t="s">
        <v>787</v>
      </c>
      <c r="H69" s="45">
        <v>4</v>
      </c>
      <c r="I69" s="46">
        <f t="shared" si="1"/>
        <v>100</v>
      </c>
    </row>
    <row r="70" spans="1:9" x14ac:dyDescent="0.15">
      <c r="A70" s="45">
        <v>109377</v>
      </c>
      <c r="B70" s="45" t="s">
        <v>661</v>
      </c>
      <c r="C70" s="45" t="s">
        <v>662</v>
      </c>
      <c r="D70" s="45" t="s">
        <v>663</v>
      </c>
      <c r="E70" s="45" t="s">
        <v>783</v>
      </c>
      <c r="F70" s="45" t="s">
        <v>784</v>
      </c>
      <c r="G70" s="45" t="s">
        <v>788</v>
      </c>
      <c r="H70" s="45">
        <v>3</v>
      </c>
      <c r="I70" s="46">
        <f t="shared" si="1"/>
        <v>75</v>
      </c>
    </row>
    <row r="71" spans="1:9" x14ac:dyDescent="0.15">
      <c r="A71" s="45">
        <v>109580</v>
      </c>
      <c r="B71" s="45" t="s">
        <v>661</v>
      </c>
      <c r="C71" s="45" t="s">
        <v>698</v>
      </c>
      <c r="D71" s="45" t="s">
        <v>675</v>
      </c>
      <c r="E71" s="45" t="s">
        <v>783</v>
      </c>
      <c r="F71" s="45" t="s">
        <v>784</v>
      </c>
      <c r="G71" s="45" t="s">
        <v>789</v>
      </c>
      <c r="H71" s="45">
        <v>0</v>
      </c>
      <c r="I71" s="46">
        <f t="shared" si="1"/>
        <v>0</v>
      </c>
    </row>
    <row r="72" spans="1:9" x14ac:dyDescent="0.15">
      <c r="A72" s="45">
        <v>105657</v>
      </c>
      <c r="B72" s="45" t="s">
        <v>661</v>
      </c>
      <c r="C72" s="45" t="s">
        <v>671</v>
      </c>
      <c r="D72" s="45" t="s">
        <v>663</v>
      </c>
      <c r="E72" s="45" t="s">
        <v>790</v>
      </c>
      <c r="F72" s="45" t="s">
        <v>791</v>
      </c>
      <c r="G72" s="45" t="s">
        <v>792</v>
      </c>
      <c r="H72" s="45">
        <v>3</v>
      </c>
      <c r="I72" s="46">
        <f t="shared" si="1"/>
        <v>75</v>
      </c>
    </row>
    <row r="73" spans="1:9" x14ac:dyDescent="0.15">
      <c r="A73" s="45">
        <v>106799</v>
      </c>
      <c r="B73" s="45" t="s">
        <v>661</v>
      </c>
      <c r="C73" s="45" t="s">
        <v>671</v>
      </c>
      <c r="D73" s="45" t="s">
        <v>663</v>
      </c>
      <c r="E73" s="45" t="s">
        <v>790</v>
      </c>
      <c r="F73" s="45" t="s">
        <v>791</v>
      </c>
      <c r="G73" s="45" t="s">
        <v>793</v>
      </c>
      <c r="H73" s="45">
        <v>0</v>
      </c>
      <c r="I73" s="46">
        <f t="shared" si="1"/>
        <v>0</v>
      </c>
    </row>
    <row r="74" spans="1:9" x14ac:dyDescent="0.15">
      <c r="A74" s="45">
        <v>106534</v>
      </c>
      <c r="B74" s="45" t="s">
        <v>661</v>
      </c>
      <c r="C74" s="45" t="s">
        <v>794</v>
      </c>
      <c r="D74" s="45" t="s">
        <v>685</v>
      </c>
      <c r="E74" s="45" t="s">
        <v>790</v>
      </c>
      <c r="F74" s="45" t="s">
        <v>791</v>
      </c>
      <c r="G74" s="45" t="s">
        <v>795</v>
      </c>
      <c r="H74" s="45">
        <v>5</v>
      </c>
      <c r="I74" s="46">
        <f t="shared" si="1"/>
        <v>125</v>
      </c>
    </row>
    <row r="75" spans="1:9" x14ac:dyDescent="0.15">
      <c r="A75" s="45">
        <v>106680</v>
      </c>
      <c r="B75" s="45" t="s">
        <v>661</v>
      </c>
      <c r="C75" s="45" t="s">
        <v>684</v>
      </c>
      <c r="D75" s="45" t="s">
        <v>685</v>
      </c>
      <c r="E75" s="45" t="s">
        <v>790</v>
      </c>
      <c r="F75" s="45" t="s">
        <v>791</v>
      </c>
      <c r="G75" s="45" t="s">
        <v>796</v>
      </c>
      <c r="H75" s="45">
        <v>3</v>
      </c>
      <c r="I75" s="46">
        <f t="shared" si="1"/>
        <v>75</v>
      </c>
    </row>
    <row r="76" spans="1:9" x14ac:dyDescent="0.15">
      <c r="A76" s="45">
        <v>106705</v>
      </c>
      <c r="B76" s="45" t="s">
        <v>661</v>
      </c>
      <c r="C76" s="45" t="s">
        <v>700</v>
      </c>
      <c r="D76" s="45" t="s">
        <v>663</v>
      </c>
      <c r="E76" s="45" t="s">
        <v>790</v>
      </c>
      <c r="F76" s="45" t="s">
        <v>791</v>
      </c>
      <c r="G76" s="45" t="s">
        <v>797</v>
      </c>
      <c r="H76" s="45">
        <v>0</v>
      </c>
      <c r="I76" s="46">
        <f t="shared" si="1"/>
        <v>0</v>
      </c>
    </row>
    <row r="77" spans="1:9" x14ac:dyDescent="0.15">
      <c r="A77" s="45">
        <v>105887</v>
      </c>
      <c r="B77" s="45" t="s">
        <v>661</v>
      </c>
      <c r="C77" s="45" t="s">
        <v>671</v>
      </c>
      <c r="D77" s="45" t="s">
        <v>663</v>
      </c>
      <c r="E77" s="45" t="s">
        <v>790</v>
      </c>
      <c r="F77" s="45" t="s">
        <v>791</v>
      </c>
      <c r="G77" s="45" t="s">
        <v>798</v>
      </c>
      <c r="H77" s="45">
        <v>0</v>
      </c>
      <c r="I77" s="46">
        <f t="shared" si="1"/>
        <v>0</v>
      </c>
    </row>
    <row r="78" spans="1:9" x14ac:dyDescent="0.15">
      <c r="A78" s="45">
        <v>106950</v>
      </c>
      <c r="B78" s="45" t="s">
        <v>661</v>
      </c>
      <c r="C78" s="45" t="s">
        <v>671</v>
      </c>
      <c r="D78" s="45" t="s">
        <v>663</v>
      </c>
      <c r="E78" s="45" t="s">
        <v>790</v>
      </c>
      <c r="F78" s="45" t="s">
        <v>791</v>
      </c>
      <c r="G78" s="45" t="s">
        <v>799</v>
      </c>
      <c r="H78" s="45">
        <v>5</v>
      </c>
      <c r="I78" s="46">
        <f t="shared" si="1"/>
        <v>125</v>
      </c>
    </row>
    <row r="79" spans="1:9" x14ac:dyDescent="0.15">
      <c r="A79" s="45">
        <v>107057</v>
      </c>
      <c r="B79" s="45" t="s">
        <v>673</v>
      </c>
      <c r="C79" s="45" t="s">
        <v>674</v>
      </c>
      <c r="D79" s="45" t="s">
        <v>675</v>
      </c>
      <c r="E79" s="45" t="s">
        <v>790</v>
      </c>
      <c r="F79" s="45" t="s">
        <v>791</v>
      </c>
      <c r="G79" s="45" t="s">
        <v>800</v>
      </c>
      <c r="H79" s="45">
        <v>3</v>
      </c>
      <c r="I79" s="46">
        <f t="shared" si="1"/>
        <v>75</v>
      </c>
    </row>
    <row r="80" spans="1:9" x14ac:dyDescent="0.15">
      <c r="A80" s="45">
        <v>107784</v>
      </c>
      <c r="B80" s="45" t="s">
        <v>661</v>
      </c>
      <c r="C80" s="45" t="s">
        <v>698</v>
      </c>
      <c r="D80" s="45" t="s">
        <v>675</v>
      </c>
      <c r="E80" s="45" t="s">
        <v>790</v>
      </c>
      <c r="F80" s="45" t="s">
        <v>791</v>
      </c>
      <c r="G80" s="45" t="s">
        <v>801</v>
      </c>
      <c r="H80" s="45">
        <v>4</v>
      </c>
      <c r="I80" s="46">
        <f t="shared" si="1"/>
        <v>100</v>
      </c>
    </row>
    <row r="81" spans="1:9" x14ac:dyDescent="0.15">
      <c r="A81" s="45">
        <v>109797</v>
      </c>
      <c r="B81" s="45" t="s">
        <v>661</v>
      </c>
      <c r="C81" s="45" t="s">
        <v>700</v>
      </c>
      <c r="D81" s="45" t="s">
        <v>663</v>
      </c>
      <c r="E81" s="45" t="s">
        <v>790</v>
      </c>
      <c r="F81" s="45" t="s">
        <v>791</v>
      </c>
      <c r="G81" s="45" t="s">
        <v>802</v>
      </c>
      <c r="H81" s="45">
        <v>3</v>
      </c>
      <c r="I81" s="46">
        <f t="shared" si="1"/>
        <v>75</v>
      </c>
    </row>
    <row r="82" spans="1:9" x14ac:dyDescent="0.15">
      <c r="A82" s="45">
        <v>109895</v>
      </c>
      <c r="B82" s="45" t="s">
        <v>661</v>
      </c>
      <c r="C82" s="45" t="s">
        <v>700</v>
      </c>
      <c r="D82" s="45" t="s">
        <v>663</v>
      </c>
      <c r="E82" s="45" t="s">
        <v>790</v>
      </c>
      <c r="F82" s="45" t="s">
        <v>791</v>
      </c>
      <c r="G82" s="45" t="s">
        <v>803</v>
      </c>
      <c r="H82" s="45">
        <v>3</v>
      </c>
      <c r="I82" s="46">
        <f t="shared" si="1"/>
        <v>75</v>
      </c>
    </row>
    <row r="83" spans="1:9" x14ac:dyDescent="0.15">
      <c r="A83" s="45">
        <v>109995</v>
      </c>
      <c r="B83" s="45" t="s">
        <v>661</v>
      </c>
      <c r="C83" s="45" t="s">
        <v>700</v>
      </c>
      <c r="D83" s="45" t="s">
        <v>663</v>
      </c>
      <c r="E83" s="45" t="s">
        <v>790</v>
      </c>
      <c r="F83" s="45" t="s">
        <v>791</v>
      </c>
      <c r="G83" s="45" t="s">
        <v>804</v>
      </c>
      <c r="H83" s="45">
        <v>0</v>
      </c>
      <c r="I83" s="46">
        <f t="shared" si="1"/>
        <v>0</v>
      </c>
    </row>
    <row r="84" spans="1:9" x14ac:dyDescent="0.15">
      <c r="A84" s="45">
        <v>110081</v>
      </c>
      <c r="B84" s="45" t="s">
        <v>661</v>
      </c>
      <c r="C84" s="45" t="s">
        <v>662</v>
      </c>
      <c r="D84" s="45" t="s">
        <v>663</v>
      </c>
      <c r="E84" s="45" t="s">
        <v>790</v>
      </c>
      <c r="F84" s="45" t="s">
        <v>791</v>
      </c>
      <c r="G84" s="45" t="s">
        <v>805</v>
      </c>
      <c r="H84" s="45">
        <v>4</v>
      </c>
      <c r="I84" s="46">
        <f t="shared" si="1"/>
        <v>100</v>
      </c>
    </row>
    <row r="85" spans="1:9" x14ac:dyDescent="0.15">
      <c r="A85" s="45">
        <v>108363</v>
      </c>
      <c r="B85" s="45" t="s">
        <v>661</v>
      </c>
      <c r="C85" s="45" t="s">
        <v>806</v>
      </c>
      <c r="D85" s="45" t="s">
        <v>685</v>
      </c>
      <c r="E85" s="45" t="s">
        <v>807</v>
      </c>
      <c r="F85" s="45" t="s">
        <v>808</v>
      </c>
      <c r="G85" s="45" t="s">
        <v>809</v>
      </c>
      <c r="H85" s="45">
        <v>4</v>
      </c>
      <c r="I85" s="46">
        <f t="shared" si="1"/>
        <v>100</v>
      </c>
    </row>
    <row r="86" spans="1:9" x14ac:dyDescent="0.15">
      <c r="A86" s="45">
        <v>108032</v>
      </c>
      <c r="B86" s="45" t="s">
        <v>673</v>
      </c>
      <c r="C86" s="45" t="s">
        <v>674</v>
      </c>
      <c r="D86" s="45" t="s">
        <v>675</v>
      </c>
      <c r="E86" s="45" t="s">
        <v>810</v>
      </c>
      <c r="F86" s="45" t="s">
        <v>811</v>
      </c>
      <c r="G86" s="45" t="s">
        <v>812</v>
      </c>
      <c r="H86" s="45">
        <v>4</v>
      </c>
      <c r="I86" s="46">
        <f t="shared" si="1"/>
        <v>100</v>
      </c>
    </row>
    <row r="87" spans="1:9" x14ac:dyDescent="0.15">
      <c r="A87" s="45">
        <v>106073</v>
      </c>
      <c r="B87" s="45" t="s">
        <v>661</v>
      </c>
      <c r="C87" s="45" t="s">
        <v>698</v>
      </c>
      <c r="D87" s="45" t="s">
        <v>675</v>
      </c>
      <c r="E87" s="45" t="s">
        <v>813</v>
      </c>
      <c r="F87" s="45" t="s">
        <v>814</v>
      </c>
      <c r="G87" s="45" t="s">
        <v>815</v>
      </c>
      <c r="H87" s="45">
        <v>6</v>
      </c>
      <c r="I87" s="46">
        <f t="shared" si="1"/>
        <v>150</v>
      </c>
    </row>
    <row r="88" spans="1:9" x14ac:dyDescent="0.15">
      <c r="A88" s="45">
        <v>107119</v>
      </c>
      <c r="B88" s="45" t="s">
        <v>661</v>
      </c>
      <c r="C88" s="45" t="s">
        <v>684</v>
      </c>
      <c r="D88" s="45" t="s">
        <v>685</v>
      </c>
      <c r="E88" s="45" t="s">
        <v>813</v>
      </c>
      <c r="F88" s="45" t="s">
        <v>814</v>
      </c>
      <c r="G88" s="45" t="s">
        <v>816</v>
      </c>
      <c r="H88" s="45">
        <v>5</v>
      </c>
      <c r="I88" s="46">
        <f t="shared" si="1"/>
        <v>125</v>
      </c>
    </row>
    <row r="89" spans="1:9" x14ac:dyDescent="0.15">
      <c r="A89" s="45">
        <v>106355</v>
      </c>
      <c r="B89" s="45" t="s">
        <v>661</v>
      </c>
      <c r="C89" s="45" t="s">
        <v>806</v>
      </c>
      <c r="D89" s="45" t="s">
        <v>685</v>
      </c>
      <c r="E89" s="45" t="s">
        <v>817</v>
      </c>
      <c r="F89" s="45" t="s">
        <v>818</v>
      </c>
      <c r="G89" s="45" t="s">
        <v>819</v>
      </c>
      <c r="H89" s="45">
        <v>5</v>
      </c>
      <c r="I89" s="46">
        <f t="shared" si="1"/>
        <v>125</v>
      </c>
    </row>
    <row r="90" spans="1:9" x14ac:dyDescent="0.15">
      <c r="A90" s="45">
        <v>106596</v>
      </c>
      <c r="B90" s="45" t="s">
        <v>673</v>
      </c>
      <c r="C90" s="45" t="s">
        <v>820</v>
      </c>
      <c r="D90" s="45" t="s">
        <v>685</v>
      </c>
      <c r="E90" s="45" t="s">
        <v>817</v>
      </c>
      <c r="F90" s="45" t="s">
        <v>818</v>
      </c>
      <c r="G90" s="45" t="s">
        <v>821</v>
      </c>
      <c r="H90" s="45">
        <v>3</v>
      </c>
      <c r="I90" s="46">
        <f t="shared" si="1"/>
        <v>75</v>
      </c>
    </row>
    <row r="91" spans="1:9" x14ac:dyDescent="0.15">
      <c r="A91" s="45">
        <v>107344</v>
      </c>
      <c r="B91" s="45" t="s">
        <v>673</v>
      </c>
      <c r="C91" s="45" t="s">
        <v>674</v>
      </c>
      <c r="D91" s="45" t="s">
        <v>675</v>
      </c>
      <c r="E91" s="45" t="s">
        <v>817</v>
      </c>
      <c r="F91" s="45" t="s">
        <v>818</v>
      </c>
      <c r="G91" s="45" t="s">
        <v>822</v>
      </c>
      <c r="H91" s="45">
        <v>3</v>
      </c>
      <c r="I91" s="46">
        <f t="shared" si="1"/>
        <v>75</v>
      </c>
    </row>
    <row r="92" spans="1:9" x14ac:dyDescent="0.15">
      <c r="A92" s="45">
        <v>107442</v>
      </c>
      <c r="B92" s="45" t="s">
        <v>661</v>
      </c>
      <c r="C92" s="45" t="s">
        <v>684</v>
      </c>
      <c r="D92" s="45" t="s">
        <v>685</v>
      </c>
      <c r="E92" s="45" t="s">
        <v>817</v>
      </c>
      <c r="F92" s="45" t="s">
        <v>818</v>
      </c>
      <c r="G92" s="45" t="s">
        <v>823</v>
      </c>
      <c r="H92" s="45">
        <v>4</v>
      </c>
      <c r="I92" s="46">
        <f t="shared" si="1"/>
        <v>100</v>
      </c>
    </row>
    <row r="93" spans="1:9" x14ac:dyDescent="0.15">
      <c r="A93" s="45">
        <v>107444</v>
      </c>
      <c r="B93" s="45" t="s">
        <v>673</v>
      </c>
      <c r="C93" s="45" t="s">
        <v>674</v>
      </c>
      <c r="D93" s="45" t="s">
        <v>675</v>
      </c>
      <c r="E93" s="45" t="s">
        <v>817</v>
      </c>
      <c r="F93" s="45" t="s">
        <v>818</v>
      </c>
      <c r="G93" s="45" t="s">
        <v>824</v>
      </c>
      <c r="H93" s="45">
        <v>1</v>
      </c>
      <c r="I93" s="46">
        <f t="shared" si="1"/>
        <v>25</v>
      </c>
    </row>
    <row r="94" spans="1:9" x14ac:dyDescent="0.15">
      <c r="A94" s="45">
        <v>108414</v>
      </c>
      <c r="B94" s="45" t="s">
        <v>661</v>
      </c>
      <c r="C94" s="45" t="s">
        <v>700</v>
      </c>
      <c r="D94" s="45" t="s">
        <v>663</v>
      </c>
      <c r="E94" s="45" t="s">
        <v>817</v>
      </c>
      <c r="F94" s="45" t="s">
        <v>818</v>
      </c>
      <c r="G94" s="45" t="s">
        <v>825</v>
      </c>
      <c r="H94" s="45">
        <v>4</v>
      </c>
      <c r="I94" s="46">
        <f t="shared" si="1"/>
        <v>100</v>
      </c>
    </row>
    <row r="95" spans="1:9" x14ac:dyDescent="0.15">
      <c r="A95" s="45">
        <v>106752</v>
      </c>
      <c r="B95" s="45" t="s">
        <v>661</v>
      </c>
      <c r="C95" s="45" t="s">
        <v>662</v>
      </c>
      <c r="D95" s="45" t="s">
        <v>663</v>
      </c>
      <c r="E95" s="45" t="s">
        <v>826</v>
      </c>
      <c r="F95" s="45" t="s">
        <v>827</v>
      </c>
      <c r="G95" s="45" t="s">
        <v>828</v>
      </c>
      <c r="H95" s="45">
        <v>2</v>
      </c>
      <c r="I95" s="46">
        <f t="shared" si="1"/>
        <v>50</v>
      </c>
    </row>
    <row r="96" spans="1:9" x14ac:dyDescent="0.15">
      <c r="A96" s="45">
        <v>106928</v>
      </c>
      <c r="B96" s="45" t="s">
        <v>661</v>
      </c>
      <c r="C96" s="45" t="s">
        <v>694</v>
      </c>
      <c r="D96" s="45" t="s">
        <v>685</v>
      </c>
      <c r="E96" s="45" t="s">
        <v>826</v>
      </c>
      <c r="F96" s="45" t="s">
        <v>827</v>
      </c>
      <c r="G96" s="45" t="s">
        <v>829</v>
      </c>
      <c r="H96" s="45">
        <v>0</v>
      </c>
      <c r="I96" s="46">
        <f t="shared" si="1"/>
        <v>0</v>
      </c>
    </row>
    <row r="97" spans="1:9" x14ac:dyDescent="0.15">
      <c r="A97" s="45">
        <v>107849</v>
      </c>
      <c r="B97" s="45" t="s">
        <v>673</v>
      </c>
      <c r="C97" s="45" t="s">
        <v>674</v>
      </c>
      <c r="D97" s="45" t="s">
        <v>675</v>
      </c>
      <c r="E97" s="45" t="s">
        <v>826</v>
      </c>
      <c r="F97" s="45" t="s">
        <v>827</v>
      </c>
      <c r="G97" s="45" t="s">
        <v>830</v>
      </c>
      <c r="H97" s="45">
        <v>0</v>
      </c>
      <c r="I97" s="46">
        <f t="shared" si="1"/>
        <v>0</v>
      </c>
    </row>
    <row r="98" spans="1:9" x14ac:dyDescent="0.15">
      <c r="A98" s="45">
        <v>110003</v>
      </c>
      <c r="B98" s="45" t="s">
        <v>661</v>
      </c>
      <c r="C98" s="45" t="s">
        <v>745</v>
      </c>
      <c r="D98" s="45" t="s">
        <v>685</v>
      </c>
      <c r="E98" s="45" t="s">
        <v>826</v>
      </c>
      <c r="F98" s="45" t="s">
        <v>827</v>
      </c>
      <c r="G98" s="45" t="s">
        <v>831</v>
      </c>
      <c r="H98" s="45">
        <v>0</v>
      </c>
      <c r="I98" s="46">
        <f t="shared" si="1"/>
        <v>0</v>
      </c>
    </row>
    <row r="99" spans="1:9" x14ac:dyDescent="0.15">
      <c r="A99" s="45">
        <v>105896</v>
      </c>
      <c r="B99" s="45" t="s">
        <v>661</v>
      </c>
      <c r="C99" s="45" t="s">
        <v>694</v>
      </c>
      <c r="D99" s="45" t="s">
        <v>685</v>
      </c>
      <c r="E99" s="45" t="s">
        <v>832</v>
      </c>
      <c r="F99" s="45" t="s">
        <v>833</v>
      </c>
      <c r="G99" s="45" t="s">
        <v>834</v>
      </c>
      <c r="H99" s="45">
        <v>4</v>
      </c>
      <c r="I99" s="46">
        <f t="shared" si="1"/>
        <v>100</v>
      </c>
    </row>
    <row r="100" spans="1:9" x14ac:dyDescent="0.15">
      <c r="A100" s="45">
        <v>106588</v>
      </c>
      <c r="B100" s="45" t="s">
        <v>661</v>
      </c>
      <c r="C100" s="45" t="s">
        <v>719</v>
      </c>
      <c r="D100" s="45" t="s">
        <v>663</v>
      </c>
      <c r="E100" s="45" t="s">
        <v>832</v>
      </c>
      <c r="F100" s="45" t="s">
        <v>833</v>
      </c>
      <c r="G100" s="45" t="s">
        <v>835</v>
      </c>
      <c r="H100" s="45">
        <v>3</v>
      </c>
      <c r="I100" s="46">
        <f t="shared" si="1"/>
        <v>75</v>
      </c>
    </row>
    <row r="101" spans="1:9" x14ac:dyDescent="0.15">
      <c r="A101" s="45">
        <v>107343</v>
      </c>
      <c r="B101" s="45" t="s">
        <v>661</v>
      </c>
      <c r="C101" s="45" t="s">
        <v>671</v>
      </c>
      <c r="D101" s="45" t="s">
        <v>663</v>
      </c>
      <c r="E101" s="45" t="s">
        <v>832</v>
      </c>
      <c r="F101" s="45" t="s">
        <v>833</v>
      </c>
      <c r="G101" s="45" t="s">
        <v>836</v>
      </c>
      <c r="H101" s="45">
        <v>5</v>
      </c>
      <c r="I101" s="46">
        <f t="shared" si="1"/>
        <v>125</v>
      </c>
    </row>
    <row r="102" spans="1:9" x14ac:dyDescent="0.15">
      <c r="A102" s="45">
        <v>107699</v>
      </c>
      <c r="B102" s="45" t="s">
        <v>661</v>
      </c>
      <c r="C102" s="45" t="s">
        <v>671</v>
      </c>
      <c r="D102" s="45" t="s">
        <v>663</v>
      </c>
      <c r="E102" s="45" t="s">
        <v>832</v>
      </c>
      <c r="F102" s="45" t="s">
        <v>833</v>
      </c>
      <c r="G102" s="45" t="s">
        <v>837</v>
      </c>
      <c r="H102" s="45">
        <v>3</v>
      </c>
      <c r="I102" s="46">
        <f t="shared" si="1"/>
        <v>75</v>
      </c>
    </row>
    <row r="103" spans="1:9" x14ac:dyDescent="0.15">
      <c r="A103" s="45">
        <v>107804</v>
      </c>
      <c r="B103" s="45" t="s">
        <v>661</v>
      </c>
      <c r="C103" s="45" t="s">
        <v>662</v>
      </c>
      <c r="D103" s="45" t="s">
        <v>663</v>
      </c>
      <c r="E103" s="45" t="s">
        <v>832</v>
      </c>
      <c r="F103" s="45" t="s">
        <v>833</v>
      </c>
      <c r="G103" s="45" t="s">
        <v>838</v>
      </c>
      <c r="H103" s="45">
        <v>3</v>
      </c>
      <c r="I103" s="46">
        <f t="shared" si="1"/>
        <v>75</v>
      </c>
    </row>
    <row r="104" spans="1:9" x14ac:dyDescent="0.15">
      <c r="A104" s="45">
        <v>108455</v>
      </c>
      <c r="B104" s="45" t="s">
        <v>661</v>
      </c>
      <c r="C104" s="45" t="s">
        <v>719</v>
      </c>
      <c r="D104" s="45" t="s">
        <v>663</v>
      </c>
      <c r="E104" s="45" t="s">
        <v>832</v>
      </c>
      <c r="F104" s="45" t="s">
        <v>833</v>
      </c>
      <c r="G104" s="45" t="s">
        <v>839</v>
      </c>
      <c r="H104" s="45">
        <v>0</v>
      </c>
      <c r="I104" s="46">
        <f t="shared" si="1"/>
        <v>0</v>
      </c>
    </row>
    <row r="105" spans="1:9" x14ac:dyDescent="0.15">
      <c r="A105" s="45">
        <v>106675</v>
      </c>
      <c r="B105" s="45" t="s">
        <v>840</v>
      </c>
      <c r="C105" s="45" t="s">
        <v>841</v>
      </c>
      <c r="D105" s="45" t="s">
        <v>663</v>
      </c>
      <c r="E105" s="45" t="s">
        <v>842</v>
      </c>
      <c r="F105" s="45" t="s">
        <v>843</v>
      </c>
      <c r="G105" s="45" t="s">
        <v>844</v>
      </c>
      <c r="H105" s="45">
        <v>3</v>
      </c>
      <c r="I105" s="46">
        <f t="shared" si="1"/>
        <v>75</v>
      </c>
    </row>
    <row r="106" spans="1:9" x14ac:dyDescent="0.15">
      <c r="A106" s="45">
        <v>106735</v>
      </c>
      <c r="B106" s="45" t="s">
        <v>840</v>
      </c>
      <c r="C106" s="45" t="s">
        <v>700</v>
      </c>
      <c r="D106" s="45" t="s">
        <v>663</v>
      </c>
      <c r="E106" s="45" t="s">
        <v>842</v>
      </c>
      <c r="F106" s="45" t="s">
        <v>843</v>
      </c>
      <c r="G106" s="45" t="s">
        <v>845</v>
      </c>
      <c r="H106" s="45">
        <v>3</v>
      </c>
      <c r="I106" s="46">
        <f t="shared" si="1"/>
        <v>75</v>
      </c>
    </row>
    <row r="107" spans="1:9" x14ac:dyDescent="0.15">
      <c r="A107" s="45">
        <v>110116</v>
      </c>
      <c r="B107" s="45" t="s">
        <v>661</v>
      </c>
      <c r="C107" s="45" t="s">
        <v>662</v>
      </c>
      <c r="D107" s="45" t="s">
        <v>663</v>
      </c>
      <c r="E107" s="45" t="s">
        <v>842</v>
      </c>
      <c r="F107" s="45" t="s">
        <v>843</v>
      </c>
      <c r="G107" s="45" t="s">
        <v>846</v>
      </c>
      <c r="H107" s="45">
        <v>0</v>
      </c>
      <c r="I107" s="46">
        <f t="shared" si="1"/>
        <v>0</v>
      </c>
    </row>
    <row r="108" spans="1:9" x14ac:dyDescent="0.15">
      <c r="A108" s="45">
        <v>105235</v>
      </c>
      <c r="B108" s="45" t="s">
        <v>661</v>
      </c>
      <c r="C108" s="45" t="s">
        <v>662</v>
      </c>
      <c r="D108" s="45" t="s">
        <v>663</v>
      </c>
      <c r="E108" s="45" t="s">
        <v>847</v>
      </c>
      <c r="F108" s="45" t="s">
        <v>848</v>
      </c>
      <c r="G108" s="45" t="s">
        <v>849</v>
      </c>
      <c r="H108" s="45">
        <v>0</v>
      </c>
      <c r="I108" s="46">
        <f t="shared" si="1"/>
        <v>0</v>
      </c>
    </row>
    <row r="109" spans="1:9" x14ac:dyDescent="0.15">
      <c r="A109" s="45">
        <v>105400</v>
      </c>
      <c r="B109" s="45" t="s">
        <v>661</v>
      </c>
      <c r="C109" s="45" t="s">
        <v>662</v>
      </c>
      <c r="D109" s="45" t="s">
        <v>663</v>
      </c>
      <c r="E109" s="45" t="s">
        <v>847</v>
      </c>
      <c r="F109" s="45" t="s">
        <v>848</v>
      </c>
      <c r="G109" s="45" t="s">
        <v>850</v>
      </c>
      <c r="H109" s="45">
        <v>0</v>
      </c>
      <c r="I109" s="46">
        <f t="shared" si="1"/>
        <v>0</v>
      </c>
    </row>
    <row r="110" spans="1:9" x14ac:dyDescent="0.15">
      <c r="A110" s="45">
        <v>105399</v>
      </c>
      <c r="B110" s="45" t="s">
        <v>661</v>
      </c>
      <c r="C110" s="45" t="s">
        <v>806</v>
      </c>
      <c r="D110" s="45" t="s">
        <v>685</v>
      </c>
      <c r="E110" s="45" t="s">
        <v>847</v>
      </c>
      <c r="F110" s="45" t="s">
        <v>848</v>
      </c>
      <c r="G110" s="45" t="s">
        <v>851</v>
      </c>
      <c r="H110" s="45">
        <v>8</v>
      </c>
      <c r="I110" s="46">
        <f t="shared" si="1"/>
        <v>200</v>
      </c>
    </row>
    <row r="111" spans="1:9" x14ac:dyDescent="0.15">
      <c r="A111" s="45">
        <v>105898</v>
      </c>
      <c r="B111" s="45" t="s">
        <v>661</v>
      </c>
      <c r="C111" s="45" t="s">
        <v>662</v>
      </c>
      <c r="D111" s="45" t="s">
        <v>663</v>
      </c>
      <c r="E111" s="45" t="s">
        <v>847</v>
      </c>
      <c r="F111" s="45" t="s">
        <v>848</v>
      </c>
      <c r="G111" s="45" t="s">
        <v>852</v>
      </c>
      <c r="H111" s="45">
        <v>5</v>
      </c>
      <c r="I111" s="46">
        <f t="shared" si="1"/>
        <v>125</v>
      </c>
    </row>
    <row r="112" spans="1:9" x14ac:dyDescent="0.15">
      <c r="A112" s="45">
        <v>106965</v>
      </c>
      <c r="B112" s="45" t="s">
        <v>661</v>
      </c>
      <c r="C112" s="45" t="s">
        <v>662</v>
      </c>
      <c r="D112" s="45" t="s">
        <v>663</v>
      </c>
      <c r="E112" s="45" t="s">
        <v>847</v>
      </c>
      <c r="F112" s="45" t="s">
        <v>848</v>
      </c>
      <c r="G112" s="45" t="s">
        <v>853</v>
      </c>
      <c r="H112" s="45">
        <v>5</v>
      </c>
      <c r="I112" s="46">
        <f t="shared" si="1"/>
        <v>125</v>
      </c>
    </row>
    <row r="113" spans="1:9" x14ac:dyDescent="0.15">
      <c r="A113" s="45">
        <v>107303</v>
      </c>
      <c r="B113" s="45" t="s">
        <v>661</v>
      </c>
      <c r="C113" s="45" t="s">
        <v>662</v>
      </c>
      <c r="D113" s="45" t="s">
        <v>663</v>
      </c>
      <c r="E113" s="45" t="s">
        <v>847</v>
      </c>
      <c r="F113" s="45" t="s">
        <v>848</v>
      </c>
      <c r="G113" s="45" t="s">
        <v>854</v>
      </c>
      <c r="H113" s="45">
        <v>5</v>
      </c>
      <c r="I113" s="46">
        <f t="shared" si="1"/>
        <v>125</v>
      </c>
    </row>
    <row r="114" spans="1:9" x14ac:dyDescent="0.15">
      <c r="A114" s="45">
        <v>107428</v>
      </c>
      <c r="B114" s="45" t="s">
        <v>673</v>
      </c>
      <c r="C114" s="45" t="s">
        <v>674</v>
      </c>
      <c r="D114" s="45" t="s">
        <v>675</v>
      </c>
      <c r="E114" s="45" t="s">
        <v>847</v>
      </c>
      <c r="F114" s="45" t="s">
        <v>848</v>
      </c>
      <c r="G114" s="45" t="s">
        <v>855</v>
      </c>
      <c r="H114" s="45">
        <v>0</v>
      </c>
      <c r="I114" s="46">
        <f t="shared" si="1"/>
        <v>0</v>
      </c>
    </row>
    <row r="115" spans="1:9" x14ac:dyDescent="0.15">
      <c r="A115" s="45">
        <v>106171</v>
      </c>
      <c r="B115" s="45" t="s">
        <v>661</v>
      </c>
      <c r="C115" s="45" t="s">
        <v>700</v>
      </c>
      <c r="D115" s="45" t="s">
        <v>663</v>
      </c>
      <c r="E115" s="45" t="s">
        <v>856</v>
      </c>
      <c r="F115" s="45" t="s">
        <v>857</v>
      </c>
      <c r="G115" s="45" t="s">
        <v>858</v>
      </c>
      <c r="H115" s="45">
        <v>3</v>
      </c>
      <c r="I115" s="46">
        <f t="shared" si="1"/>
        <v>75</v>
      </c>
    </row>
    <row r="116" spans="1:9" x14ac:dyDescent="0.15">
      <c r="A116" s="45">
        <v>106241</v>
      </c>
      <c r="B116" s="45" t="s">
        <v>661</v>
      </c>
      <c r="C116" s="45" t="s">
        <v>794</v>
      </c>
      <c r="D116" s="45" t="s">
        <v>685</v>
      </c>
      <c r="E116" s="45" t="s">
        <v>856</v>
      </c>
      <c r="F116" s="45" t="s">
        <v>857</v>
      </c>
      <c r="G116" s="45" t="s">
        <v>859</v>
      </c>
      <c r="H116" s="45">
        <v>2</v>
      </c>
      <c r="I116" s="46">
        <f t="shared" si="1"/>
        <v>50</v>
      </c>
    </row>
    <row r="117" spans="1:9" x14ac:dyDescent="0.15">
      <c r="A117" s="45">
        <v>109527</v>
      </c>
      <c r="B117" s="45" t="s">
        <v>661</v>
      </c>
      <c r="C117" s="45" t="s">
        <v>700</v>
      </c>
      <c r="D117" s="45" t="s">
        <v>663</v>
      </c>
      <c r="E117" s="45" t="s">
        <v>856</v>
      </c>
      <c r="F117" s="45" t="s">
        <v>857</v>
      </c>
      <c r="G117" s="45" t="s">
        <v>860</v>
      </c>
      <c r="H117" s="45">
        <v>3</v>
      </c>
      <c r="I117" s="46">
        <f t="shared" si="1"/>
        <v>75</v>
      </c>
    </row>
    <row r="118" spans="1:9" x14ac:dyDescent="0.15">
      <c r="A118" s="45">
        <v>109994</v>
      </c>
      <c r="B118" s="45" t="s">
        <v>661</v>
      </c>
      <c r="C118" s="45" t="s">
        <v>700</v>
      </c>
      <c r="D118" s="45" t="s">
        <v>663</v>
      </c>
      <c r="E118" s="45" t="s">
        <v>856</v>
      </c>
      <c r="F118" s="45" t="s">
        <v>857</v>
      </c>
      <c r="G118" s="45" t="s">
        <v>861</v>
      </c>
      <c r="H118" s="45">
        <v>3</v>
      </c>
      <c r="I118" s="46">
        <f t="shared" si="1"/>
        <v>75</v>
      </c>
    </row>
    <row r="119" spans="1:9" x14ac:dyDescent="0.15">
      <c r="A119" s="45">
        <v>110076</v>
      </c>
      <c r="B119" s="45" t="s">
        <v>661</v>
      </c>
      <c r="C119" s="45" t="s">
        <v>669</v>
      </c>
      <c r="D119" s="45" t="s">
        <v>663</v>
      </c>
      <c r="E119" s="45" t="s">
        <v>856</v>
      </c>
      <c r="F119" s="45" t="s">
        <v>857</v>
      </c>
      <c r="G119" s="45" t="s">
        <v>862</v>
      </c>
      <c r="H119" s="45">
        <v>0</v>
      </c>
      <c r="I119" s="46">
        <f t="shared" si="1"/>
        <v>0</v>
      </c>
    </row>
    <row r="120" spans="1:9" x14ac:dyDescent="0.15">
      <c r="A120" s="45">
        <v>106678</v>
      </c>
      <c r="B120" s="45" t="s">
        <v>661</v>
      </c>
      <c r="C120" s="45" t="s">
        <v>698</v>
      </c>
      <c r="D120" s="45" t="s">
        <v>675</v>
      </c>
      <c r="E120" s="45" t="s">
        <v>863</v>
      </c>
      <c r="F120" s="45" t="s">
        <v>864</v>
      </c>
      <c r="G120" s="45" t="s">
        <v>865</v>
      </c>
      <c r="H120" s="45">
        <v>3</v>
      </c>
      <c r="I120" s="46">
        <f t="shared" si="1"/>
        <v>75</v>
      </c>
    </row>
    <row r="121" spans="1:9" x14ac:dyDescent="0.15">
      <c r="A121" s="45">
        <v>106866</v>
      </c>
      <c r="B121" s="45" t="s">
        <v>661</v>
      </c>
      <c r="C121" s="45" t="s">
        <v>700</v>
      </c>
      <c r="D121" s="45" t="s">
        <v>663</v>
      </c>
      <c r="E121" s="45" t="s">
        <v>863</v>
      </c>
      <c r="F121" s="45" t="s">
        <v>864</v>
      </c>
      <c r="G121" s="45" t="s">
        <v>866</v>
      </c>
      <c r="H121" s="45">
        <v>0</v>
      </c>
      <c r="I121" s="46">
        <f t="shared" si="1"/>
        <v>0</v>
      </c>
    </row>
    <row r="122" spans="1:9" x14ac:dyDescent="0.15">
      <c r="A122" s="45">
        <v>106865</v>
      </c>
      <c r="B122" s="45" t="s">
        <v>661</v>
      </c>
      <c r="C122" s="45" t="s">
        <v>867</v>
      </c>
      <c r="D122" s="45" t="s">
        <v>675</v>
      </c>
      <c r="E122" s="45" t="s">
        <v>863</v>
      </c>
      <c r="F122" s="45" t="s">
        <v>864</v>
      </c>
      <c r="G122" s="45" t="s">
        <v>868</v>
      </c>
      <c r="H122" s="45">
        <v>3</v>
      </c>
      <c r="I122" s="46">
        <f t="shared" si="1"/>
        <v>75</v>
      </c>
    </row>
    <row r="123" spans="1:9" x14ac:dyDescent="0.15">
      <c r="A123" s="45">
        <v>105236</v>
      </c>
      <c r="B123" s="45" t="s">
        <v>661</v>
      </c>
      <c r="C123" s="45" t="s">
        <v>698</v>
      </c>
      <c r="D123" s="45" t="s">
        <v>675</v>
      </c>
      <c r="E123" s="45" t="s">
        <v>869</v>
      </c>
      <c r="F123" s="45" t="s">
        <v>870</v>
      </c>
      <c r="G123" s="45" t="s">
        <v>871</v>
      </c>
      <c r="H123" s="45">
        <v>3</v>
      </c>
      <c r="I123" s="46">
        <f t="shared" si="1"/>
        <v>75</v>
      </c>
    </row>
    <row r="124" spans="1:9" x14ac:dyDescent="0.15">
      <c r="A124" s="45">
        <v>106597</v>
      </c>
      <c r="B124" s="45" t="s">
        <v>661</v>
      </c>
      <c r="C124" s="45" t="s">
        <v>768</v>
      </c>
      <c r="D124" s="45" t="s">
        <v>675</v>
      </c>
      <c r="E124" s="45" t="s">
        <v>869</v>
      </c>
      <c r="F124" s="45" t="s">
        <v>870</v>
      </c>
      <c r="G124" s="45" t="s">
        <v>872</v>
      </c>
      <c r="H124" s="45">
        <v>5</v>
      </c>
      <c r="I124" s="46">
        <f t="shared" si="1"/>
        <v>125</v>
      </c>
    </row>
    <row r="125" spans="1:9" x14ac:dyDescent="0.15">
      <c r="A125" s="45">
        <v>107341</v>
      </c>
      <c r="B125" s="45" t="s">
        <v>661</v>
      </c>
      <c r="C125" s="45" t="s">
        <v>698</v>
      </c>
      <c r="D125" s="45" t="s">
        <v>675</v>
      </c>
      <c r="E125" s="45" t="s">
        <v>869</v>
      </c>
      <c r="F125" s="45" t="s">
        <v>870</v>
      </c>
      <c r="G125" s="45" t="s">
        <v>873</v>
      </c>
      <c r="H125" s="45">
        <v>0</v>
      </c>
      <c r="I125" s="46">
        <f t="shared" si="1"/>
        <v>0</v>
      </c>
    </row>
    <row r="126" spans="1:9" x14ac:dyDescent="0.15">
      <c r="A126" s="45">
        <v>108330</v>
      </c>
      <c r="B126" s="45" t="s">
        <v>661</v>
      </c>
      <c r="C126" s="45" t="s">
        <v>698</v>
      </c>
      <c r="D126" s="45" t="s">
        <v>675</v>
      </c>
      <c r="E126" s="45" t="s">
        <v>869</v>
      </c>
      <c r="F126" s="45" t="s">
        <v>870</v>
      </c>
      <c r="G126" s="45" t="s">
        <v>874</v>
      </c>
      <c r="H126" s="45">
        <v>0</v>
      </c>
      <c r="I126" s="46">
        <f t="shared" si="1"/>
        <v>0</v>
      </c>
    </row>
    <row r="127" spans="1:9" x14ac:dyDescent="0.15">
      <c r="A127" s="45">
        <v>108111</v>
      </c>
      <c r="B127" s="45" t="s">
        <v>661</v>
      </c>
      <c r="C127" s="45" t="s">
        <v>768</v>
      </c>
      <c r="D127" s="45" t="s">
        <v>675</v>
      </c>
      <c r="E127" s="45" t="s">
        <v>869</v>
      </c>
      <c r="F127" s="45" t="s">
        <v>870</v>
      </c>
      <c r="G127" s="45" t="s">
        <v>875</v>
      </c>
      <c r="H127" s="45">
        <v>0</v>
      </c>
      <c r="I127" s="46">
        <f t="shared" si="1"/>
        <v>0</v>
      </c>
    </row>
    <row r="128" spans="1:9" x14ac:dyDescent="0.15">
      <c r="A128" s="45">
        <v>109022</v>
      </c>
      <c r="B128" s="45" t="s">
        <v>661</v>
      </c>
      <c r="C128" s="45" t="s">
        <v>698</v>
      </c>
      <c r="D128" s="45" t="s">
        <v>675</v>
      </c>
      <c r="E128" s="45" t="s">
        <v>869</v>
      </c>
      <c r="F128" s="45" t="s">
        <v>870</v>
      </c>
      <c r="G128" s="45" t="s">
        <v>876</v>
      </c>
      <c r="H128" s="45">
        <v>3</v>
      </c>
      <c r="I128" s="46">
        <f t="shared" si="1"/>
        <v>75</v>
      </c>
    </row>
    <row r="129" spans="1:9" x14ac:dyDescent="0.15">
      <c r="A129" s="45">
        <v>107824</v>
      </c>
      <c r="B129" s="45" t="s">
        <v>673</v>
      </c>
      <c r="C129" s="45" t="s">
        <v>674</v>
      </c>
      <c r="D129" s="45" t="s">
        <v>675</v>
      </c>
      <c r="E129" s="45" t="s">
        <v>877</v>
      </c>
      <c r="F129" s="45" t="s">
        <v>878</v>
      </c>
      <c r="G129" s="45" t="s">
        <v>879</v>
      </c>
      <c r="H129" s="45">
        <v>2</v>
      </c>
      <c r="I129" s="46">
        <f t="shared" si="1"/>
        <v>50</v>
      </c>
    </row>
    <row r="130" spans="1:9" x14ac:dyDescent="0.15">
      <c r="A130" s="45">
        <v>105811</v>
      </c>
      <c r="B130" s="45" t="s">
        <v>661</v>
      </c>
      <c r="C130" s="45" t="s">
        <v>662</v>
      </c>
      <c r="D130" s="45" t="s">
        <v>663</v>
      </c>
      <c r="E130" s="45" t="s">
        <v>880</v>
      </c>
      <c r="F130" s="45" t="s">
        <v>881</v>
      </c>
      <c r="G130" s="45" t="s">
        <v>882</v>
      </c>
      <c r="H130" s="45">
        <v>3</v>
      </c>
      <c r="I130" s="46">
        <f t="shared" ref="I130:I191" si="2">H130*25</f>
        <v>75</v>
      </c>
    </row>
    <row r="131" spans="1:9" x14ac:dyDescent="0.15">
      <c r="A131" s="45">
        <v>105888</v>
      </c>
      <c r="B131" s="45" t="s">
        <v>661</v>
      </c>
      <c r="C131" s="45" t="s">
        <v>662</v>
      </c>
      <c r="D131" s="45" t="s">
        <v>663</v>
      </c>
      <c r="E131" s="45" t="s">
        <v>880</v>
      </c>
      <c r="F131" s="45" t="s">
        <v>881</v>
      </c>
      <c r="G131" s="45" t="s">
        <v>883</v>
      </c>
      <c r="H131" s="45">
        <v>3</v>
      </c>
      <c r="I131" s="46">
        <f t="shared" si="2"/>
        <v>75</v>
      </c>
    </row>
    <row r="132" spans="1:9" x14ac:dyDescent="0.15">
      <c r="A132" s="45">
        <v>106032</v>
      </c>
      <c r="B132" s="45" t="s">
        <v>673</v>
      </c>
      <c r="C132" s="45" t="s">
        <v>884</v>
      </c>
      <c r="D132" s="45" t="s">
        <v>663</v>
      </c>
      <c r="E132" s="45" t="s">
        <v>880</v>
      </c>
      <c r="F132" s="45" t="s">
        <v>881</v>
      </c>
      <c r="G132" s="45" t="s">
        <v>885</v>
      </c>
      <c r="H132" s="45">
        <v>4</v>
      </c>
      <c r="I132" s="46">
        <f t="shared" si="2"/>
        <v>100</v>
      </c>
    </row>
    <row r="133" spans="1:9" x14ac:dyDescent="0.15">
      <c r="A133" s="45">
        <v>106399</v>
      </c>
      <c r="B133" s="45" t="s">
        <v>661</v>
      </c>
      <c r="C133" s="45" t="s">
        <v>662</v>
      </c>
      <c r="D133" s="45" t="s">
        <v>663</v>
      </c>
      <c r="E133" s="45" t="s">
        <v>880</v>
      </c>
      <c r="F133" s="45" t="s">
        <v>881</v>
      </c>
      <c r="G133" s="45" t="s">
        <v>886</v>
      </c>
      <c r="H133" s="45">
        <v>5</v>
      </c>
      <c r="I133" s="46">
        <f t="shared" si="2"/>
        <v>125</v>
      </c>
    </row>
    <row r="134" spans="1:9" x14ac:dyDescent="0.15">
      <c r="A134" s="45">
        <v>106962</v>
      </c>
      <c r="B134" s="45" t="s">
        <v>661</v>
      </c>
      <c r="C134" s="45" t="s">
        <v>684</v>
      </c>
      <c r="D134" s="45" t="s">
        <v>685</v>
      </c>
      <c r="E134" s="45" t="s">
        <v>880</v>
      </c>
      <c r="F134" s="45" t="s">
        <v>881</v>
      </c>
      <c r="G134" s="45" t="s">
        <v>887</v>
      </c>
      <c r="H134" s="45">
        <v>3</v>
      </c>
      <c r="I134" s="46">
        <f t="shared" si="2"/>
        <v>75</v>
      </c>
    </row>
    <row r="135" spans="1:9" x14ac:dyDescent="0.15">
      <c r="A135" s="45">
        <v>108087</v>
      </c>
      <c r="B135" s="45" t="s">
        <v>661</v>
      </c>
      <c r="C135" s="45" t="s">
        <v>662</v>
      </c>
      <c r="D135" s="45" t="s">
        <v>663</v>
      </c>
      <c r="E135" s="45" t="s">
        <v>880</v>
      </c>
      <c r="F135" s="45" t="s">
        <v>881</v>
      </c>
      <c r="G135" s="45" t="s">
        <v>888</v>
      </c>
      <c r="H135" s="45">
        <v>4</v>
      </c>
      <c r="I135" s="46">
        <f t="shared" si="2"/>
        <v>100</v>
      </c>
    </row>
    <row r="136" spans="1:9" x14ac:dyDescent="0.15">
      <c r="A136" s="45">
        <v>108959</v>
      </c>
      <c r="B136" s="45" t="s">
        <v>661</v>
      </c>
      <c r="C136" s="45" t="s">
        <v>662</v>
      </c>
      <c r="D136" s="45" t="s">
        <v>663</v>
      </c>
      <c r="E136" s="45" t="s">
        <v>880</v>
      </c>
      <c r="F136" s="45" t="s">
        <v>881</v>
      </c>
      <c r="G136" s="45" t="s">
        <v>889</v>
      </c>
      <c r="H136" s="45">
        <v>3</v>
      </c>
      <c r="I136" s="46">
        <f t="shared" si="2"/>
        <v>75</v>
      </c>
    </row>
    <row r="137" spans="1:9" x14ac:dyDescent="0.15">
      <c r="A137" s="45">
        <v>109335</v>
      </c>
      <c r="B137" s="45" t="s">
        <v>661</v>
      </c>
      <c r="C137" s="45" t="s">
        <v>700</v>
      </c>
      <c r="D137" s="45" t="s">
        <v>663</v>
      </c>
      <c r="E137" s="45" t="s">
        <v>880</v>
      </c>
      <c r="F137" s="45" t="s">
        <v>881</v>
      </c>
      <c r="G137" s="45" t="s">
        <v>890</v>
      </c>
      <c r="H137" s="45">
        <v>0</v>
      </c>
      <c r="I137" s="46">
        <f t="shared" si="2"/>
        <v>0</v>
      </c>
    </row>
    <row r="138" spans="1:9" x14ac:dyDescent="0.15">
      <c r="A138" s="45">
        <v>109340</v>
      </c>
      <c r="B138" s="45" t="s">
        <v>673</v>
      </c>
      <c r="C138" s="45" t="s">
        <v>884</v>
      </c>
      <c r="D138" s="45" t="s">
        <v>663</v>
      </c>
      <c r="E138" s="45" t="s">
        <v>880</v>
      </c>
      <c r="F138" s="45" t="s">
        <v>881</v>
      </c>
      <c r="G138" s="45" t="s">
        <v>891</v>
      </c>
      <c r="H138" s="45">
        <v>0</v>
      </c>
      <c r="I138" s="46">
        <f t="shared" si="2"/>
        <v>0</v>
      </c>
    </row>
    <row r="139" spans="1:9" x14ac:dyDescent="0.15">
      <c r="A139" s="45">
        <v>107769</v>
      </c>
      <c r="B139" s="45" t="s">
        <v>673</v>
      </c>
      <c r="C139" s="45" t="s">
        <v>674</v>
      </c>
      <c r="D139" s="45" t="s">
        <v>675</v>
      </c>
      <c r="E139" s="45" t="s">
        <v>880</v>
      </c>
      <c r="F139" s="45" t="s">
        <v>881</v>
      </c>
      <c r="G139" s="45" t="s">
        <v>892</v>
      </c>
      <c r="H139" s="45">
        <v>2</v>
      </c>
      <c r="I139" s="46">
        <f t="shared" si="2"/>
        <v>50</v>
      </c>
    </row>
    <row r="140" spans="1:9" x14ac:dyDescent="0.15">
      <c r="A140" s="45">
        <v>105376</v>
      </c>
      <c r="B140" s="45" t="s">
        <v>661</v>
      </c>
      <c r="C140" s="45" t="s">
        <v>738</v>
      </c>
      <c r="D140" s="45" t="s">
        <v>685</v>
      </c>
      <c r="E140" s="45" t="s">
        <v>893</v>
      </c>
      <c r="F140" s="45" t="s">
        <v>894</v>
      </c>
      <c r="G140" s="45" t="s">
        <v>895</v>
      </c>
      <c r="H140" s="45">
        <v>8</v>
      </c>
      <c r="I140" s="46">
        <f t="shared" si="2"/>
        <v>200</v>
      </c>
    </row>
    <row r="141" spans="1:9" x14ac:dyDescent="0.15">
      <c r="A141" s="45">
        <v>109551</v>
      </c>
      <c r="B141" s="45" t="s">
        <v>661</v>
      </c>
      <c r="C141" s="45" t="s">
        <v>896</v>
      </c>
      <c r="D141" s="45" t="s">
        <v>685</v>
      </c>
      <c r="E141" s="45" t="s">
        <v>893</v>
      </c>
      <c r="F141" s="45" t="s">
        <v>894</v>
      </c>
      <c r="G141" s="45" t="s">
        <v>897</v>
      </c>
      <c r="H141" s="45">
        <v>0</v>
      </c>
      <c r="I141" s="46">
        <f t="shared" si="2"/>
        <v>0</v>
      </c>
    </row>
    <row r="142" spans="1:9" x14ac:dyDescent="0.15">
      <c r="A142" s="45">
        <v>106702</v>
      </c>
      <c r="B142" s="45" t="s">
        <v>673</v>
      </c>
      <c r="C142" s="45" t="s">
        <v>820</v>
      </c>
      <c r="D142" s="45" t="s">
        <v>685</v>
      </c>
      <c r="E142" s="45" t="s">
        <v>898</v>
      </c>
      <c r="F142" s="45" t="s">
        <v>899</v>
      </c>
      <c r="G142" s="45" t="s">
        <v>900</v>
      </c>
      <c r="H142" s="45">
        <v>3</v>
      </c>
      <c r="I142" s="46">
        <f t="shared" si="2"/>
        <v>75</v>
      </c>
    </row>
    <row r="143" spans="1:9" x14ac:dyDescent="0.15">
      <c r="A143" s="45">
        <v>107280</v>
      </c>
      <c r="B143" s="45" t="s">
        <v>840</v>
      </c>
      <c r="C143" s="45" t="s">
        <v>901</v>
      </c>
      <c r="D143" s="45" t="s">
        <v>663</v>
      </c>
      <c r="E143" s="45" t="s">
        <v>898</v>
      </c>
      <c r="F143" s="45" t="s">
        <v>899</v>
      </c>
      <c r="G143" s="45" t="s">
        <v>902</v>
      </c>
      <c r="H143" s="45">
        <v>2</v>
      </c>
      <c r="I143" s="46">
        <f t="shared" si="2"/>
        <v>50</v>
      </c>
    </row>
    <row r="144" spans="1:9" x14ac:dyDescent="0.15">
      <c r="A144" s="45">
        <v>109061</v>
      </c>
      <c r="B144" s="45" t="s">
        <v>661</v>
      </c>
      <c r="C144" s="45" t="s">
        <v>700</v>
      </c>
      <c r="D144" s="45" t="s">
        <v>663</v>
      </c>
      <c r="E144" s="45" t="s">
        <v>898</v>
      </c>
      <c r="F144" s="45" t="s">
        <v>899</v>
      </c>
      <c r="G144" s="45" t="s">
        <v>903</v>
      </c>
      <c r="H144" s="45">
        <v>2</v>
      </c>
      <c r="I144" s="46">
        <f t="shared" si="2"/>
        <v>50</v>
      </c>
    </row>
    <row r="145" spans="1:9" x14ac:dyDescent="0.15">
      <c r="A145" s="45">
        <v>109062</v>
      </c>
      <c r="B145" s="45" t="s">
        <v>661</v>
      </c>
      <c r="C145" s="45" t="s">
        <v>700</v>
      </c>
      <c r="D145" s="45" t="s">
        <v>663</v>
      </c>
      <c r="E145" s="45" t="s">
        <v>898</v>
      </c>
      <c r="F145" s="45" t="s">
        <v>899</v>
      </c>
      <c r="G145" s="45" t="s">
        <v>904</v>
      </c>
      <c r="H145" s="45">
        <v>0</v>
      </c>
      <c r="I145" s="46">
        <f t="shared" si="2"/>
        <v>0</v>
      </c>
    </row>
    <row r="146" spans="1:9" x14ac:dyDescent="0.15">
      <c r="A146" s="45">
        <v>109168</v>
      </c>
      <c r="B146" s="45" t="s">
        <v>673</v>
      </c>
      <c r="C146" s="45" t="s">
        <v>884</v>
      </c>
      <c r="D146" s="45" t="s">
        <v>663</v>
      </c>
      <c r="E146" s="45" t="s">
        <v>898</v>
      </c>
      <c r="F146" s="45" t="s">
        <v>899</v>
      </c>
      <c r="G146" s="45" t="s">
        <v>905</v>
      </c>
      <c r="H146" s="45">
        <v>4</v>
      </c>
      <c r="I146" s="46">
        <f t="shared" si="2"/>
        <v>100</v>
      </c>
    </row>
    <row r="147" spans="1:9" x14ac:dyDescent="0.15">
      <c r="A147" s="45">
        <v>109207</v>
      </c>
      <c r="B147" s="45" t="s">
        <v>840</v>
      </c>
      <c r="C147" s="45" t="s">
        <v>906</v>
      </c>
      <c r="D147" s="45" t="s">
        <v>685</v>
      </c>
      <c r="E147" s="45" t="s">
        <v>898</v>
      </c>
      <c r="F147" s="45" t="s">
        <v>899</v>
      </c>
      <c r="G147" s="45" t="s">
        <v>907</v>
      </c>
      <c r="H147" s="45">
        <v>4</v>
      </c>
      <c r="I147" s="46">
        <f t="shared" si="2"/>
        <v>100</v>
      </c>
    </row>
    <row r="148" spans="1:9" x14ac:dyDescent="0.15">
      <c r="A148" s="45">
        <v>109354</v>
      </c>
      <c r="B148" s="45" t="s">
        <v>673</v>
      </c>
      <c r="C148" s="45" t="s">
        <v>674</v>
      </c>
      <c r="D148" s="45" t="s">
        <v>675</v>
      </c>
      <c r="E148" s="45" t="s">
        <v>898</v>
      </c>
      <c r="F148" s="45" t="s">
        <v>899</v>
      </c>
      <c r="G148" s="45" t="s">
        <v>908</v>
      </c>
      <c r="H148" s="45">
        <v>5</v>
      </c>
      <c r="I148" s="46">
        <f t="shared" si="2"/>
        <v>125</v>
      </c>
    </row>
    <row r="149" spans="1:9" x14ac:dyDescent="0.15">
      <c r="A149" s="45">
        <v>110126</v>
      </c>
      <c r="B149" s="45" t="s">
        <v>840</v>
      </c>
      <c r="C149" s="45" t="s">
        <v>906</v>
      </c>
      <c r="D149" s="45" t="s">
        <v>685</v>
      </c>
      <c r="E149" s="45" t="s">
        <v>898</v>
      </c>
      <c r="F149" s="45" t="s">
        <v>899</v>
      </c>
      <c r="G149" s="45" t="s">
        <v>909</v>
      </c>
      <c r="H149" s="45">
        <v>3</v>
      </c>
      <c r="I149" s="46">
        <f t="shared" si="2"/>
        <v>75</v>
      </c>
    </row>
    <row r="150" spans="1:9" x14ac:dyDescent="0.15">
      <c r="A150" s="45">
        <v>105851</v>
      </c>
      <c r="B150" s="45" t="s">
        <v>661</v>
      </c>
      <c r="C150" s="45" t="s">
        <v>768</v>
      </c>
      <c r="D150" s="45" t="s">
        <v>675</v>
      </c>
      <c r="E150" s="45" t="s">
        <v>910</v>
      </c>
      <c r="F150" s="45" t="s">
        <v>911</v>
      </c>
      <c r="G150" s="45" t="s">
        <v>912</v>
      </c>
      <c r="H150" s="45">
        <v>4</v>
      </c>
      <c r="I150" s="46">
        <f t="shared" si="2"/>
        <v>100</v>
      </c>
    </row>
    <row r="151" spans="1:9" x14ac:dyDescent="0.15">
      <c r="A151" s="45">
        <v>108479</v>
      </c>
      <c r="B151" s="45" t="s">
        <v>661</v>
      </c>
      <c r="C151" s="45" t="s">
        <v>806</v>
      </c>
      <c r="D151" s="45" t="s">
        <v>685</v>
      </c>
      <c r="E151" s="45" t="s">
        <v>910</v>
      </c>
      <c r="F151" s="45" t="s">
        <v>911</v>
      </c>
      <c r="G151" s="45" t="s">
        <v>913</v>
      </c>
      <c r="H151" s="45">
        <v>0</v>
      </c>
      <c r="I151" s="46">
        <f t="shared" si="2"/>
        <v>0</v>
      </c>
    </row>
    <row r="152" spans="1:9" x14ac:dyDescent="0.15">
      <c r="A152" s="45">
        <v>105849</v>
      </c>
      <c r="B152" s="45" t="s">
        <v>661</v>
      </c>
      <c r="C152" s="45" t="s">
        <v>768</v>
      </c>
      <c r="D152" s="45" t="s">
        <v>675</v>
      </c>
      <c r="E152" s="45" t="s">
        <v>914</v>
      </c>
      <c r="F152" s="45" t="s">
        <v>915</v>
      </c>
      <c r="G152" s="45" t="s">
        <v>916</v>
      </c>
      <c r="H152" s="45">
        <v>0</v>
      </c>
      <c r="I152" s="46">
        <f t="shared" si="2"/>
        <v>0</v>
      </c>
    </row>
    <row r="153" spans="1:9" x14ac:dyDescent="0.15">
      <c r="A153" s="45">
        <v>108751</v>
      </c>
      <c r="B153" s="45" t="s">
        <v>661</v>
      </c>
      <c r="C153" s="45" t="s">
        <v>698</v>
      </c>
      <c r="D153" s="45" t="s">
        <v>675</v>
      </c>
      <c r="E153" s="45" t="s">
        <v>914</v>
      </c>
      <c r="F153" s="45" t="s">
        <v>915</v>
      </c>
      <c r="G153" s="45" t="s">
        <v>917</v>
      </c>
      <c r="H153" s="45">
        <v>0</v>
      </c>
      <c r="I153" s="46">
        <f t="shared" si="2"/>
        <v>0</v>
      </c>
    </row>
    <row r="154" spans="1:9" x14ac:dyDescent="0.15">
      <c r="A154" s="45">
        <v>107321</v>
      </c>
      <c r="B154" s="45" t="s">
        <v>661</v>
      </c>
      <c r="C154" s="45" t="s">
        <v>687</v>
      </c>
      <c r="D154" s="45" t="s">
        <v>663</v>
      </c>
      <c r="E154" s="45" t="s">
        <v>918</v>
      </c>
      <c r="F154" s="45" t="s">
        <v>919</v>
      </c>
      <c r="G154" s="45" t="s">
        <v>920</v>
      </c>
      <c r="H154" s="45">
        <v>0</v>
      </c>
      <c r="I154" s="46">
        <f t="shared" si="2"/>
        <v>0</v>
      </c>
    </row>
    <row r="155" spans="1:9" x14ac:dyDescent="0.15">
      <c r="A155" s="45">
        <v>106959</v>
      </c>
      <c r="B155" s="45" t="s">
        <v>661</v>
      </c>
      <c r="C155" s="45" t="s">
        <v>768</v>
      </c>
      <c r="D155" s="45" t="s">
        <v>675</v>
      </c>
      <c r="E155" s="45" t="s">
        <v>921</v>
      </c>
      <c r="F155" s="45" t="s">
        <v>922</v>
      </c>
      <c r="G155" s="45" t="s">
        <v>923</v>
      </c>
      <c r="H155" s="45">
        <v>0</v>
      </c>
      <c r="I155" s="46">
        <f t="shared" si="2"/>
        <v>0</v>
      </c>
    </row>
    <row r="156" spans="1:9" x14ac:dyDescent="0.15">
      <c r="A156" s="45">
        <v>108543</v>
      </c>
      <c r="B156" s="45" t="s">
        <v>661</v>
      </c>
      <c r="C156" s="45" t="s">
        <v>700</v>
      </c>
      <c r="D156" s="45" t="s">
        <v>663</v>
      </c>
      <c r="E156" s="45" t="s">
        <v>924</v>
      </c>
      <c r="F156" s="45" t="s">
        <v>925</v>
      </c>
      <c r="G156" s="45" t="s">
        <v>926</v>
      </c>
      <c r="H156" s="45">
        <v>0</v>
      </c>
      <c r="I156" s="46">
        <f t="shared" si="2"/>
        <v>0</v>
      </c>
    </row>
    <row r="157" spans="1:9" x14ac:dyDescent="0.15">
      <c r="A157" s="45">
        <v>105683</v>
      </c>
      <c r="B157" s="45" t="s">
        <v>661</v>
      </c>
      <c r="C157" s="45" t="s">
        <v>662</v>
      </c>
      <c r="D157" s="45" t="s">
        <v>663</v>
      </c>
      <c r="E157" s="45" t="s">
        <v>927</v>
      </c>
      <c r="F157" s="45" t="s">
        <v>928</v>
      </c>
      <c r="G157" s="45" t="s">
        <v>929</v>
      </c>
      <c r="H157" s="45">
        <v>5</v>
      </c>
      <c r="I157" s="46">
        <f t="shared" si="2"/>
        <v>125</v>
      </c>
    </row>
    <row r="158" spans="1:9" x14ac:dyDescent="0.15">
      <c r="A158" s="45">
        <v>106334</v>
      </c>
      <c r="B158" s="45" t="s">
        <v>661</v>
      </c>
      <c r="C158" s="45" t="s">
        <v>662</v>
      </c>
      <c r="D158" s="45" t="s">
        <v>663</v>
      </c>
      <c r="E158" s="45" t="s">
        <v>927</v>
      </c>
      <c r="F158" s="45" t="s">
        <v>928</v>
      </c>
      <c r="G158" s="45" t="s">
        <v>930</v>
      </c>
      <c r="H158" s="45">
        <v>4</v>
      </c>
      <c r="I158" s="46">
        <f t="shared" si="2"/>
        <v>100</v>
      </c>
    </row>
    <row r="159" spans="1:9" x14ac:dyDescent="0.15">
      <c r="A159" s="45">
        <v>106970</v>
      </c>
      <c r="B159" s="45" t="s">
        <v>661</v>
      </c>
      <c r="C159" s="45" t="s">
        <v>662</v>
      </c>
      <c r="D159" s="45" t="s">
        <v>663</v>
      </c>
      <c r="E159" s="45" t="s">
        <v>927</v>
      </c>
      <c r="F159" s="45" t="s">
        <v>928</v>
      </c>
      <c r="G159" s="45" t="s">
        <v>931</v>
      </c>
      <c r="H159" s="45">
        <v>6</v>
      </c>
      <c r="I159" s="46">
        <f t="shared" si="2"/>
        <v>150</v>
      </c>
    </row>
    <row r="160" spans="1:9" x14ac:dyDescent="0.15">
      <c r="A160" s="45">
        <v>108259</v>
      </c>
      <c r="B160" s="45" t="s">
        <v>661</v>
      </c>
      <c r="C160" s="45" t="s">
        <v>662</v>
      </c>
      <c r="D160" s="45" t="s">
        <v>663</v>
      </c>
      <c r="E160" s="45" t="s">
        <v>927</v>
      </c>
      <c r="F160" s="45" t="s">
        <v>928</v>
      </c>
      <c r="G160" s="45" t="s">
        <v>932</v>
      </c>
      <c r="H160" s="45">
        <v>3</v>
      </c>
      <c r="I160" s="46">
        <f t="shared" si="2"/>
        <v>75</v>
      </c>
    </row>
    <row r="161" spans="1:9" x14ac:dyDescent="0.15">
      <c r="A161" s="45">
        <v>108925</v>
      </c>
      <c r="B161" s="45" t="s">
        <v>661</v>
      </c>
      <c r="C161" s="45" t="s">
        <v>721</v>
      </c>
      <c r="D161" s="45" t="s">
        <v>663</v>
      </c>
      <c r="E161" s="45" t="s">
        <v>927</v>
      </c>
      <c r="F161" s="45" t="s">
        <v>928</v>
      </c>
      <c r="G161" s="45" t="s">
        <v>933</v>
      </c>
      <c r="H161" s="45">
        <v>3</v>
      </c>
      <c r="I161" s="46">
        <f t="shared" si="2"/>
        <v>75</v>
      </c>
    </row>
    <row r="162" spans="1:9" x14ac:dyDescent="0.15">
      <c r="A162" s="45">
        <v>109953</v>
      </c>
      <c r="B162" s="45" t="s">
        <v>661</v>
      </c>
      <c r="C162" s="45" t="s">
        <v>662</v>
      </c>
      <c r="D162" s="45" t="s">
        <v>663</v>
      </c>
      <c r="E162" s="45" t="s">
        <v>927</v>
      </c>
      <c r="F162" s="45" t="s">
        <v>928</v>
      </c>
      <c r="G162" s="45" t="s">
        <v>934</v>
      </c>
      <c r="H162" s="45">
        <v>3</v>
      </c>
      <c r="I162" s="46">
        <f t="shared" si="2"/>
        <v>75</v>
      </c>
    </row>
    <row r="163" spans="1:9" x14ac:dyDescent="0.15">
      <c r="A163" s="45">
        <v>110124</v>
      </c>
      <c r="B163" s="45" t="s">
        <v>661</v>
      </c>
      <c r="C163" s="45" t="s">
        <v>671</v>
      </c>
      <c r="D163" s="45" t="s">
        <v>663</v>
      </c>
      <c r="E163" s="45" t="s">
        <v>927</v>
      </c>
      <c r="F163" s="45" t="s">
        <v>928</v>
      </c>
      <c r="G163" s="45" t="s">
        <v>935</v>
      </c>
      <c r="H163" s="45">
        <v>3</v>
      </c>
      <c r="I163" s="46">
        <f t="shared" si="2"/>
        <v>75</v>
      </c>
    </row>
    <row r="164" spans="1:9" x14ac:dyDescent="0.15">
      <c r="A164" s="45">
        <v>105989</v>
      </c>
      <c r="B164" s="45" t="s">
        <v>840</v>
      </c>
      <c r="C164" s="45" t="s">
        <v>700</v>
      </c>
      <c r="D164" s="45" t="s">
        <v>663</v>
      </c>
      <c r="E164" s="45" t="s">
        <v>936</v>
      </c>
      <c r="F164" s="45" t="s">
        <v>937</v>
      </c>
      <c r="G164" s="45" t="s">
        <v>938</v>
      </c>
      <c r="H164" s="45">
        <v>0</v>
      </c>
      <c r="I164" s="46">
        <f t="shared" si="2"/>
        <v>0</v>
      </c>
    </row>
    <row r="165" spans="1:9" x14ac:dyDescent="0.15">
      <c r="A165" s="45">
        <v>106054</v>
      </c>
      <c r="B165" s="45" t="s">
        <v>840</v>
      </c>
      <c r="C165" s="45" t="s">
        <v>700</v>
      </c>
      <c r="D165" s="45" t="s">
        <v>663</v>
      </c>
      <c r="E165" s="45" t="s">
        <v>936</v>
      </c>
      <c r="F165" s="45" t="s">
        <v>937</v>
      </c>
      <c r="G165" s="45" t="s">
        <v>939</v>
      </c>
      <c r="H165" s="45">
        <v>3</v>
      </c>
      <c r="I165" s="46">
        <f t="shared" si="2"/>
        <v>75</v>
      </c>
    </row>
    <row r="166" spans="1:9" x14ac:dyDescent="0.15">
      <c r="A166" s="45">
        <v>106949</v>
      </c>
      <c r="B166" s="45" t="s">
        <v>840</v>
      </c>
      <c r="C166" s="45" t="s">
        <v>940</v>
      </c>
      <c r="D166" s="45" t="s">
        <v>663</v>
      </c>
      <c r="E166" s="45" t="s">
        <v>936</v>
      </c>
      <c r="F166" s="45" t="s">
        <v>937</v>
      </c>
      <c r="G166" s="45" t="s">
        <v>941</v>
      </c>
      <c r="H166" s="45">
        <v>3</v>
      </c>
      <c r="I166" s="46">
        <f t="shared" si="2"/>
        <v>75</v>
      </c>
    </row>
    <row r="167" spans="1:9" x14ac:dyDescent="0.15">
      <c r="A167" s="45">
        <v>107081</v>
      </c>
      <c r="B167" s="45" t="s">
        <v>673</v>
      </c>
      <c r="C167" s="45" t="s">
        <v>674</v>
      </c>
      <c r="D167" s="45" t="s">
        <v>675</v>
      </c>
      <c r="E167" s="45" t="s">
        <v>936</v>
      </c>
      <c r="F167" s="45" t="s">
        <v>937</v>
      </c>
      <c r="G167" s="45" t="s">
        <v>942</v>
      </c>
      <c r="H167" s="45">
        <v>2</v>
      </c>
      <c r="I167" s="46">
        <f t="shared" si="2"/>
        <v>50</v>
      </c>
    </row>
    <row r="168" spans="1:9" x14ac:dyDescent="0.15">
      <c r="A168" s="45">
        <v>107086</v>
      </c>
      <c r="B168" s="45" t="s">
        <v>673</v>
      </c>
      <c r="C168" s="45" t="s">
        <v>674</v>
      </c>
      <c r="D168" s="45" t="s">
        <v>675</v>
      </c>
      <c r="E168" s="45" t="s">
        <v>936</v>
      </c>
      <c r="F168" s="45" t="s">
        <v>937</v>
      </c>
      <c r="G168" s="45" t="s">
        <v>943</v>
      </c>
      <c r="H168" s="45">
        <v>0</v>
      </c>
      <c r="I168" s="46">
        <f t="shared" si="2"/>
        <v>0</v>
      </c>
    </row>
    <row r="169" spans="1:9" x14ac:dyDescent="0.15">
      <c r="A169" s="45">
        <v>106207</v>
      </c>
      <c r="B169" s="45" t="s">
        <v>661</v>
      </c>
      <c r="C169" s="45" t="s">
        <v>698</v>
      </c>
      <c r="D169" s="45" t="s">
        <v>675</v>
      </c>
      <c r="E169" s="45" t="s">
        <v>944</v>
      </c>
      <c r="F169" s="45" t="s">
        <v>945</v>
      </c>
      <c r="G169" s="45" t="s">
        <v>946</v>
      </c>
      <c r="H169" s="45">
        <v>4</v>
      </c>
      <c r="I169" s="46">
        <f t="shared" si="2"/>
        <v>100</v>
      </c>
    </row>
    <row r="170" spans="1:9" x14ac:dyDescent="0.15">
      <c r="A170" s="45">
        <v>108338</v>
      </c>
      <c r="B170" s="45" t="s">
        <v>661</v>
      </c>
      <c r="C170" s="45" t="s">
        <v>684</v>
      </c>
      <c r="D170" s="45" t="s">
        <v>685</v>
      </c>
      <c r="E170" s="45" t="s">
        <v>944</v>
      </c>
      <c r="F170" s="45" t="s">
        <v>945</v>
      </c>
      <c r="G170" s="45" t="s">
        <v>947</v>
      </c>
      <c r="H170" s="45">
        <v>3</v>
      </c>
      <c r="I170" s="46">
        <f t="shared" si="2"/>
        <v>75</v>
      </c>
    </row>
    <row r="171" spans="1:9" x14ac:dyDescent="0.15">
      <c r="A171" s="45">
        <v>108339</v>
      </c>
      <c r="B171" s="45" t="s">
        <v>661</v>
      </c>
      <c r="C171" s="45" t="s">
        <v>684</v>
      </c>
      <c r="D171" s="45" t="s">
        <v>685</v>
      </c>
      <c r="E171" s="45" t="s">
        <v>944</v>
      </c>
      <c r="F171" s="45" t="s">
        <v>945</v>
      </c>
      <c r="G171" s="45" t="s">
        <v>948</v>
      </c>
      <c r="H171" s="45">
        <v>0</v>
      </c>
      <c r="I171" s="46">
        <f t="shared" si="2"/>
        <v>0</v>
      </c>
    </row>
    <row r="172" spans="1:9" x14ac:dyDescent="0.15">
      <c r="A172" s="45">
        <v>108340</v>
      </c>
      <c r="B172" s="45" t="s">
        <v>661</v>
      </c>
      <c r="C172" s="45" t="s">
        <v>700</v>
      </c>
      <c r="D172" s="45" t="s">
        <v>663</v>
      </c>
      <c r="E172" s="45" t="s">
        <v>944</v>
      </c>
      <c r="F172" s="45" t="s">
        <v>945</v>
      </c>
      <c r="G172" s="45" t="s">
        <v>949</v>
      </c>
      <c r="H172" s="45">
        <v>0</v>
      </c>
      <c r="I172" s="46">
        <f t="shared" si="2"/>
        <v>0</v>
      </c>
    </row>
    <row r="173" spans="1:9" x14ac:dyDescent="0.15">
      <c r="A173" s="45">
        <v>108991</v>
      </c>
      <c r="B173" s="45" t="s">
        <v>673</v>
      </c>
      <c r="C173" s="45" t="s">
        <v>674</v>
      </c>
      <c r="D173" s="45" t="s">
        <v>675</v>
      </c>
      <c r="E173" s="45" t="s">
        <v>944</v>
      </c>
      <c r="F173" s="45" t="s">
        <v>945</v>
      </c>
      <c r="G173" s="45" t="s">
        <v>950</v>
      </c>
      <c r="H173" s="45">
        <v>4</v>
      </c>
      <c r="I173" s="46">
        <f t="shared" si="2"/>
        <v>100</v>
      </c>
    </row>
    <row r="174" spans="1:9" x14ac:dyDescent="0.15">
      <c r="A174" s="45">
        <v>108992</v>
      </c>
      <c r="B174" s="45" t="s">
        <v>673</v>
      </c>
      <c r="C174" s="45" t="s">
        <v>674</v>
      </c>
      <c r="D174" s="45" t="s">
        <v>675</v>
      </c>
      <c r="E174" s="45" t="s">
        <v>944</v>
      </c>
      <c r="F174" s="45" t="s">
        <v>945</v>
      </c>
      <c r="G174" s="45" t="s">
        <v>951</v>
      </c>
      <c r="H174" s="45">
        <v>3</v>
      </c>
      <c r="I174" s="46">
        <f t="shared" si="2"/>
        <v>75</v>
      </c>
    </row>
    <row r="175" spans="1:9" x14ac:dyDescent="0.15">
      <c r="A175" s="45">
        <v>106681</v>
      </c>
      <c r="B175" s="45" t="s">
        <v>661</v>
      </c>
      <c r="C175" s="45" t="s">
        <v>719</v>
      </c>
      <c r="D175" s="45" t="s">
        <v>663</v>
      </c>
      <c r="E175" s="45" t="s">
        <v>952</v>
      </c>
      <c r="F175" s="45" t="s">
        <v>953</v>
      </c>
      <c r="G175" s="45" t="s">
        <v>954</v>
      </c>
      <c r="H175" s="45">
        <v>0</v>
      </c>
      <c r="I175" s="46">
        <f t="shared" si="2"/>
        <v>0</v>
      </c>
    </row>
    <row r="176" spans="1:9" x14ac:dyDescent="0.15">
      <c r="A176" s="45">
        <v>106685</v>
      </c>
      <c r="B176" s="45" t="s">
        <v>661</v>
      </c>
      <c r="C176" s="45" t="s">
        <v>719</v>
      </c>
      <c r="D176" s="45" t="s">
        <v>663</v>
      </c>
      <c r="E176" s="45" t="s">
        <v>952</v>
      </c>
      <c r="F176" s="45" t="s">
        <v>953</v>
      </c>
      <c r="G176" s="45" t="s">
        <v>955</v>
      </c>
      <c r="H176" s="45">
        <v>2</v>
      </c>
      <c r="I176" s="46">
        <f t="shared" si="2"/>
        <v>50</v>
      </c>
    </row>
    <row r="177" spans="1:9" x14ac:dyDescent="0.15">
      <c r="A177" s="45">
        <v>106690</v>
      </c>
      <c r="B177" s="45" t="s">
        <v>661</v>
      </c>
      <c r="C177" s="45" t="s">
        <v>719</v>
      </c>
      <c r="D177" s="45" t="s">
        <v>663</v>
      </c>
      <c r="E177" s="45" t="s">
        <v>952</v>
      </c>
      <c r="F177" s="45" t="s">
        <v>953</v>
      </c>
      <c r="G177" s="45" t="s">
        <v>956</v>
      </c>
      <c r="H177" s="45">
        <v>6</v>
      </c>
      <c r="I177" s="46">
        <f t="shared" si="2"/>
        <v>150</v>
      </c>
    </row>
    <row r="178" spans="1:9" x14ac:dyDescent="0.15">
      <c r="A178" s="45">
        <v>107335</v>
      </c>
      <c r="B178" s="45" t="s">
        <v>661</v>
      </c>
      <c r="C178" s="45" t="s">
        <v>662</v>
      </c>
      <c r="D178" s="45" t="s">
        <v>663</v>
      </c>
      <c r="E178" s="45" t="s">
        <v>957</v>
      </c>
      <c r="F178" s="45" t="s">
        <v>958</v>
      </c>
      <c r="G178" s="45" t="s">
        <v>959</v>
      </c>
      <c r="H178" s="45">
        <v>3</v>
      </c>
      <c r="I178" s="46">
        <f t="shared" si="2"/>
        <v>75</v>
      </c>
    </row>
    <row r="179" spans="1:9" x14ac:dyDescent="0.15">
      <c r="A179" s="45">
        <v>107397</v>
      </c>
      <c r="B179" s="45" t="s">
        <v>673</v>
      </c>
      <c r="C179" s="45" t="s">
        <v>674</v>
      </c>
      <c r="D179" s="45" t="s">
        <v>675</v>
      </c>
      <c r="E179" s="45" t="s">
        <v>957</v>
      </c>
      <c r="F179" s="45" t="s">
        <v>958</v>
      </c>
      <c r="G179" s="45" t="s">
        <v>960</v>
      </c>
      <c r="H179" s="45">
        <v>4</v>
      </c>
      <c r="I179" s="46">
        <f t="shared" si="2"/>
        <v>100</v>
      </c>
    </row>
    <row r="180" spans="1:9" x14ac:dyDescent="0.15">
      <c r="A180" s="45">
        <v>107151</v>
      </c>
      <c r="B180" s="45" t="s">
        <v>661</v>
      </c>
      <c r="C180" s="45" t="s">
        <v>662</v>
      </c>
      <c r="D180" s="45" t="s">
        <v>663</v>
      </c>
      <c r="E180" s="45" t="s">
        <v>961</v>
      </c>
      <c r="F180" s="45" t="s">
        <v>962</v>
      </c>
      <c r="G180" s="45" t="s">
        <v>963</v>
      </c>
      <c r="H180" s="45">
        <v>3</v>
      </c>
      <c r="I180" s="46">
        <f t="shared" si="2"/>
        <v>75</v>
      </c>
    </row>
    <row r="181" spans="1:9" x14ac:dyDescent="0.15">
      <c r="A181" s="45">
        <v>108786</v>
      </c>
      <c r="B181" s="45" t="s">
        <v>661</v>
      </c>
      <c r="C181" s="45" t="s">
        <v>662</v>
      </c>
      <c r="D181" s="45" t="s">
        <v>663</v>
      </c>
      <c r="E181" s="45" t="s">
        <v>964</v>
      </c>
      <c r="F181" s="45" t="s">
        <v>965</v>
      </c>
      <c r="G181" s="45" t="s">
        <v>966</v>
      </c>
      <c r="H181" s="45">
        <v>4</v>
      </c>
      <c r="I181" s="46">
        <f t="shared" si="2"/>
        <v>100</v>
      </c>
    </row>
    <row r="182" spans="1:9" x14ac:dyDescent="0.15">
      <c r="A182" s="45">
        <v>108201</v>
      </c>
      <c r="B182" s="45" t="s">
        <v>661</v>
      </c>
      <c r="C182" s="45" t="s">
        <v>662</v>
      </c>
      <c r="D182" s="45" t="s">
        <v>663</v>
      </c>
      <c r="E182" s="45" t="s">
        <v>967</v>
      </c>
      <c r="F182" s="45" t="s">
        <v>968</v>
      </c>
      <c r="G182" s="45" t="s">
        <v>969</v>
      </c>
      <c r="H182" s="45">
        <v>3</v>
      </c>
      <c r="I182" s="46">
        <f t="shared" si="2"/>
        <v>75</v>
      </c>
    </row>
    <row r="183" spans="1:9" x14ac:dyDescent="0.15">
      <c r="A183" s="45">
        <v>106926</v>
      </c>
      <c r="B183" s="45" t="s">
        <v>661</v>
      </c>
      <c r="C183" s="45" t="s">
        <v>662</v>
      </c>
      <c r="D183" s="45" t="s">
        <v>663</v>
      </c>
      <c r="E183" s="45" t="s">
        <v>970</v>
      </c>
      <c r="F183" s="45" t="s">
        <v>971</v>
      </c>
      <c r="G183" s="45" t="s">
        <v>972</v>
      </c>
      <c r="H183" s="45">
        <v>4</v>
      </c>
      <c r="I183" s="46">
        <f t="shared" si="2"/>
        <v>100</v>
      </c>
    </row>
    <row r="184" spans="1:9" x14ac:dyDescent="0.15">
      <c r="A184" s="45">
        <v>108329</v>
      </c>
      <c r="B184" s="45" t="s">
        <v>661</v>
      </c>
      <c r="C184" s="45" t="s">
        <v>671</v>
      </c>
      <c r="D184" s="45" t="s">
        <v>663</v>
      </c>
      <c r="E184" s="45" t="s">
        <v>970</v>
      </c>
      <c r="F184" s="45" t="s">
        <v>971</v>
      </c>
      <c r="G184" s="45" t="s">
        <v>973</v>
      </c>
      <c r="H184" s="45">
        <v>3</v>
      </c>
      <c r="I184" s="46">
        <f t="shared" si="2"/>
        <v>75</v>
      </c>
    </row>
    <row r="185" spans="1:9" x14ac:dyDescent="0.15">
      <c r="A185" s="45">
        <v>105863</v>
      </c>
      <c r="B185" s="45" t="s">
        <v>661</v>
      </c>
      <c r="C185" s="45" t="s">
        <v>662</v>
      </c>
      <c r="D185" s="45" t="s">
        <v>663</v>
      </c>
      <c r="E185" s="45" t="s">
        <v>974</v>
      </c>
      <c r="F185" s="45" t="s">
        <v>975</v>
      </c>
      <c r="G185" s="45" t="s">
        <v>976</v>
      </c>
      <c r="H185" s="45">
        <v>3</v>
      </c>
      <c r="I185" s="46">
        <f t="shared" si="2"/>
        <v>75</v>
      </c>
    </row>
    <row r="186" spans="1:9" x14ac:dyDescent="0.15">
      <c r="A186" s="45">
        <v>106041</v>
      </c>
      <c r="B186" s="45" t="s">
        <v>661</v>
      </c>
      <c r="C186" s="45" t="s">
        <v>700</v>
      </c>
      <c r="D186" s="45" t="s">
        <v>663</v>
      </c>
      <c r="E186" s="45" t="s">
        <v>974</v>
      </c>
      <c r="F186" s="45" t="s">
        <v>975</v>
      </c>
      <c r="G186" s="45" t="s">
        <v>977</v>
      </c>
      <c r="H186" s="45">
        <v>4</v>
      </c>
      <c r="I186" s="46">
        <f t="shared" si="2"/>
        <v>100</v>
      </c>
    </row>
    <row r="187" spans="1:9" x14ac:dyDescent="0.15">
      <c r="A187" s="45">
        <v>107109</v>
      </c>
      <c r="B187" s="45" t="s">
        <v>661</v>
      </c>
      <c r="C187" s="45" t="s">
        <v>662</v>
      </c>
      <c r="D187" s="45" t="s">
        <v>663</v>
      </c>
      <c r="E187" s="45" t="s">
        <v>978</v>
      </c>
      <c r="F187" s="45" t="s">
        <v>979</v>
      </c>
      <c r="G187" s="45" t="s">
        <v>980</v>
      </c>
      <c r="H187" s="45">
        <v>4</v>
      </c>
      <c r="I187" s="46">
        <f t="shared" si="2"/>
        <v>100</v>
      </c>
    </row>
    <row r="188" spans="1:9" x14ac:dyDescent="0.15">
      <c r="A188" s="45">
        <v>109811</v>
      </c>
      <c r="B188" s="45" t="s">
        <v>661</v>
      </c>
      <c r="C188" s="45" t="s">
        <v>684</v>
      </c>
      <c r="D188" s="45" t="s">
        <v>685</v>
      </c>
      <c r="E188" s="45" t="s">
        <v>978</v>
      </c>
      <c r="F188" s="45" t="s">
        <v>979</v>
      </c>
      <c r="G188" s="45" t="s">
        <v>981</v>
      </c>
      <c r="H188" s="45">
        <v>4</v>
      </c>
      <c r="I188" s="46">
        <f t="shared" si="2"/>
        <v>100</v>
      </c>
    </row>
    <row r="189" spans="1:9" x14ac:dyDescent="0.15">
      <c r="A189" s="45">
        <v>94194</v>
      </c>
      <c r="B189" s="45" t="s">
        <v>840</v>
      </c>
      <c r="C189" s="45" t="s">
        <v>901</v>
      </c>
      <c r="D189" s="45" t="s">
        <v>663</v>
      </c>
      <c r="E189" s="45" t="s">
        <v>982</v>
      </c>
      <c r="F189" s="45" t="s">
        <v>983</v>
      </c>
      <c r="G189" s="45" t="s">
        <v>984</v>
      </c>
      <c r="H189" s="45">
        <v>0</v>
      </c>
      <c r="I189" s="46">
        <f t="shared" si="2"/>
        <v>0</v>
      </c>
    </row>
    <row r="190" spans="1:9" x14ac:dyDescent="0.15">
      <c r="A190" s="45">
        <v>97055</v>
      </c>
      <c r="B190" s="45" t="s">
        <v>840</v>
      </c>
      <c r="C190" s="45" t="s">
        <v>841</v>
      </c>
      <c r="D190" s="45" t="s">
        <v>663</v>
      </c>
      <c r="E190" s="45" t="s">
        <v>982</v>
      </c>
      <c r="F190" s="45" t="s">
        <v>983</v>
      </c>
      <c r="G190" s="45" t="s">
        <v>985</v>
      </c>
      <c r="H190" s="45">
        <v>0</v>
      </c>
      <c r="I190" s="46">
        <f t="shared" si="2"/>
        <v>0</v>
      </c>
    </row>
    <row r="191" spans="1:9" x14ac:dyDescent="0.15">
      <c r="A191" s="45">
        <v>103892</v>
      </c>
      <c r="B191" s="45" t="s">
        <v>840</v>
      </c>
      <c r="C191" s="45" t="s">
        <v>940</v>
      </c>
      <c r="D191" s="45" t="s">
        <v>663</v>
      </c>
      <c r="E191" s="45" t="s">
        <v>982</v>
      </c>
      <c r="F191" s="45" t="s">
        <v>983</v>
      </c>
      <c r="G191" s="45" t="s">
        <v>986</v>
      </c>
      <c r="H191" s="45">
        <v>0</v>
      </c>
      <c r="I191" s="46">
        <f t="shared" si="2"/>
        <v>0</v>
      </c>
    </row>
    <row r="192" spans="1:9" x14ac:dyDescent="0.15">
      <c r="A192" s="47">
        <v>100000</v>
      </c>
      <c r="B192" s="45" t="s">
        <v>673</v>
      </c>
      <c r="C192" s="48" t="s">
        <v>987</v>
      </c>
      <c r="D192" s="48"/>
      <c r="E192" s="48"/>
      <c r="F192" s="45" t="s">
        <v>988</v>
      </c>
      <c r="G192" s="48"/>
      <c r="H192" s="45">
        <v>40</v>
      </c>
      <c r="I192" s="49">
        <v>1000</v>
      </c>
    </row>
    <row r="193" spans="1:9" x14ac:dyDescent="0.15">
      <c r="A193" s="47">
        <v>100001</v>
      </c>
      <c r="B193" s="45" t="s">
        <v>673</v>
      </c>
      <c r="C193" s="48" t="s">
        <v>987</v>
      </c>
      <c r="D193" s="48"/>
      <c r="E193" s="47" t="s">
        <v>730</v>
      </c>
      <c r="F193" s="45" t="s">
        <v>731</v>
      </c>
      <c r="G193" s="48"/>
      <c r="H193" s="45">
        <v>20</v>
      </c>
      <c r="I193" s="49">
        <v>500</v>
      </c>
    </row>
    <row r="194" spans="1:9" x14ac:dyDescent="0.15">
      <c r="H194">
        <f>SUM(H2:H193)</f>
        <v>544</v>
      </c>
      <c r="I194" s="50">
        <f>SUM(I2:I193)</f>
        <v>13600</v>
      </c>
    </row>
  </sheetData>
  <conditionalFormatting sqref="A2:A191 H192:H193">
    <cfRule type="expression" dxfId="5" priority="8">
      <formula>$X2="X"</formula>
    </cfRule>
  </conditionalFormatting>
  <conditionalFormatting sqref="B2:B193">
    <cfRule type="expression" dxfId="4" priority="1">
      <formula>$W2="X"</formula>
    </cfRule>
  </conditionalFormatting>
  <conditionalFormatting sqref="C2:E191">
    <cfRule type="expression" dxfId="3" priority="5">
      <formula>$X2="X"</formula>
    </cfRule>
  </conditionalFormatting>
  <conditionalFormatting sqref="F2:F193">
    <cfRule type="expression" dxfId="2" priority="4">
      <formula>$X2="X"</formula>
    </cfRule>
  </conditionalFormatting>
  <conditionalFormatting sqref="G2:I191">
    <cfRule type="expression" dxfId="1" priority="2">
      <formula>$X2="X"</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AC1BE-A66E-F848-B4FE-5C2FDC09F5A5}">
  <dimension ref="A1"/>
  <sheetViews>
    <sheetView showGridLines="0" workbookViewId="0">
      <selection activeCell="T18" sqref="T18"/>
    </sheetView>
  </sheetViews>
  <sheetFormatPr baseColWidth="10" defaultRowHeight="13" x14ac:dyDescent="0.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46EF-B27C-9343-B587-9B231EC25821}">
  <dimension ref="A1:Y200"/>
  <sheetViews>
    <sheetView topLeftCell="I167" workbookViewId="0">
      <selection activeCell="E32" sqref="E32"/>
    </sheetView>
  </sheetViews>
  <sheetFormatPr baseColWidth="10" defaultColWidth="8.83203125" defaultRowHeight="13" x14ac:dyDescent="0.15"/>
  <cols>
    <col min="1" max="13" width="18" customWidth="1"/>
    <col min="14" max="14" width="7.6640625" customWidth="1"/>
    <col min="15" max="15" width="18" customWidth="1"/>
    <col min="16" max="20" width="10.33203125" customWidth="1"/>
    <col min="21" max="21" width="7.6640625" bestFit="1" customWidth="1"/>
    <col min="22" max="22" width="11.83203125" bestFit="1" customWidth="1"/>
    <col min="23" max="24" width="18" customWidth="1"/>
    <col min="25" max="25" width="5.83203125" bestFit="1" customWidth="1"/>
  </cols>
  <sheetData>
    <row r="1" spans="1:25" ht="15" x14ac:dyDescent="0.15">
      <c r="A1" s="44" t="s">
        <v>992</v>
      </c>
      <c r="B1" s="44" t="s">
        <v>654</v>
      </c>
      <c r="C1" s="44" t="s">
        <v>1003</v>
      </c>
      <c r="D1" s="44" t="s">
        <v>655</v>
      </c>
      <c r="E1" s="44" t="s">
        <v>1004</v>
      </c>
      <c r="F1" s="44" t="s">
        <v>1005</v>
      </c>
      <c r="G1" s="44" t="s">
        <v>1006</v>
      </c>
      <c r="H1" s="44" t="s">
        <v>656</v>
      </c>
      <c r="I1" s="44" t="s">
        <v>1007</v>
      </c>
      <c r="J1" s="44" t="s">
        <v>1008</v>
      </c>
      <c r="K1" s="44" t="s">
        <v>1009</v>
      </c>
      <c r="L1" s="44" t="s">
        <v>658</v>
      </c>
      <c r="M1" s="44" t="s">
        <v>1010</v>
      </c>
      <c r="N1" s="44" t="s">
        <v>653</v>
      </c>
      <c r="O1" s="44" t="s">
        <v>1011</v>
      </c>
      <c r="P1" s="44" t="s">
        <v>1012</v>
      </c>
      <c r="Q1" s="44" t="s">
        <v>1013</v>
      </c>
      <c r="R1" s="44" t="s">
        <v>1014</v>
      </c>
      <c r="S1" s="44" t="s">
        <v>1015</v>
      </c>
      <c r="T1" s="44" t="s">
        <v>1016</v>
      </c>
      <c r="U1" s="44" t="s">
        <v>1017</v>
      </c>
      <c r="V1" s="44" t="s">
        <v>660</v>
      </c>
      <c r="W1" s="44" t="s">
        <v>1018</v>
      </c>
      <c r="X1" s="44" t="s">
        <v>657</v>
      </c>
      <c r="Y1" s="44" t="s">
        <v>1019</v>
      </c>
    </row>
    <row r="2" spans="1:25" x14ac:dyDescent="0.15">
      <c r="A2" s="45">
        <v>107125</v>
      </c>
      <c r="B2" s="45" t="s">
        <v>662</v>
      </c>
      <c r="C2" s="45" t="s">
        <v>1020</v>
      </c>
      <c r="D2" s="45" t="s">
        <v>663</v>
      </c>
      <c r="E2" s="45"/>
      <c r="F2" s="45"/>
      <c r="G2" s="45"/>
      <c r="H2" s="45" t="s">
        <v>664</v>
      </c>
      <c r="I2" s="45" t="s">
        <v>1021</v>
      </c>
      <c r="J2" s="45" t="s">
        <v>1022</v>
      </c>
      <c r="K2" s="45" t="s">
        <v>1023</v>
      </c>
      <c r="L2" s="45" t="s">
        <v>666</v>
      </c>
      <c r="M2" s="45" t="s">
        <v>1024</v>
      </c>
      <c r="N2" s="45" t="s">
        <v>661</v>
      </c>
      <c r="O2" s="45" t="s">
        <v>1025</v>
      </c>
      <c r="P2" s="45">
        <v>3</v>
      </c>
      <c r="Q2" s="45">
        <v>0</v>
      </c>
      <c r="R2" s="45">
        <v>1</v>
      </c>
      <c r="S2" s="45">
        <v>0</v>
      </c>
      <c r="T2" s="45">
        <v>0</v>
      </c>
      <c r="U2" s="45">
        <v>3</v>
      </c>
      <c r="V2" s="46">
        <f t="shared" ref="V2:V65" si="0">U2*25</f>
        <v>75</v>
      </c>
      <c r="W2" s="45" t="s">
        <v>1026</v>
      </c>
      <c r="X2" s="45" t="s">
        <v>665</v>
      </c>
      <c r="Y2" s="45" t="s">
        <v>1027</v>
      </c>
    </row>
    <row r="3" spans="1:25" x14ac:dyDescent="0.15">
      <c r="A3" s="45">
        <v>107225</v>
      </c>
      <c r="B3" s="45" t="s">
        <v>662</v>
      </c>
      <c r="C3" s="45" t="s">
        <v>1028</v>
      </c>
      <c r="D3" s="45" t="s">
        <v>663</v>
      </c>
      <c r="E3" s="45"/>
      <c r="F3" s="45"/>
      <c r="G3" s="45"/>
      <c r="H3" s="45" t="s">
        <v>664</v>
      </c>
      <c r="I3" s="45" t="s">
        <v>1021</v>
      </c>
      <c r="J3" s="45" t="s">
        <v>1029</v>
      </c>
      <c r="K3" s="45" t="s">
        <v>1030</v>
      </c>
      <c r="L3" s="45" t="s">
        <v>667</v>
      </c>
      <c r="M3" s="45" t="s">
        <v>1031</v>
      </c>
      <c r="N3" s="45" t="s">
        <v>661</v>
      </c>
      <c r="O3" s="45" t="s">
        <v>1032</v>
      </c>
      <c r="P3" s="45">
        <v>2</v>
      </c>
      <c r="Q3" s="45">
        <v>0</v>
      </c>
      <c r="R3" s="45">
        <v>0</v>
      </c>
      <c r="S3" s="45">
        <v>0</v>
      </c>
      <c r="T3" s="45">
        <v>0</v>
      </c>
      <c r="U3" s="45">
        <v>3</v>
      </c>
      <c r="V3" s="46">
        <f t="shared" si="0"/>
        <v>75</v>
      </c>
      <c r="W3" s="45" t="s">
        <v>1033</v>
      </c>
      <c r="X3" s="45" t="s">
        <v>665</v>
      </c>
      <c r="Y3" s="45" t="s">
        <v>1027</v>
      </c>
    </row>
    <row r="4" spans="1:25" x14ac:dyDescent="0.15">
      <c r="A4" s="45">
        <v>109263</v>
      </c>
      <c r="B4" s="45" t="s">
        <v>662</v>
      </c>
      <c r="C4" s="45"/>
      <c r="D4" s="45" t="s">
        <v>663</v>
      </c>
      <c r="E4" s="45"/>
      <c r="F4" s="45"/>
      <c r="G4" s="45"/>
      <c r="H4" s="45" t="s">
        <v>664</v>
      </c>
      <c r="I4" s="45" t="s">
        <v>1021</v>
      </c>
      <c r="J4" s="45" t="s">
        <v>1034</v>
      </c>
      <c r="K4" s="45" t="s">
        <v>1035</v>
      </c>
      <c r="L4" s="45" t="s">
        <v>668</v>
      </c>
      <c r="M4" s="45" t="s">
        <v>1036</v>
      </c>
      <c r="N4" s="45" t="s">
        <v>661</v>
      </c>
      <c r="O4" s="45" t="s">
        <v>1037</v>
      </c>
      <c r="P4" s="45">
        <v>2</v>
      </c>
      <c r="Q4" s="45">
        <v>4</v>
      </c>
      <c r="R4" s="45">
        <v>0</v>
      </c>
      <c r="S4" s="45">
        <v>4</v>
      </c>
      <c r="T4" s="45">
        <v>4</v>
      </c>
      <c r="U4" s="45">
        <v>4</v>
      </c>
      <c r="V4" s="46">
        <f t="shared" si="0"/>
        <v>100</v>
      </c>
      <c r="W4" s="45" t="s">
        <v>1038</v>
      </c>
      <c r="X4" s="45" t="s">
        <v>665</v>
      </c>
      <c r="Y4" s="45" t="s">
        <v>1027</v>
      </c>
    </row>
    <row r="5" spans="1:25" x14ac:dyDescent="0.15">
      <c r="A5" s="45">
        <v>110062</v>
      </c>
      <c r="B5" s="45" t="s">
        <v>669</v>
      </c>
      <c r="C5" s="45" t="s">
        <v>1039</v>
      </c>
      <c r="D5" s="45" t="s">
        <v>663</v>
      </c>
      <c r="E5" s="45" t="s">
        <v>1040</v>
      </c>
      <c r="F5" s="45" t="s">
        <v>1041</v>
      </c>
      <c r="G5" s="45" t="s">
        <v>1042</v>
      </c>
      <c r="H5" s="45" t="s">
        <v>664</v>
      </c>
      <c r="I5" s="45" t="s">
        <v>1043</v>
      </c>
      <c r="J5" s="45" t="s">
        <v>670</v>
      </c>
      <c r="K5" s="45" t="s">
        <v>1041</v>
      </c>
      <c r="L5" s="45" t="s">
        <v>670</v>
      </c>
      <c r="M5" s="45" t="s">
        <v>1044</v>
      </c>
      <c r="N5" s="45" t="s">
        <v>661</v>
      </c>
      <c r="O5" s="45" t="s">
        <v>1045</v>
      </c>
      <c r="P5" s="45">
        <v>2</v>
      </c>
      <c r="Q5" s="45">
        <v>0</v>
      </c>
      <c r="R5" s="45">
        <v>0</v>
      </c>
      <c r="S5" s="45">
        <v>2</v>
      </c>
      <c r="T5" s="45">
        <v>2</v>
      </c>
      <c r="U5" s="45">
        <v>3</v>
      </c>
      <c r="V5" s="46">
        <f t="shared" si="0"/>
        <v>75</v>
      </c>
      <c r="W5" s="45" t="s">
        <v>1046</v>
      </c>
      <c r="X5" s="45" t="s">
        <v>665</v>
      </c>
      <c r="Y5" s="45" t="s">
        <v>1027</v>
      </c>
    </row>
    <row r="6" spans="1:25" x14ac:dyDescent="0.15">
      <c r="A6" s="45">
        <v>109601</v>
      </c>
      <c r="B6" s="45" t="s">
        <v>671</v>
      </c>
      <c r="C6" s="45" t="s">
        <v>1047</v>
      </c>
      <c r="D6" s="45" t="s">
        <v>663</v>
      </c>
      <c r="E6" s="45"/>
      <c r="F6" s="45"/>
      <c r="G6" s="45"/>
      <c r="H6" s="45" t="s">
        <v>664</v>
      </c>
      <c r="I6" s="45" t="s">
        <v>1021</v>
      </c>
      <c r="J6" s="45" t="s">
        <v>1048</v>
      </c>
      <c r="K6" s="45" t="s">
        <v>1030</v>
      </c>
      <c r="L6" s="45" t="s">
        <v>672</v>
      </c>
      <c r="M6" s="45" t="s">
        <v>1049</v>
      </c>
      <c r="N6" s="45" t="s">
        <v>661</v>
      </c>
      <c r="O6" s="45" t="s">
        <v>1050</v>
      </c>
      <c r="P6" s="45">
        <v>0</v>
      </c>
      <c r="Q6" s="45">
        <v>0</v>
      </c>
      <c r="R6" s="45">
        <v>0</v>
      </c>
      <c r="S6" s="45">
        <v>0</v>
      </c>
      <c r="T6" s="45">
        <v>0</v>
      </c>
      <c r="U6" s="45">
        <v>0</v>
      </c>
      <c r="V6" s="46">
        <f t="shared" si="0"/>
        <v>0</v>
      </c>
      <c r="W6" s="45" t="s">
        <v>1051</v>
      </c>
      <c r="X6" s="45" t="s">
        <v>665</v>
      </c>
      <c r="Y6" s="45" t="s">
        <v>1027</v>
      </c>
    </row>
    <row r="7" spans="1:25" x14ac:dyDescent="0.15">
      <c r="A7" s="45">
        <v>107778</v>
      </c>
      <c r="B7" s="45" t="s">
        <v>674</v>
      </c>
      <c r="C7" s="45" t="s">
        <v>1052</v>
      </c>
      <c r="D7" s="45" t="s">
        <v>675</v>
      </c>
      <c r="E7" s="45"/>
      <c r="F7" s="45"/>
      <c r="G7" s="45"/>
      <c r="H7" s="45" t="s">
        <v>664</v>
      </c>
      <c r="I7" s="45" t="s">
        <v>1021</v>
      </c>
      <c r="J7" s="45" t="s">
        <v>1053</v>
      </c>
      <c r="K7" s="45" t="s">
        <v>1030</v>
      </c>
      <c r="L7" s="45" t="s">
        <v>676</v>
      </c>
      <c r="M7" s="45" t="s">
        <v>1054</v>
      </c>
      <c r="N7" s="45" t="s">
        <v>673</v>
      </c>
      <c r="O7" s="45" t="s">
        <v>1055</v>
      </c>
      <c r="P7" s="45">
        <v>0</v>
      </c>
      <c r="Q7" s="45">
        <v>0</v>
      </c>
      <c r="R7" s="45">
        <v>0</v>
      </c>
      <c r="S7" s="45">
        <v>0</v>
      </c>
      <c r="T7" s="45">
        <v>0</v>
      </c>
      <c r="U7" s="45">
        <v>0</v>
      </c>
      <c r="V7" s="46">
        <f t="shared" si="0"/>
        <v>0</v>
      </c>
      <c r="W7" s="45" t="s">
        <v>1051</v>
      </c>
      <c r="X7" s="45" t="s">
        <v>665</v>
      </c>
      <c r="Y7" s="45" t="s">
        <v>1027</v>
      </c>
    </row>
    <row r="8" spans="1:25" x14ac:dyDescent="0.15">
      <c r="A8" s="45">
        <v>105519</v>
      </c>
      <c r="B8" s="45" t="s">
        <v>662</v>
      </c>
      <c r="C8" s="45" t="s">
        <v>1056</v>
      </c>
      <c r="D8" s="45" t="s">
        <v>663</v>
      </c>
      <c r="E8" s="45"/>
      <c r="F8" s="45"/>
      <c r="G8" s="45"/>
      <c r="H8" s="45" t="s">
        <v>677</v>
      </c>
      <c r="I8" s="45" t="s">
        <v>1021</v>
      </c>
      <c r="J8" s="45" t="s">
        <v>1057</v>
      </c>
      <c r="K8" s="45" t="s">
        <v>1023</v>
      </c>
      <c r="L8" s="45" t="s">
        <v>679</v>
      </c>
      <c r="M8" s="45" t="s">
        <v>1058</v>
      </c>
      <c r="N8" s="45" t="s">
        <v>661</v>
      </c>
      <c r="O8" s="45" t="s">
        <v>1059</v>
      </c>
      <c r="P8" s="45">
        <v>2</v>
      </c>
      <c r="Q8" s="45">
        <v>0</v>
      </c>
      <c r="R8" s="45">
        <v>0</v>
      </c>
      <c r="S8" s="45">
        <v>0</v>
      </c>
      <c r="T8" s="45">
        <v>0</v>
      </c>
      <c r="U8" s="45">
        <v>3</v>
      </c>
      <c r="V8" s="46">
        <f t="shared" si="0"/>
        <v>75</v>
      </c>
      <c r="W8" s="45" t="s">
        <v>1033</v>
      </c>
      <c r="X8" s="45" t="s">
        <v>678</v>
      </c>
      <c r="Y8" s="45" t="s">
        <v>1027</v>
      </c>
    </row>
    <row r="9" spans="1:25" x14ac:dyDescent="0.15">
      <c r="A9" s="45">
        <v>107262</v>
      </c>
      <c r="B9" s="45" t="s">
        <v>662</v>
      </c>
      <c r="C9" s="45" t="s">
        <v>1060</v>
      </c>
      <c r="D9" s="45" t="s">
        <v>663</v>
      </c>
      <c r="E9" s="45"/>
      <c r="F9" s="45"/>
      <c r="G9" s="45"/>
      <c r="H9" s="45" t="s">
        <v>677</v>
      </c>
      <c r="I9" s="45" t="s">
        <v>1021</v>
      </c>
      <c r="J9" s="45" t="s">
        <v>1029</v>
      </c>
      <c r="K9" s="45" t="s">
        <v>1023</v>
      </c>
      <c r="L9" s="45" t="s">
        <v>680</v>
      </c>
      <c r="M9" s="45" t="s">
        <v>1061</v>
      </c>
      <c r="N9" s="45" t="s">
        <v>661</v>
      </c>
      <c r="O9" s="45" t="s">
        <v>1062</v>
      </c>
      <c r="P9" s="45">
        <v>3</v>
      </c>
      <c r="Q9" s="45">
        <v>0</v>
      </c>
      <c r="R9" s="45">
        <v>0</v>
      </c>
      <c r="S9" s="45">
        <v>0</v>
      </c>
      <c r="T9" s="45">
        <v>0</v>
      </c>
      <c r="U9" s="45">
        <v>3</v>
      </c>
      <c r="V9" s="46">
        <f t="shared" si="0"/>
        <v>75</v>
      </c>
      <c r="W9" s="45" t="s">
        <v>1033</v>
      </c>
      <c r="X9" s="45" t="s">
        <v>678</v>
      </c>
      <c r="Y9" s="45" t="s">
        <v>1027</v>
      </c>
    </row>
    <row r="10" spans="1:25" x14ac:dyDescent="0.15">
      <c r="A10" s="45">
        <v>107277</v>
      </c>
      <c r="B10" s="45" t="s">
        <v>674</v>
      </c>
      <c r="C10" s="45" t="s">
        <v>1063</v>
      </c>
      <c r="D10" s="45" t="s">
        <v>675</v>
      </c>
      <c r="E10" s="45"/>
      <c r="F10" s="45"/>
      <c r="G10" s="45"/>
      <c r="H10" s="45" t="s">
        <v>677</v>
      </c>
      <c r="I10" s="45" t="s">
        <v>1021</v>
      </c>
      <c r="J10" s="45" t="s">
        <v>1029</v>
      </c>
      <c r="K10" s="45" t="s">
        <v>1023</v>
      </c>
      <c r="L10" s="45" t="s">
        <v>681</v>
      </c>
      <c r="M10" s="45" t="s">
        <v>1064</v>
      </c>
      <c r="N10" s="45" t="s">
        <v>673</v>
      </c>
      <c r="O10" s="45" t="s">
        <v>1065</v>
      </c>
      <c r="P10" s="45">
        <v>2</v>
      </c>
      <c r="Q10" s="45">
        <v>0</v>
      </c>
      <c r="R10" s="45">
        <v>0</v>
      </c>
      <c r="S10" s="45">
        <v>0</v>
      </c>
      <c r="T10" s="45">
        <v>0</v>
      </c>
      <c r="U10" s="45">
        <v>2</v>
      </c>
      <c r="V10" s="46">
        <f t="shared" si="0"/>
        <v>50</v>
      </c>
      <c r="W10" s="45" t="s">
        <v>1033</v>
      </c>
      <c r="X10" s="45" t="s">
        <v>678</v>
      </c>
      <c r="Y10" s="45" t="s">
        <v>1027</v>
      </c>
    </row>
    <row r="11" spans="1:25" x14ac:dyDescent="0.15">
      <c r="A11" s="45">
        <v>107767</v>
      </c>
      <c r="B11" s="45" t="s">
        <v>662</v>
      </c>
      <c r="C11" s="45" t="s">
        <v>1066</v>
      </c>
      <c r="D11" s="45" t="s">
        <v>663</v>
      </c>
      <c r="E11" s="45"/>
      <c r="F11" s="45"/>
      <c r="G11" s="45"/>
      <c r="H11" s="45" t="s">
        <v>677</v>
      </c>
      <c r="I11" s="45" t="s">
        <v>1021</v>
      </c>
      <c r="J11" s="45" t="s">
        <v>1067</v>
      </c>
      <c r="K11" s="45" t="s">
        <v>1030</v>
      </c>
      <c r="L11" s="45" t="s">
        <v>682</v>
      </c>
      <c r="M11" s="45" t="s">
        <v>1068</v>
      </c>
      <c r="N11" s="45" t="s">
        <v>661</v>
      </c>
      <c r="O11" s="45" t="s">
        <v>1069</v>
      </c>
      <c r="P11" s="45">
        <v>2</v>
      </c>
      <c r="Q11" s="45">
        <v>0</v>
      </c>
      <c r="R11" s="45">
        <v>0</v>
      </c>
      <c r="S11" s="45">
        <v>0</v>
      </c>
      <c r="T11" s="45">
        <v>0</v>
      </c>
      <c r="U11" s="45">
        <v>3</v>
      </c>
      <c r="V11" s="46">
        <f t="shared" si="0"/>
        <v>75</v>
      </c>
      <c r="W11" s="45" t="s">
        <v>1033</v>
      </c>
      <c r="X11" s="45" t="s">
        <v>678</v>
      </c>
      <c r="Y11" s="45" t="s">
        <v>1027</v>
      </c>
    </row>
    <row r="12" spans="1:25" x14ac:dyDescent="0.15">
      <c r="A12" s="45">
        <v>107932</v>
      </c>
      <c r="B12" s="45" t="s">
        <v>662</v>
      </c>
      <c r="C12" s="45" t="s">
        <v>1070</v>
      </c>
      <c r="D12" s="45" t="s">
        <v>663</v>
      </c>
      <c r="E12" s="45"/>
      <c r="F12" s="45"/>
      <c r="G12" s="45"/>
      <c r="H12" s="45" t="s">
        <v>677</v>
      </c>
      <c r="I12" s="45" t="s">
        <v>1021</v>
      </c>
      <c r="J12" s="45" t="s">
        <v>1071</v>
      </c>
      <c r="K12" s="45" t="s">
        <v>1030</v>
      </c>
      <c r="L12" s="45" t="s">
        <v>683</v>
      </c>
      <c r="M12" s="45" t="s">
        <v>1072</v>
      </c>
      <c r="N12" s="45" t="s">
        <v>661</v>
      </c>
      <c r="O12" s="45" t="s">
        <v>1073</v>
      </c>
      <c r="P12" s="45">
        <v>2</v>
      </c>
      <c r="Q12" s="45">
        <v>0</v>
      </c>
      <c r="R12" s="45">
        <v>0</v>
      </c>
      <c r="S12" s="45">
        <v>0</v>
      </c>
      <c r="T12" s="45">
        <v>0</v>
      </c>
      <c r="U12" s="45">
        <v>3</v>
      </c>
      <c r="V12" s="46">
        <f t="shared" si="0"/>
        <v>75</v>
      </c>
      <c r="W12" s="45" t="s">
        <v>1033</v>
      </c>
      <c r="X12" s="45" t="s">
        <v>678</v>
      </c>
      <c r="Y12" s="45" t="s">
        <v>1027</v>
      </c>
    </row>
    <row r="13" spans="1:25" x14ac:dyDescent="0.15">
      <c r="A13" s="45">
        <v>108218</v>
      </c>
      <c r="B13" s="45" t="s">
        <v>684</v>
      </c>
      <c r="C13" s="45" t="s">
        <v>1074</v>
      </c>
      <c r="D13" s="45" t="s">
        <v>685</v>
      </c>
      <c r="E13" s="45"/>
      <c r="F13" s="45"/>
      <c r="G13" s="45"/>
      <c r="H13" s="45" t="s">
        <v>677</v>
      </c>
      <c r="I13" s="45" t="s">
        <v>1021</v>
      </c>
      <c r="J13" s="45" t="s">
        <v>1075</v>
      </c>
      <c r="K13" s="45" t="s">
        <v>1030</v>
      </c>
      <c r="L13" s="45" t="s">
        <v>686</v>
      </c>
      <c r="M13" s="45" t="s">
        <v>1076</v>
      </c>
      <c r="N13" s="45" t="s">
        <v>661</v>
      </c>
      <c r="O13" s="45" t="s">
        <v>1077</v>
      </c>
      <c r="P13" s="45">
        <v>2</v>
      </c>
      <c r="Q13" s="45">
        <v>0</v>
      </c>
      <c r="R13" s="45">
        <v>0</v>
      </c>
      <c r="S13" s="45">
        <v>0</v>
      </c>
      <c r="T13" s="45">
        <v>0</v>
      </c>
      <c r="U13" s="45">
        <v>0</v>
      </c>
      <c r="V13" s="46">
        <f t="shared" si="0"/>
        <v>0</v>
      </c>
      <c r="W13" s="45" t="s">
        <v>1033</v>
      </c>
      <c r="X13" s="45" t="s">
        <v>678</v>
      </c>
      <c r="Y13" s="45" t="s">
        <v>1027</v>
      </c>
    </row>
    <row r="14" spans="1:25" x14ac:dyDescent="0.15">
      <c r="A14" s="45">
        <v>108693</v>
      </c>
      <c r="B14" s="45" t="s">
        <v>687</v>
      </c>
      <c r="C14" s="45" t="s">
        <v>1078</v>
      </c>
      <c r="D14" s="45" t="s">
        <v>663</v>
      </c>
      <c r="E14" s="45"/>
      <c r="F14" s="45"/>
      <c r="G14" s="45"/>
      <c r="H14" s="45" t="s">
        <v>677</v>
      </c>
      <c r="I14" s="45" t="s">
        <v>1021</v>
      </c>
      <c r="J14" s="45" t="s">
        <v>1075</v>
      </c>
      <c r="K14" s="45" t="s">
        <v>1030</v>
      </c>
      <c r="L14" s="45" t="s">
        <v>688</v>
      </c>
      <c r="M14" s="45" t="s">
        <v>1076</v>
      </c>
      <c r="N14" s="45" t="s">
        <v>661</v>
      </c>
      <c r="O14" s="45" t="s">
        <v>1079</v>
      </c>
      <c r="P14" s="45">
        <v>2</v>
      </c>
      <c r="Q14" s="45">
        <v>0</v>
      </c>
      <c r="R14" s="45">
        <v>0</v>
      </c>
      <c r="S14" s="45">
        <v>0</v>
      </c>
      <c r="T14" s="45">
        <v>0</v>
      </c>
      <c r="U14" s="45">
        <v>0</v>
      </c>
      <c r="V14" s="46">
        <f t="shared" si="0"/>
        <v>0</v>
      </c>
      <c r="W14" s="45" t="s">
        <v>1033</v>
      </c>
      <c r="X14" s="45" t="s">
        <v>678</v>
      </c>
      <c r="Y14" s="45" t="s">
        <v>1027</v>
      </c>
    </row>
    <row r="15" spans="1:25" x14ac:dyDescent="0.15">
      <c r="A15" s="45">
        <v>108584</v>
      </c>
      <c r="B15" s="45" t="s">
        <v>689</v>
      </c>
      <c r="C15" s="45" t="s">
        <v>1080</v>
      </c>
      <c r="D15" s="45" t="s">
        <v>685</v>
      </c>
      <c r="E15" s="45" t="s">
        <v>1081</v>
      </c>
      <c r="F15" s="45" t="s">
        <v>1030</v>
      </c>
      <c r="G15" s="45" t="s">
        <v>1082</v>
      </c>
      <c r="H15" s="45" t="s">
        <v>677</v>
      </c>
      <c r="I15" s="45" t="s">
        <v>1021</v>
      </c>
      <c r="J15" s="45" t="s">
        <v>1083</v>
      </c>
      <c r="K15" s="45" t="s">
        <v>1030</v>
      </c>
      <c r="L15" s="45" t="s">
        <v>690</v>
      </c>
      <c r="M15" s="45" t="s">
        <v>1084</v>
      </c>
      <c r="N15" s="45" t="s">
        <v>661</v>
      </c>
      <c r="O15" s="45" t="s">
        <v>1085</v>
      </c>
      <c r="P15" s="45">
        <v>2</v>
      </c>
      <c r="Q15" s="45">
        <v>0</v>
      </c>
      <c r="R15" s="45">
        <v>0</v>
      </c>
      <c r="S15" s="45">
        <v>0</v>
      </c>
      <c r="T15" s="45">
        <v>0</v>
      </c>
      <c r="U15" s="45">
        <v>0</v>
      </c>
      <c r="V15" s="46">
        <f t="shared" si="0"/>
        <v>0</v>
      </c>
      <c r="W15" s="45" t="s">
        <v>1033</v>
      </c>
      <c r="X15" s="45" t="s">
        <v>678</v>
      </c>
      <c r="Y15" s="45" t="s">
        <v>1027</v>
      </c>
    </row>
    <row r="16" spans="1:25" x14ac:dyDescent="0.15">
      <c r="A16" s="45">
        <v>105889</v>
      </c>
      <c r="B16" s="45" t="s">
        <v>671</v>
      </c>
      <c r="C16" s="45" t="s">
        <v>1086</v>
      </c>
      <c r="D16" s="45" t="s">
        <v>663</v>
      </c>
      <c r="E16" s="45" t="s">
        <v>1087</v>
      </c>
      <c r="F16" s="45" t="s">
        <v>1035</v>
      </c>
      <c r="G16" s="45" t="s">
        <v>1088</v>
      </c>
      <c r="H16" s="45" t="s">
        <v>691</v>
      </c>
      <c r="I16" s="45" t="s">
        <v>1021</v>
      </c>
      <c r="J16" s="45" t="s">
        <v>1089</v>
      </c>
      <c r="K16" s="45" t="s">
        <v>1035</v>
      </c>
      <c r="L16" s="45" t="s">
        <v>693</v>
      </c>
      <c r="M16" s="45" t="s">
        <v>1087</v>
      </c>
      <c r="N16" s="45" t="s">
        <v>661</v>
      </c>
      <c r="O16" s="45" t="s">
        <v>1090</v>
      </c>
      <c r="P16" s="45">
        <v>6</v>
      </c>
      <c r="Q16" s="45">
        <v>1</v>
      </c>
      <c r="R16" s="45">
        <v>0</v>
      </c>
      <c r="S16" s="45">
        <v>0</v>
      </c>
      <c r="T16" s="45">
        <v>1</v>
      </c>
      <c r="U16" s="45">
        <v>3</v>
      </c>
      <c r="V16" s="46">
        <f t="shared" si="0"/>
        <v>75</v>
      </c>
      <c r="W16" s="45" t="s">
        <v>1091</v>
      </c>
      <c r="X16" s="45" t="s">
        <v>692</v>
      </c>
      <c r="Y16" s="45" t="s">
        <v>1027</v>
      </c>
    </row>
    <row r="17" spans="1:25" x14ac:dyDescent="0.15">
      <c r="A17" s="45">
        <v>106295</v>
      </c>
      <c r="B17" s="45" t="s">
        <v>694</v>
      </c>
      <c r="C17" s="45" t="s">
        <v>1092</v>
      </c>
      <c r="D17" s="45" t="s">
        <v>685</v>
      </c>
      <c r="E17" s="45" t="s">
        <v>1093</v>
      </c>
      <c r="F17" s="45" t="s">
        <v>1035</v>
      </c>
      <c r="G17" s="45" t="s">
        <v>1094</v>
      </c>
      <c r="H17" s="45" t="s">
        <v>691</v>
      </c>
      <c r="I17" s="45" t="s">
        <v>1021</v>
      </c>
      <c r="J17" s="45" t="s">
        <v>1095</v>
      </c>
      <c r="K17" s="45" t="s">
        <v>1035</v>
      </c>
      <c r="L17" s="45" t="s">
        <v>695</v>
      </c>
      <c r="M17" s="45" t="s">
        <v>1093</v>
      </c>
      <c r="N17" s="45" t="s">
        <v>661</v>
      </c>
      <c r="O17" s="45" t="s">
        <v>1096</v>
      </c>
      <c r="P17" s="45">
        <v>2</v>
      </c>
      <c r="Q17" s="45">
        <v>0</v>
      </c>
      <c r="R17" s="45">
        <v>0</v>
      </c>
      <c r="S17" s="45">
        <v>0</v>
      </c>
      <c r="T17" s="45">
        <v>4</v>
      </c>
      <c r="U17" s="45">
        <v>5</v>
      </c>
      <c r="V17" s="46">
        <f t="shared" si="0"/>
        <v>125</v>
      </c>
      <c r="W17" s="45" t="s">
        <v>1097</v>
      </c>
      <c r="X17" s="45" t="s">
        <v>692</v>
      </c>
      <c r="Y17" s="45" t="s">
        <v>1027</v>
      </c>
    </row>
    <row r="18" spans="1:25" x14ac:dyDescent="0.15">
      <c r="A18" s="45">
        <v>106696</v>
      </c>
      <c r="B18" s="45" t="s">
        <v>671</v>
      </c>
      <c r="C18" s="45" t="s">
        <v>1098</v>
      </c>
      <c r="D18" s="45" t="s">
        <v>663</v>
      </c>
      <c r="E18" s="45"/>
      <c r="F18" s="45"/>
      <c r="G18" s="45"/>
      <c r="H18" s="45" t="s">
        <v>691</v>
      </c>
      <c r="I18" s="45" t="s">
        <v>1021</v>
      </c>
      <c r="J18" s="45" t="s">
        <v>1099</v>
      </c>
      <c r="K18" s="45" t="s">
        <v>1035</v>
      </c>
      <c r="L18" s="45" t="s">
        <v>696</v>
      </c>
      <c r="M18" s="45" t="s">
        <v>1100</v>
      </c>
      <c r="N18" s="45" t="s">
        <v>661</v>
      </c>
      <c r="O18" s="45" t="s">
        <v>1101</v>
      </c>
      <c r="P18" s="45">
        <v>2</v>
      </c>
      <c r="Q18" s="45">
        <v>0</v>
      </c>
      <c r="R18" s="45">
        <v>0</v>
      </c>
      <c r="S18" s="45">
        <v>0</v>
      </c>
      <c r="T18" s="45">
        <v>0</v>
      </c>
      <c r="U18" s="45">
        <v>2</v>
      </c>
      <c r="V18" s="46">
        <f t="shared" si="0"/>
        <v>50</v>
      </c>
      <c r="W18" s="45" t="s">
        <v>1033</v>
      </c>
      <c r="X18" s="45" t="s">
        <v>692</v>
      </c>
      <c r="Y18" s="45" t="s">
        <v>1027</v>
      </c>
    </row>
    <row r="19" spans="1:25" x14ac:dyDescent="0.15">
      <c r="A19" s="45">
        <v>107046</v>
      </c>
      <c r="B19" s="45" t="s">
        <v>671</v>
      </c>
      <c r="C19" s="45" t="s">
        <v>1102</v>
      </c>
      <c r="D19" s="45" t="s">
        <v>663</v>
      </c>
      <c r="E19" s="45"/>
      <c r="F19" s="45"/>
      <c r="G19" s="45"/>
      <c r="H19" s="45" t="s">
        <v>691</v>
      </c>
      <c r="I19" s="45" t="s">
        <v>1021</v>
      </c>
      <c r="J19" s="45" t="s">
        <v>1103</v>
      </c>
      <c r="K19" s="45" t="s">
        <v>1030</v>
      </c>
      <c r="L19" s="45" t="s">
        <v>697</v>
      </c>
      <c r="M19" s="45" t="s">
        <v>1104</v>
      </c>
      <c r="N19" s="45" t="s">
        <v>661</v>
      </c>
      <c r="O19" s="45" t="s">
        <v>1105</v>
      </c>
      <c r="P19" s="45">
        <v>2</v>
      </c>
      <c r="Q19" s="45">
        <v>0</v>
      </c>
      <c r="R19" s="45">
        <v>0</v>
      </c>
      <c r="S19" s="45">
        <v>0</v>
      </c>
      <c r="T19" s="45">
        <v>0</v>
      </c>
      <c r="U19" s="45">
        <v>0</v>
      </c>
      <c r="V19" s="46">
        <f t="shared" si="0"/>
        <v>0</v>
      </c>
      <c r="W19" s="45" t="s">
        <v>1033</v>
      </c>
      <c r="X19" s="45" t="s">
        <v>692</v>
      </c>
      <c r="Y19" s="45" t="s">
        <v>1027</v>
      </c>
    </row>
    <row r="20" spans="1:25" x14ac:dyDescent="0.15">
      <c r="A20" s="45">
        <v>107160</v>
      </c>
      <c r="B20" s="45" t="s">
        <v>698</v>
      </c>
      <c r="C20" s="45" t="s">
        <v>1106</v>
      </c>
      <c r="D20" s="45" t="s">
        <v>675</v>
      </c>
      <c r="E20" s="45"/>
      <c r="F20" s="45"/>
      <c r="G20" s="45"/>
      <c r="H20" s="45" t="s">
        <v>691</v>
      </c>
      <c r="I20" s="45" t="s">
        <v>1021</v>
      </c>
      <c r="J20" s="45" t="s">
        <v>1022</v>
      </c>
      <c r="K20" s="45" t="s">
        <v>1023</v>
      </c>
      <c r="L20" s="45" t="s">
        <v>699</v>
      </c>
      <c r="M20" s="45" t="s">
        <v>1107</v>
      </c>
      <c r="N20" s="45" t="s">
        <v>661</v>
      </c>
      <c r="O20" s="45" t="s">
        <v>1108</v>
      </c>
      <c r="P20" s="45">
        <v>2</v>
      </c>
      <c r="Q20" s="45">
        <v>0</v>
      </c>
      <c r="R20" s="45">
        <v>1</v>
      </c>
      <c r="S20" s="45">
        <v>0</v>
      </c>
      <c r="T20" s="45">
        <v>0</v>
      </c>
      <c r="U20" s="45">
        <v>3</v>
      </c>
      <c r="V20" s="46">
        <f t="shared" si="0"/>
        <v>75</v>
      </c>
      <c r="W20" s="45" t="s">
        <v>1026</v>
      </c>
      <c r="X20" s="45" t="s">
        <v>692</v>
      </c>
      <c r="Y20" s="45" t="s">
        <v>1027</v>
      </c>
    </row>
    <row r="21" spans="1:25" x14ac:dyDescent="0.15">
      <c r="A21" s="45">
        <v>108080</v>
      </c>
      <c r="B21" s="45" t="s">
        <v>700</v>
      </c>
      <c r="C21" s="45" t="s">
        <v>1109</v>
      </c>
      <c r="D21" s="45" t="s">
        <v>663</v>
      </c>
      <c r="E21" s="45"/>
      <c r="F21" s="45"/>
      <c r="G21" s="45"/>
      <c r="H21" s="45" t="s">
        <v>691</v>
      </c>
      <c r="I21" s="45" t="s">
        <v>1021</v>
      </c>
      <c r="J21" s="45" t="s">
        <v>1110</v>
      </c>
      <c r="K21" s="45" t="s">
        <v>1030</v>
      </c>
      <c r="L21" s="45" t="s">
        <v>701</v>
      </c>
      <c r="M21" s="45" t="s">
        <v>1111</v>
      </c>
      <c r="N21" s="45" t="s">
        <v>661</v>
      </c>
      <c r="O21" s="45" t="s">
        <v>1112</v>
      </c>
      <c r="P21" s="45">
        <v>2</v>
      </c>
      <c r="Q21" s="45">
        <v>0</v>
      </c>
      <c r="R21" s="45">
        <v>0</v>
      </c>
      <c r="S21" s="45">
        <v>0</v>
      </c>
      <c r="T21" s="45">
        <v>0</v>
      </c>
      <c r="U21" s="45">
        <v>0</v>
      </c>
      <c r="V21" s="46">
        <f t="shared" si="0"/>
        <v>0</v>
      </c>
      <c r="W21" s="45" t="s">
        <v>1033</v>
      </c>
      <c r="X21" s="45" t="s">
        <v>692</v>
      </c>
      <c r="Y21" s="45" t="s">
        <v>1027</v>
      </c>
    </row>
    <row r="22" spans="1:25" x14ac:dyDescent="0.15">
      <c r="A22" s="45">
        <v>108469</v>
      </c>
      <c r="B22" s="45" t="s">
        <v>700</v>
      </c>
      <c r="C22" s="45" t="s">
        <v>1113</v>
      </c>
      <c r="D22" s="45" t="s">
        <v>663</v>
      </c>
      <c r="E22" s="45"/>
      <c r="F22" s="45"/>
      <c r="G22" s="45"/>
      <c r="H22" s="45" t="s">
        <v>691</v>
      </c>
      <c r="I22" s="45" t="s">
        <v>1021</v>
      </c>
      <c r="J22" s="45" t="s">
        <v>1114</v>
      </c>
      <c r="K22" s="45" t="s">
        <v>1035</v>
      </c>
      <c r="L22" s="45" t="s">
        <v>702</v>
      </c>
      <c r="M22" s="45" t="s">
        <v>1115</v>
      </c>
      <c r="N22" s="45" t="s">
        <v>661</v>
      </c>
      <c r="O22" s="45" t="s">
        <v>1116</v>
      </c>
      <c r="P22" s="45">
        <v>2</v>
      </c>
      <c r="Q22" s="45">
        <v>1</v>
      </c>
      <c r="R22" s="45">
        <v>2</v>
      </c>
      <c r="S22" s="45">
        <v>1</v>
      </c>
      <c r="T22" s="45">
        <v>1</v>
      </c>
      <c r="U22" s="45">
        <v>3</v>
      </c>
      <c r="V22" s="46">
        <f t="shared" si="0"/>
        <v>75</v>
      </c>
      <c r="W22" s="45" t="s">
        <v>1117</v>
      </c>
      <c r="X22" s="45" t="s">
        <v>692</v>
      </c>
      <c r="Y22" s="45" t="s">
        <v>1027</v>
      </c>
    </row>
    <row r="23" spans="1:25" x14ac:dyDescent="0.15">
      <c r="A23" s="45">
        <v>108874</v>
      </c>
      <c r="B23" s="45" t="s">
        <v>671</v>
      </c>
      <c r="C23" s="45" t="s">
        <v>1118</v>
      </c>
      <c r="D23" s="45" t="s">
        <v>663</v>
      </c>
      <c r="E23" s="45"/>
      <c r="F23" s="45"/>
      <c r="G23" s="45"/>
      <c r="H23" s="45" t="s">
        <v>691</v>
      </c>
      <c r="I23" s="45" t="s">
        <v>1021</v>
      </c>
      <c r="J23" s="45" t="s">
        <v>1119</v>
      </c>
      <c r="K23" s="45" t="s">
        <v>1035</v>
      </c>
      <c r="L23" s="45" t="s">
        <v>703</v>
      </c>
      <c r="M23" s="45" t="s">
        <v>1120</v>
      </c>
      <c r="N23" s="45" t="s">
        <v>661</v>
      </c>
      <c r="O23" s="45" t="s">
        <v>1121</v>
      </c>
      <c r="P23" s="45">
        <v>3</v>
      </c>
      <c r="Q23" s="45">
        <v>1</v>
      </c>
      <c r="R23" s="45">
        <v>0</v>
      </c>
      <c r="S23" s="45">
        <v>1</v>
      </c>
      <c r="T23" s="45">
        <v>1</v>
      </c>
      <c r="U23" s="45">
        <v>3</v>
      </c>
      <c r="V23" s="46">
        <f t="shared" si="0"/>
        <v>75</v>
      </c>
      <c r="W23" s="45" t="s">
        <v>1038</v>
      </c>
      <c r="X23" s="45" t="s">
        <v>692</v>
      </c>
      <c r="Y23" s="45" t="s">
        <v>1027</v>
      </c>
    </row>
    <row r="24" spans="1:25" x14ac:dyDescent="0.15">
      <c r="A24" s="45">
        <v>109284</v>
      </c>
      <c r="B24" s="45" t="s">
        <v>671</v>
      </c>
      <c r="C24" s="45" t="s">
        <v>1122</v>
      </c>
      <c r="D24" s="45" t="s">
        <v>663</v>
      </c>
      <c r="E24" s="45" t="s">
        <v>1123</v>
      </c>
      <c r="F24" s="45" t="s">
        <v>1035</v>
      </c>
      <c r="G24" s="45" t="s">
        <v>1124</v>
      </c>
      <c r="H24" s="45" t="s">
        <v>691</v>
      </c>
      <c r="I24" s="45" t="s">
        <v>1021</v>
      </c>
      <c r="J24" s="45" t="s">
        <v>1034</v>
      </c>
      <c r="K24" s="45" t="s">
        <v>1035</v>
      </c>
      <c r="L24" s="45" t="s">
        <v>704</v>
      </c>
      <c r="M24" s="45" t="s">
        <v>1123</v>
      </c>
      <c r="N24" s="45" t="s">
        <v>661</v>
      </c>
      <c r="O24" s="45" t="s">
        <v>1125</v>
      </c>
      <c r="P24" s="45">
        <v>2</v>
      </c>
      <c r="Q24" s="45">
        <v>1</v>
      </c>
      <c r="R24" s="45">
        <v>0</v>
      </c>
      <c r="S24" s="45">
        <v>1</v>
      </c>
      <c r="T24" s="45">
        <v>1</v>
      </c>
      <c r="U24" s="45">
        <v>3</v>
      </c>
      <c r="V24" s="46">
        <f t="shared" si="0"/>
        <v>75</v>
      </c>
      <c r="W24" s="45" t="s">
        <v>1038</v>
      </c>
      <c r="X24" s="45" t="s">
        <v>692</v>
      </c>
      <c r="Y24" s="45" t="s">
        <v>1027</v>
      </c>
    </row>
    <row r="25" spans="1:25" x14ac:dyDescent="0.15">
      <c r="A25" s="45">
        <v>105963</v>
      </c>
      <c r="B25" s="45" t="s">
        <v>662</v>
      </c>
      <c r="C25" s="45" t="s">
        <v>1126</v>
      </c>
      <c r="D25" s="45" t="s">
        <v>663</v>
      </c>
      <c r="E25" s="45" t="s">
        <v>1127</v>
      </c>
      <c r="F25" s="45" t="s">
        <v>1035</v>
      </c>
      <c r="G25" s="45" t="s">
        <v>1128</v>
      </c>
      <c r="H25" s="45" t="s">
        <v>705</v>
      </c>
      <c r="I25" s="45" t="s">
        <v>1021</v>
      </c>
      <c r="J25" s="45" t="s">
        <v>1129</v>
      </c>
      <c r="K25" s="45" t="s">
        <v>1035</v>
      </c>
      <c r="L25" s="45" t="s">
        <v>707</v>
      </c>
      <c r="M25" s="45" t="s">
        <v>1127</v>
      </c>
      <c r="N25" s="45" t="s">
        <v>661</v>
      </c>
      <c r="O25" s="45" t="s">
        <v>1130</v>
      </c>
      <c r="P25" s="45">
        <v>5</v>
      </c>
      <c r="Q25" s="45">
        <v>0</v>
      </c>
      <c r="R25" s="45">
        <v>0</v>
      </c>
      <c r="S25" s="45">
        <v>0</v>
      </c>
      <c r="T25" s="45">
        <v>2</v>
      </c>
      <c r="U25" s="45">
        <v>3</v>
      </c>
      <c r="V25" s="46">
        <f t="shared" si="0"/>
        <v>75</v>
      </c>
      <c r="W25" s="45" t="s">
        <v>1097</v>
      </c>
      <c r="X25" s="45" t="s">
        <v>706</v>
      </c>
      <c r="Y25" s="45" t="s">
        <v>1027</v>
      </c>
    </row>
    <row r="26" spans="1:25" x14ac:dyDescent="0.15">
      <c r="A26" s="45">
        <v>106477</v>
      </c>
      <c r="B26" s="45" t="s">
        <v>662</v>
      </c>
      <c r="C26" s="45" t="s">
        <v>1131</v>
      </c>
      <c r="D26" s="45" t="s">
        <v>663</v>
      </c>
      <c r="E26" s="45"/>
      <c r="F26" s="45"/>
      <c r="G26" s="45"/>
      <c r="H26" s="45" t="s">
        <v>705</v>
      </c>
      <c r="I26" s="45" t="s">
        <v>1021</v>
      </c>
      <c r="J26" s="45" t="s">
        <v>1099</v>
      </c>
      <c r="K26" s="45" t="s">
        <v>1023</v>
      </c>
      <c r="L26" s="45" t="s">
        <v>708</v>
      </c>
      <c r="M26" s="45" t="s">
        <v>1132</v>
      </c>
      <c r="N26" s="45" t="s">
        <v>661</v>
      </c>
      <c r="O26" s="45" t="s">
        <v>1133</v>
      </c>
      <c r="P26" s="45">
        <v>3</v>
      </c>
      <c r="Q26" s="45">
        <v>0</v>
      </c>
      <c r="R26" s="45">
        <v>0</v>
      </c>
      <c r="S26" s="45">
        <v>0</v>
      </c>
      <c r="T26" s="45">
        <v>0</v>
      </c>
      <c r="U26" s="45">
        <v>3</v>
      </c>
      <c r="V26" s="46">
        <f t="shared" si="0"/>
        <v>75</v>
      </c>
      <c r="W26" s="45" t="s">
        <v>1033</v>
      </c>
      <c r="X26" s="45" t="s">
        <v>706</v>
      </c>
      <c r="Y26" s="45" t="s">
        <v>1027</v>
      </c>
    </row>
    <row r="27" spans="1:25" x14ac:dyDescent="0.15">
      <c r="A27" s="45">
        <v>107102</v>
      </c>
      <c r="B27" s="45" t="s">
        <v>662</v>
      </c>
      <c r="C27" s="45" t="s">
        <v>1134</v>
      </c>
      <c r="D27" s="45" t="s">
        <v>663</v>
      </c>
      <c r="E27" s="45"/>
      <c r="F27" s="45"/>
      <c r="G27" s="45"/>
      <c r="H27" s="45" t="s">
        <v>705</v>
      </c>
      <c r="I27" s="45" t="s">
        <v>1021</v>
      </c>
      <c r="J27" s="45" t="s">
        <v>1022</v>
      </c>
      <c r="K27" s="45" t="s">
        <v>1030</v>
      </c>
      <c r="L27" s="45" t="s">
        <v>709</v>
      </c>
      <c r="M27" s="45" t="s">
        <v>1135</v>
      </c>
      <c r="N27" s="45" t="s">
        <v>661</v>
      </c>
      <c r="O27" s="45" t="s">
        <v>1136</v>
      </c>
      <c r="P27" s="45">
        <v>2</v>
      </c>
      <c r="Q27" s="45">
        <v>0</v>
      </c>
      <c r="R27" s="45">
        <v>0</v>
      </c>
      <c r="S27" s="45">
        <v>0</v>
      </c>
      <c r="T27" s="45">
        <v>0</v>
      </c>
      <c r="U27" s="45">
        <v>0</v>
      </c>
      <c r="V27" s="46">
        <f t="shared" si="0"/>
        <v>0</v>
      </c>
      <c r="W27" s="45" t="s">
        <v>1033</v>
      </c>
      <c r="X27" s="45" t="s">
        <v>706</v>
      </c>
      <c r="Y27" s="45" t="s">
        <v>1027</v>
      </c>
    </row>
    <row r="28" spans="1:25" x14ac:dyDescent="0.15">
      <c r="A28" s="45">
        <v>107181</v>
      </c>
      <c r="B28" s="45" t="s">
        <v>662</v>
      </c>
      <c r="C28" s="45" t="s">
        <v>1137</v>
      </c>
      <c r="D28" s="45" t="s">
        <v>663</v>
      </c>
      <c r="E28" s="45"/>
      <c r="F28" s="45"/>
      <c r="G28" s="45"/>
      <c r="H28" s="45" t="s">
        <v>705</v>
      </c>
      <c r="I28" s="45" t="s">
        <v>1021</v>
      </c>
      <c r="J28" s="45" t="s">
        <v>1022</v>
      </c>
      <c r="K28" s="45" t="s">
        <v>1030</v>
      </c>
      <c r="L28" s="45" t="s">
        <v>710</v>
      </c>
      <c r="M28" s="45" t="s">
        <v>1138</v>
      </c>
      <c r="N28" s="45" t="s">
        <v>661</v>
      </c>
      <c r="O28" s="45" t="s">
        <v>1139</v>
      </c>
      <c r="P28" s="45">
        <v>2</v>
      </c>
      <c r="Q28" s="45">
        <v>0</v>
      </c>
      <c r="R28" s="45">
        <v>0</v>
      </c>
      <c r="S28" s="45">
        <v>0</v>
      </c>
      <c r="T28" s="45">
        <v>0</v>
      </c>
      <c r="U28" s="45">
        <v>0</v>
      </c>
      <c r="V28" s="46">
        <f t="shared" si="0"/>
        <v>0</v>
      </c>
      <c r="W28" s="45" t="s">
        <v>1033</v>
      </c>
      <c r="X28" s="45" t="s">
        <v>706</v>
      </c>
      <c r="Y28" s="45" t="s">
        <v>1027</v>
      </c>
    </row>
    <row r="29" spans="1:25" x14ac:dyDescent="0.15">
      <c r="A29" s="45">
        <v>107182</v>
      </c>
      <c r="B29" s="45" t="s">
        <v>662</v>
      </c>
      <c r="C29" s="45" t="s">
        <v>1140</v>
      </c>
      <c r="D29" s="45" t="s">
        <v>663</v>
      </c>
      <c r="E29" s="45"/>
      <c r="F29" s="45"/>
      <c r="G29" s="45"/>
      <c r="H29" s="45" t="s">
        <v>705</v>
      </c>
      <c r="I29" s="45" t="s">
        <v>1021</v>
      </c>
      <c r="J29" s="45" t="s">
        <v>1022</v>
      </c>
      <c r="K29" s="45" t="s">
        <v>1035</v>
      </c>
      <c r="L29" s="45" t="s">
        <v>711</v>
      </c>
      <c r="M29" s="45" t="s">
        <v>1141</v>
      </c>
      <c r="N29" s="45" t="s">
        <v>661</v>
      </c>
      <c r="O29" s="45" t="s">
        <v>1142</v>
      </c>
      <c r="P29" s="45">
        <v>2</v>
      </c>
      <c r="Q29" s="45">
        <v>0</v>
      </c>
      <c r="R29" s="45">
        <v>0</v>
      </c>
      <c r="S29" s="45">
        <v>0</v>
      </c>
      <c r="T29" s="45">
        <v>2</v>
      </c>
      <c r="U29" s="45">
        <v>3</v>
      </c>
      <c r="V29" s="46">
        <f t="shared" si="0"/>
        <v>75</v>
      </c>
      <c r="W29" s="45" t="s">
        <v>1097</v>
      </c>
      <c r="X29" s="45" t="s">
        <v>706</v>
      </c>
      <c r="Y29" s="45" t="s">
        <v>1027</v>
      </c>
    </row>
    <row r="30" spans="1:25" x14ac:dyDescent="0.15">
      <c r="A30" s="45">
        <v>108097</v>
      </c>
      <c r="B30" s="45" t="s">
        <v>700</v>
      </c>
      <c r="C30" s="45" t="s">
        <v>1143</v>
      </c>
      <c r="D30" s="45" t="s">
        <v>663</v>
      </c>
      <c r="E30" s="45"/>
      <c r="F30" s="45"/>
      <c r="G30" s="45"/>
      <c r="H30" s="45" t="s">
        <v>705</v>
      </c>
      <c r="I30" s="45" t="s">
        <v>1021</v>
      </c>
      <c r="J30" s="45" t="s">
        <v>1110</v>
      </c>
      <c r="K30" s="45" t="s">
        <v>1030</v>
      </c>
      <c r="L30" s="45" t="s">
        <v>712</v>
      </c>
      <c r="M30" s="45" t="s">
        <v>1144</v>
      </c>
      <c r="N30" s="45" t="s">
        <v>661</v>
      </c>
      <c r="O30" s="45" t="s">
        <v>1145</v>
      </c>
      <c r="P30" s="45">
        <v>2</v>
      </c>
      <c r="Q30" s="45">
        <v>0</v>
      </c>
      <c r="R30" s="45">
        <v>0</v>
      </c>
      <c r="S30" s="45">
        <v>0</v>
      </c>
      <c r="T30" s="45">
        <v>0</v>
      </c>
      <c r="U30" s="45">
        <v>3</v>
      </c>
      <c r="V30" s="46">
        <f t="shared" si="0"/>
        <v>75</v>
      </c>
      <c r="W30" s="45" t="s">
        <v>1033</v>
      </c>
      <c r="X30" s="45" t="s">
        <v>706</v>
      </c>
      <c r="Y30" s="45" t="s">
        <v>1027</v>
      </c>
    </row>
    <row r="31" spans="1:25" x14ac:dyDescent="0.15">
      <c r="A31" s="45">
        <v>108689</v>
      </c>
      <c r="B31" s="45" t="s">
        <v>662</v>
      </c>
      <c r="C31" s="45" t="s">
        <v>1146</v>
      </c>
      <c r="D31" s="45" t="s">
        <v>663</v>
      </c>
      <c r="E31" s="45"/>
      <c r="F31" s="45"/>
      <c r="G31" s="45"/>
      <c r="H31" s="45" t="s">
        <v>705</v>
      </c>
      <c r="I31" s="45" t="s">
        <v>1021</v>
      </c>
      <c r="J31" s="45" t="s">
        <v>1075</v>
      </c>
      <c r="K31" s="45" t="s">
        <v>1030</v>
      </c>
      <c r="L31" s="45" t="s">
        <v>713</v>
      </c>
      <c r="M31" s="45" t="s">
        <v>1147</v>
      </c>
      <c r="N31" s="45" t="s">
        <v>661</v>
      </c>
      <c r="O31" s="45" t="s">
        <v>1148</v>
      </c>
      <c r="P31" s="45">
        <v>2</v>
      </c>
      <c r="Q31" s="45">
        <v>0</v>
      </c>
      <c r="R31" s="45">
        <v>0</v>
      </c>
      <c r="S31" s="45">
        <v>0</v>
      </c>
      <c r="T31" s="45">
        <v>0</v>
      </c>
      <c r="U31" s="45">
        <v>3</v>
      </c>
      <c r="V31" s="46">
        <f t="shared" si="0"/>
        <v>75</v>
      </c>
      <c r="W31" s="45" t="s">
        <v>1033</v>
      </c>
      <c r="X31" s="45" t="s">
        <v>706</v>
      </c>
      <c r="Y31" s="45" t="s">
        <v>1027</v>
      </c>
    </row>
    <row r="32" spans="1:25" x14ac:dyDescent="0.15">
      <c r="A32" s="45">
        <v>109118</v>
      </c>
      <c r="B32" s="45" t="s">
        <v>662</v>
      </c>
      <c r="C32" s="45" t="s">
        <v>1137</v>
      </c>
      <c r="D32" s="45" t="s">
        <v>663</v>
      </c>
      <c r="E32" s="45"/>
      <c r="F32" s="45"/>
      <c r="G32" s="45"/>
      <c r="H32" s="45" t="s">
        <v>705</v>
      </c>
      <c r="I32" s="45" t="s">
        <v>1021</v>
      </c>
      <c r="J32" s="45" t="s">
        <v>1083</v>
      </c>
      <c r="K32" s="45" t="s">
        <v>1023</v>
      </c>
      <c r="L32" s="45" t="s">
        <v>714</v>
      </c>
      <c r="M32" s="45" t="s">
        <v>1149</v>
      </c>
      <c r="N32" s="45" t="s">
        <v>661</v>
      </c>
      <c r="O32" s="45" t="s">
        <v>1150</v>
      </c>
      <c r="P32" s="45">
        <v>5</v>
      </c>
      <c r="Q32" s="45">
        <v>0</v>
      </c>
      <c r="R32" s="45">
        <v>0</v>
      </c>
      <c r="S32" s="45">
        <v>3</v>
      </c>
      <c r="T32" s="45">
        <v>0</v>
      </c>
      <c r="U32" s="45">
        <v>3</v>
      </c>
      <c r="V32" s="46">
        <f t="shared" si="0"/>
        <v>75</v>
      </c>
      <c r="W32" s="45" t="s">
        <v>1151</v>
      </c>
      <c r="X32" s="45" t="s">
        <v>706</v>
      </c>
      <c r="Y32" s="45" t="s">
        <v>1027</v>
      </c>
    </row>
    <row r="33" spans="1:25" x14ac:dyDescent="0.15">
      <c r="A33" s="45">
        <v>109557</v>
      </c>
      <c r="B33" s="45" t="s">
        <v>700</v>
      </c>
      <c r="C33" s="45"/>
      <c r="D33" s="45" t="s">
        <v>663</v>
      </c>
      <c r="E33" s="45"/>
      <c r="F33" s="45"/>
      <c r="G33" s="45"/>
      <c r="H33" s="45" t="s">
        <v>705</v>
      </c>
      <c r="I33" s="45" t="s">
        <v>1021</v>
      </c>
      <c r="J33" s="45" t="s">
        <v>1152</v>
      </c>
      <c r="K33" s="45" t="s">
        <v>1023</v>
      </c>
      <c r="L33" s="45" t="s">
        <v>715</v>
      </c>
      <c r="M33" s="45" t="s">
        <v>1153</v>
      </c>
      <c r="N33" s="45" t="s">
        <v>661</v>
      </c>
      <c r="O33" s="45" t="s">
        <v>1154</v>
      </c>
      <c r="P33" s="45">
        <v>2</v>
      </c>
      <c r="Q33" s="45">
        <v>0</v>
      </c>
      <c r="R33" s="45">
        <v>0</v>
      </c>
      <c r="S33" s="45">
        <v>1</v>
      </c>
      <c r="T33" s="45">
        <v>0</v>
      </c>
      <c r="U33" s="45">
        <v>2</v>
      </c>
      <c r="V33" s="46">
        <f t="shared" si="0"/>
        <v>50</v>
      </c>
      <c r="W33" s="45" t="s">
        <v>1151</v>
      </c>
      <c r="X33" s="45" t="s">
        <v>706</v>
      </c>
      <c r="Y33" s="45" t="s">
        <v>1027</v>
      </c>
    </row>
    <row r="34" spans="1:25" x14ac:dyDescent="0.15">
      <c r="A34" s="45">
        <v>107138</v>
      </c>
      <c r="B34" s="45" t="s">
        <v>669</v>
      </c>
      <c r="C34" s="45" t="s">
        <v>1155</v>
      </c>
      <c r="D34" s="45" t="s">
        <v>663</v>
      </c>
      <c r="E34" s="45" t="s">
        <v>1156</v>
      </c>
      <c r="F34" s="45" t="s">
        <v>1157</v>
      </c>
      <c r="G34" s="45" t="s">
        <v>1158</v>
      </c>
      <c r="H34" s="45" t="s">
        <v>716</v>
      </c>
      <c r="I34" s="45" t="s">
        <v>1021</v>
      </c>
      <c r="J34" s="45" t="s">
        <v>1022</v>
      </c>
      <c r="K34" s="45" t="s">
        <v>1035</v>
      </c>
      <c r="L34" s="45" t="s">
        <v>718</v>
      </c>
      <c r="M34" s="45" t="s">
        <v>1159</v>
      </c>
      <c r="N34" s="45" t="s">
        <v>661</v>
      </c>
      <c r="O34" s="45" t="s">
        <v>1160</v>
      </c>
      <c r="P34" s="45">
        <v>2</v>
      </c>
      <c r="Q34" s="45">
        <v>0</v>
      </c>
      <c r="R34" s="45">
        <v>0</v>
      </c>
      <c r="S34" s="45">
        <v>0</v>
      </c>
      <c r="T34" s="45">
        <v>0</v>
      </c>
      <c r="U34" s="45">
        <v>2</v>
      </c>
      <c r="V34" s="46">
        <f t="shared" si="0"/>
        <v>50</v>
      </c>
      <c r="W34" s="45" t="s">
        <v>1033</v>
      </c>
      <c r="X34" s="45" t="s">
        <v>717</v>
      </c>
      <c r="Y34" s="45" t="s">
        <v>1027</v>
      </c>
    </row>
    <row r="35" spans="1:25" x14ac:dyDescent="0.15">
      <c r="A35" s="45">
        <v>107222</v>
      </c>
      <c r="B35" s="45" t="s">
        <v>719</v>
      </c>
      <c r="C35" s="45" t="s">
        <v>1161</v>
      </c>
      <c r="D35" s="45" t="s">
        <v>663</v>
      </c>
      <c r="E35" s="45"/>
      <c r="F35" s="45"/>
      <c r="G35" s="45"/>
      <c r="H35" s="45" t="s">
        <v>716</v>
      </c>
      <c r="I35" s="45" t="s">
        <v>1021</v>
      </c>
      <c r="J35" s="45" t="s">
        <v>1022</v>
      </c>
      <c r="K35" s="45" t="s">
        <v>1035</v>
      </c>
      <c r="L35" s="45" t="s">
        <v>720</v>
      </c>
      <c r="M35" s="45" t="s">
        <v>1162</v>
      </c>
      <c r="N35" s="45" t="s">
        <v>661</v>
      </c>
      <c r="O35" s="45" t="s">
        <v>1163</v>
      </c>
      <c r="P35" s="45">
        <v>2</v>
      </c>
      <c r="Q35" s="45">
        <v>2</v>
      </c>
      <c r="R35" s="45">
        <v>2</v>
      </c>
      <c r="S35" s="45">
        <v>0</v>
      </c>
      <c r="T35" s="45">
        <v>0</v>
      </c>
      <c r="U35" s="45">
        <v>2</v>
      </c>
      <c r="V35" s="46">
        <f t="shared" si="0"/>
        <v>50</v>
      </c>
      <c r="W35" s="45" t="s">
        <v>1164</v>
      </c>
      <c r="X35" s="45" t="s">
        <v>717</v>
      </c>
      <c r="Y35" s="45" t="s">
        <v>1027</v>
      </c>
    </row>
    <row r="36" spans="1:25" x14ac:dyDescent="0.15">
      <c r="A36" s="45">
        <v>108213</v>
      </c>
      <c r="B36" s="45" t="s">
        <v>721</v>
      </c>
      <c r="C36" s="45" t="s">
        <v>1165</v>
      </c>
      <c r="D36" s="45" t="s">
        <v>663</v>
      </c>
      <c r="E36" s="45"/>
      <c r="F36" s="45"/>
      <c r="G36" s="45"/>
      <c r="H36" s="45" t="s">
        <v>716</v>
      </c>
      <c r="I36" s="45" t="s">
        <v>1021</v>
      </c>
      <c r="J36" s="45" t="s">
        <v>1166</v>
      </c>
      <c r="K36" s="45" t="s">
        <v>1035</v>
      </c>
      <c r="L36" s="45" t="s">
        <v>722</v>
      </c>
      <c r="M36" s="45" t="s">
        <v>1167</v>
      </c>
      <c r="N36" s="45" t="s">
        <v>661</v>
      </c>
      <c r="O36" s="45" t="s">
        <v>1168</v>
      </c>
      <c r="P36" s="45">
        <v>2</v>
      </c>
      <c r="Q36" s="45">
        <v>1</v>
      </c>
      <c r="R36" s="45">
        <v>2</v>
      </c>
      <c r="S36" s="45">
        <v>1</v>
      </c>
      <c r="T36" s="45">
        <v>1</v>
      </c>
      <c r="U36" s="45">
        <v>2</v>
      </c>
      <c r="V36" s="46">
        <f t="shared" si="0"/>
        <v>50</v>
      </c>
      <c r="W36" s="45" t="s">
        <v>1117</v>
      </c>
      <c r="X36" s="45" t="s">
        <v>717</v>
      </c>
      <c r="Y36" s="45" t="s">
        <v>1027</v>
      </c>
    </row>
    <row r="37" spans="1:25" x14ac:dyDescent="0.15">
      <c r="A37" s="45">
        <v>108489</v>
      </c>
      <c r="B37" s="45" t="s">
        <v>662</v>
      </c>
      <c r="C37" s="45" t="s">
        <v>1169</v>
      </c>
      <c r="D37" s="45" t="s">
        <v>663</v>
      </c>
      <c r="E37" s="45"/>
      <c r="F37" s="45"/>
      <c r="G37" s="45"/>
      <c r="H37" s="45" t="s">
        <v>716</v>
      </c>
      <c r="I37" s="45" t="s">
        <v>1021</v>
      </c>
      <c r="J37" s="45" t="s">
        <v>1075</v>
      </c>
      <c r="K37" s="45" t="s">
        <v>1030</v>
      </c>
      <c r="L37" s="45" t="s">
        <v>723</v>
      </c>
      <c r="M37" s="45" t="s">
        <v>1170</v>
      </c>
      <c r="N37" s="45" t="s">
        <v>661</v>
      </c>
      <c r="O37" s="45" t="s">
        <v>1171</v>
      </c>
      <c r="P37" s="45">
        <v>5</v>
      </c>
      <c r="Q37" s="45">
        <v>0</v>
      </c>
      <c r="R37" s="45">
        <v>0</v>
      </c>
      <c r="S37" s="45">
        <v>0</v>
      </c>
      <c r="T37" s="45">
        <v>0</v>
      </c>
      <c r="U37" s="45">
        <v>0</v>
      </c>
      <c r="V37" s="46">
        <f t="shared" si="0"/>
        <v>0</v>
      </c>
      <c r="W37" s="45" t="s">
        <v>1033</v>
      </c>
      <c r="X37" s="45" t="s">
        <v>717</v>
      </c>
      <c r="Y37" s="45" t="s">
        <v>1027</v>
      </c>
    </row>
    <row r="38" spans="1:25" x14ac:dyDescent="0.15">
      <c r="A38" s="45">
        <v>105394</v>
      </c>
      <c r="B38" s="45" t="s">
        <v>669</v>
      </c>
      <c r="C38" s="45" t="s">
        <v>1172</v>
      </c>
      <c r="D38" s="45" t="s">
        <v>663</v>
      </c>
      <c r="E38" s="45"/>
      <c r="F38" s="45"/>
      <c r="G38" s="45"/>
      <c r="H38" s="45" t="s">
        <v>724</v>
      </c>
      <c r="I38" s="45" t="s">
        <v>1021</v>
      </c>
      <c r="J38" s="45" t="s">
        <v>1057</v>
      </c>
      <c r="K38" s="45" t="s">
        <v>1173</v>
      </c>
      <c r="L38" s="45" t="s">
        <v>726</v>
      </c>
      <c r="M38" s="45" t="s">
        <v>1174</v>
      </c>
      <c r="N38" s="45" t="s">
        <v>661</v>
      </c>
      <c r="O38" s="45" t="s">
        <v>1175</v>
      </c>
      <c r="P38" s="45">
        <v>2</v>
      </c>
      <c r="Q38" s="45">
        <v>0</v>
      </c>
      <c r="R38" s="45">
        <v>0</v>
      </c>
      <c r="S38" s="45">
        <v>0</v>
      </c>
      <c r="T38" s="45">
        <v>0</v>
      </c>
      <c r="U38" s="45">
        <v>2</v>
      </c>
      <c r="V38" s="46">
        <f t="shared" si="0"/>
        <v>50</v>
      </c>
      <c r="W38" s="45" t="s">
        <v>1033</v>
      </c>
      <c r="X38" s="45" t="s">
        <v>725</v>
      </c>
      <c r="Y38" s="45" t="s">
        <v>1027</v>
      </c>
    </row>
    <row r="39" spans="1:25" x14ac:dyDescent="0.15">
      <c r="A39" s="45">
        <v>106692</v>
      </c>
      <c r="B39" s="45" t="s">
        <v>727</v>
      </c>
      <c r="C39" s="45" t="s">
        <v>1176</v>
      </c>
      <c r="D39" s="45" t="s">
        <v>663</v>
      </c>
      <c r="E39" s="45" t="s">
        <v>1177</v>
      </c>
      <c r="F39" s="45" t="s">
        <v>1041</v>
      </c>
      <c r="G39" s="45" t="s">
        <v>1178</v>
      </c>
      <c r="H39" s="45" t="s">
        <v>724</v>
      </c>
      <c r="I39" s="45" t="s">
        <v>1021</v>
      </c>
      <c r="J39" s="45" t="s">
        <v>1099</v>
      </c>
      <c r="K39" s="45" t="s">
        <v>1041</v>
      </c>
      <c r="L39" s="45" t="s">
        <v>728</v>
      </c>
      <c r="M39" s="45" t="s">
        <v>1179</v>
      </c>
      <c r="N39" s="45" t="s">
        <v>661</v>
      </c>
      <c r="O39" s="45" t="s">
        <v>1180</v>
      </c>
      <c r="P39" s="45">
        <v>2</v>
      </c>
      <c r="Q39" s="45">
        <v>0</v>
      </c>
      <c r="R39" s="45">
        <v>0</v>
      </c>
      <c r="S39" s="45">
        <v>0</v>
      </c>
      <c r="T39" s="45">
        <v>0</v>
      </c>
      <c r="U39" s="45">
        <v>3</v>
      </c>
      <c r="V39" s="46">
        <f t="shared" si="0"/>
        <v>75</v>
      </c>
      <c r="W39" s="45" t="s">
        <v>1033</v>
      </c>
      <c r="X39" s="45" t="s">
        <v>725</v>
      </c>
      <c r="Y39" s="45" t="s">
        <v>1027</v>
      </c>
    </row>
    <row r="40" spans="1:25" x14ac:dyDescent="0.15">
      <c r="A40" s="45">
        <v>107284</v>
      </c>
      <c r="B40" s="45" t="s">
        <v>727</v>
      </c>
      <c r="C40" s="45" t="s">
        <v>1181</v>
      </c>
      <c r="D40" s="45" t="s">
        <v>663</v>
      </c>
      <c r="E40" s="45"/>
      <c r="F40" s="45"/>
      <c r="G40" s="45"/>
      <c r="H40" s="45" t="s">
        <v>724</v>
      </c>
      <c r="I40" s="45" t="s">
        <v>1021</v>
      </c>
      <c r="J40" s="45" t="s">
        <v>1029</v>
      </c>
      <c r="K40" s="45" t="s">
        <v>1023</v>
      </c>
      <c r="L40" s="45" t="s">
        <v>729</v>
      </c>
      <c r="M40" s="45" t="s">
        <v>1182</v>
      </c>
      <c r="N40" s="45" t="s">
        <v>661</v>
      </c>
      <c r="O40" s="45" t="s">
        <v>1183</v>
      </c>
      <c r="P40" s="45">
        <v>3</v>
      </c>
      <c r="Q40" s="45">
        <v>0</v>
      </c>
      <c r="R40" s="45">
        <v>0</v>
      </c>
      <c r="S40" s="45">
        <v>0</v>
      </c>
      <c r="T40" s="45">
        <v>0</v>
      </c>
      <c r="U40" s="45">
        <v>4</v>
      </c>
      <c r="V40" s="46">
        <f t="shared" si="0"/>
        <v>100</v>
      </c>
      <c r="W40" s="45" t="s">
        <v>1033</v>
      </c>
      <c r="X40" s="45" t="s">
        <v>725</v>
      </c>
      <c r="Y40" s="45" t="s">
        <v>1027</v>
      </c>
    </row>
    <row r="41" spans="1:25" x14ac:dyDescent="0.15">
      <c r="A41" s="45">
        <v>105802</v>
      </c>
      <c r="B41" s="45" t="s">
        <v>698</v>
      </c>
      <c r="C41" s="45" t="s">
        <v>1184</v>
      </c>
      <c r="D41" s="45" t="s">
        <v>675</v>
      </c>
      <c r="E41" s="45"/>
      <c r="F41" s="45"/>
      <c r="G41" s="45"/>
      <c r="H41" s="45" t="s">
        <v>730</v>
      </c>
      <c r="I41" s="45" t="s">
        <v>1021</v>
      </c>
      <c r="J41" s="45" t="s">
        <v>1185</v>
      </c>
      <c r="K41" s="45" t="s">
        <v>1030</v>
      </c>
      <c r="L41" s="45" t="s">
        <v>732</v>
      </c>
      <c r="M41" s="45" t="s">
        <v>1186</v>
      </c>
      <c r="N41" s="45" t="s">
        <v>661</v>
      </c>
      <c r="O41" s="45" t="s">
        <v>1187</v>
      </c>
      <c r="P41" s="45">
        <v>2</v>
      </c>
      <c r="Q41" s="45">
        <v>0</v>
      </c>
      <c r="R41" s="45">
        <v>0</v>
      </c>
      <c r="S41" s="45">
        <v>0</v>
      </c>
      <c r="T41" s="45">
        <v>0</v>
      </c>
      <c r="U41" s="45">
        <v>0</v>
      </c>
      <c r="V41" s="46">
        <f t="shared" si="0"/>
        <v>0</v>
      </c>
      <c r="W41" s="45" t="s">
        <v>1033</v>
      </c>
      <c r="X41" s="45" t="s">
        <v>731</v>
      </c>
      <c r="Y41" s="45" t="s">
        <v>1027</v>
      </c>
    </row>
    <row r="42" spans="1:25" x14ac:dyDescent="0.15">
      <c r="A42" s="45">
        <v>105803</v>
      </c>
      <c r="B42" s="45" t="s">
        <v>671</v>
      </c>
      <c r="C42" s="45" t="s">
        <v>1188</v>
      </c>
      <c r="D42" s="45" t="s">
        <v>663</v>
      </c>
      <c r="E42" s="45" t="s">
        <v>1189</v>
      </c>
      <c r="F42" s="45" t="s">
        <v>1030</v>
      </c>
      <c r="G42" s="45" t="s">
        <v>1190</v>
      </c>
      <c r="H42" s="45" t="s">
        <v>730</v>
      </c>
      <c r="I42" s="45" t="s">
        <v>1021</v>
      </c>
      <c r="J42" s="45" t="s">
        <v>1129</v>
      </c>
      <c r="K42" s="45" t="s">
        <v>1030</v>
      </c>
      <c r="L42" s="45" t="s">
        <v>733</v>
      </c>
      <c r="M42" s="45" t="s">
        <v>1191</v>
      </c>
      <c r="N42" s="45" t="s">
        <v>661</v>
      </c>
      <c r="O42" s="45" t="s">
        <v>1192</v>
      </c>
      <c r="P42" s="45">
        <v>2</v>
      </c>
      <c r="Q42" s="45">
        <v>0</v>
      </c>
      <c r="R42" s="45">
        <v>0</v>
      </c>
      <c r="S42" s="45">
        <v>0</v>
      </c>
      <c r="T42" s="45">
        <v>0</v>
      </c>
      <c r="U42" s="45">
        <v>5</v>
      </c>
      <c r="V42" s="46">
        <f t="shared" si="0"/>
        <v>125</v>
      </c>
      <c r="W42" s="45" t="s">
        <v>1033</v>
      </c>
      <c r="X42" s="45" t="s">
        <v>731</v>
      </c>
      <c r="Y42" s="45" t="s">
        <v>1027</v>
      </c>
    </row>
    <row r="43" spans="1:25" x14ac:dyDescent="0.15">
      <c r="A43" s="45">
        <v>108445</v>
      </c>
      <c r="B43" s="45" t="s">
        <v>662</v>
      </c>
      <c r="C43" s="45"/>
      <c r="D43" s="45" t="s">
        <v>663</v>
      </c>
      <c r="E43" s="45"/>
      <c r="F43" s="45"/>
      <c r="G43" s="45"/>
      <c r="H43" s="45" t="s">
        <v>730</v>
      </c>
      <c r="I43" s="45" t="s">
        <v>1021</v>
      </c>
      <c r="J43" s="45" t="s">
        <v>1075</v>
      </c>
      <c r="K43" s="45" t="s">
        <v>1030</v>
      </c>
      <c r="L43" s="45" t="s">
        <v>734</v>
      </c>
      <c r="M43" s="45" t="s">
        <v>1193</v>
      </c>
      <c r="N43" s="45" t="s">
        <v>661</v>
      </c>
      <c r="O43" s="45" t="s">
        <v>1194</v>
      </c>
      <c r="P43" s="45">
        <v>2</v>
      </c>
      <c r="Q43" s="45">
        <v>0</v>
      </c>
      <c r="R43" s="45">
        <v>0</v>
      </c>
      <c r="S43" s="45">
        <v>0</v>
      </c>
      <c r="T43" s="45">
        <v>0</v>
      </c>
      <c r="U43" s="45">
        <v>5</v>
      </c>
      <c r="V43" s="46">
        <f t="shared" si="0"/>
        <v>125</v>
      </c>
      <c r="W43" s="45" t="s">
        <v>1033</v>
      </c>
      <c r="X43" s="45" t="s">
        <v>731</v>
      </c>
      <c r="Y43" s="45" t="s">
        <v>1027</v>
      </c>
    </row>
    <row r="44" spans="1:25" x14ac:dyDescent="0.15">
      <c r="A44" s="45">
        <v>106674</v>
      </c>
      <c r="B44" s="45" t="s">
        <v>698</v>
      </c>
      <c r="C44" s="45" t="s">
        <v>1195</v>
      </c>
      <c r="D44" s="45" t="s">
        <v>675</v>
      </c>
      <c r="E44" s="45"/>
      <c r="F44" s="45"/>
      <c r="G44" s="45"/>
      <c r="H44" s="45" t="s">
        <v>735</v>
      </c>
      <c r="I44" s="45" t="s">
        <v>1021</v>
      </c>
      <c r="J44" s="45" t="s">
        <v>1099</v>
      </c>
      <c r="K44" s="45" t="s">
        <v>1035</v>
      </c>
      <c r="L44" s="45" t="s">
        <v>737</v>
      </c>
      <c r="M44" s="45" t="s">
        <v>1196</v>
      </c>
      <c r="N44" s="45" t="s">
        <v>661</v>
      </c>
      <c r="O44" s="45" t="s">
        <v>1197</v>
      </c>
      <c r="P44" s="45">
        <v>2</v>
      </c>
      <c r="Q44" s="45">
        <v>0</v>
      </c>
      <c r="R44" s="45">
        <v>0</v>
      </c>
      <c r="S44" s="45">
        <v>0</v>
      </c>
      <c r="T44" s="45">
        <v>1</v>
      </c>
      <c r="U44" s="45">
        <v>3</v>
      </c>
      <c r="V44" s="46">
        <f t="shared" si="0"/>
        <v>75</v>
      </c>
      <c r="W44" s="45" t="s">
        <v>1097</v>
      </c>
      <c r="X44" s="45" t="s">
        <v>736</v>
      </c>
      <c r="Y44" s="45" t="s">
        <v>1027</v>
      </c>
    </row>
    <row r="45" spans="1:25" x14ac:dyDescent="0.15">
      <c r="A45" s="45">
        <v>107879</v>
      </c>
      <c r="B45" s="45" t="s">
        <v>738</v>
      </c>
      <c r="C45" s="45" t="s">
        <v>1198</v>
      </c>
      <c r="D45" s="45" t="s">
        <v>685</v>
      </c>
      <c r="E45" s="45"/>
      <c r="F45" s="45"/>
      <c r="G45" s="45"/>
      <c r="H45" s="45" t="s">
        <v>735</v>
      </c>
      <c r="I45" s="45" t="s">
        <v>1021</v>
      </c>
      <c r="J45" s="45" t="s">
        <v>1071</v>
      </c>
      <c r="K45" s="45" t="s">
        <v>1030</v>
      </c>
      <c r="L45" s="45" t="s">
        <v>739</v>
      </c>
      <c r="M45" s="45" t="s">
        <v>1199</v>
      </c>
      <c r="N45" s="45" t="s">
        <v>661</v>
      </c>
      <c r="O45" s="45" t="s">
        <v>1200</v>
      </c>
      <c r="P45" s="45">
        <v>6</v>
      </c>
      <c r="Q45" s="45">
        <v>0</v>
      </c>
      <c r="R45" s="45">
        <v>0</v>
      </c>
      <c r="S45" s="45">
        <v>0</v>
      </c>
      <c r="T45" s="45">
        <v>0</v>
      </c>
      <c r="U45" s="45">
        <v>4</v>
      </c>
      <c r="V45" s="46">
        <f t="shared" si="0"/>
        <v>100</v>
      </c>
      <c r="W45" s="45" t="s">
        <v>1033</v>
      </c>
      <c r="X45" s="45" t="s">
        <v>736</v>
      </c>
      <c r="Y45" s="45" t="s">
        <v>1027</v>
      </c>
    </row>
    <row r="46" spans="1:25" x14ac:dyDescent="0.15">
      <c r="A46" s="45">
        <v>105410</v>
      </c>
      <c r="B46" s="45" t="s">
        <v>662</v>
      </c>
      <c r="C46" s="45" t="s">
        <v>1201</v>
      </c>
      <c r="D46" s="45" t="s">
        <v>663</v>
      </c>
      <c r="E46" s="45" t="s">
        <v>1202</v>
      </c>
      <c r="F46" s="45" t="s">
        <v>1041</v>
      </c>
      <c r="G46" s="45" t="s">
        <v>1203</v>
      </c>
      <c r="H46" s="45" t="s">
        <v>740</v>
      </c>
      <c r="I46" s="45" t="s">
        <v>1021</v>
      </c>
      <c r="J46" s="45" t="s">
        <v>1057</v>
      </c>
      <c r="K46" s="45" t="s">
        <v>1041</v>
      </c>
      <c r="L46" s="45" t="s">
        <v>742</v>
      </c>
      <c r="M46" s="45" t="s">
        <v>1043</v>
      </c>
      <c r="N46" s="45" t="s">
        <v>661</v>
      </c>
      <c r="O46" s="45" t="s">
        <v>1204</v>
      </c>
      <c r="P46" s="45">
        <v>5</v>
      </c>
      <c r="Q46" s="45">
        <v>0</v>
      </c>
      <c r="R46" s="45">
        <v>0</v>
      </c>
      <c r="S46" s="45">
        <v>0</v>
      </c>
      <c r="T46" s="45">
        <v>0</v>
      </c>
      <c r="U46" s="45">
        <v>3</v>
      </c>
      <c r="V46" s="46">
        <f t="shared" si="0"/>
        <v>75</v>
      </c>
      <c r="W46" s="45" t="s">
        <v>1033</v>
      </c>
      <c r="X46" s="45" t="s">
        <v>741</v>
      </c>
      <c r="Y46" s="45" t="s">
        <v>1027</v>
      </c>
    </row>
    <row r="47" spans="1:25" x14ac:dyDescent="0.15">
      <c r="A47" s="45">
        <v>106115</v>
      </c>
      <c r="B47" s="45" t="s">
        <v>662</v>
      </c>
      <c r="C47" s="45" t="s">
        <v>1205</v>
      </c>
      <c r="D47" s="45" t="s">
        <v>663</v>
      </c>
      <c r="E47" s="45"/>
      <c r="F47" s="45"/>
      <c r="G47" s="45"/>
      <c r="H47" s="45" t="s">
        <v>740</v>
      </c>
      <c r="I47" s="45" t="s">
        <v>1021</v>
      </c>
      <c r="J47" s="45" t="s">
        <v>1206</v>
      </c>
      <c r="K47" s="45" t="s">
        <v>1023</v>
      </c>
      <c r="L47" s="45" t="s">
        <v>743</v>
      </c>
      <c r="M47" s="45" t="s">
        <v>1207</v>
      </c>
      <c r="N47" s="45" t="s">
        <v>661</v>
      </c>
      <c r="O47" s="45" t="s">
        <v>1208</v>
      </c>
      <c r="P47" s="45">
        <v>2</v>
      </c>
      <c r="Q47" s="45">
        <v>0</v>
      </c>
      <c r="R47" s="45">
        <v>0</v>
      </c>
      <c r="S47" s="45">
        <v>0</v>
      </c>
      <c r="T47" s="45">
        <v>0</v>
      </c>
      <c r="U47" s="45">
        <v>3</v>
      </c>
      <c r="V47" s="46">
        <f t="shared" si="0"/>
        <v>75</v>
      </c>
      <c r="W47" s="45" t="s">
        <v>1033</v>
      </c>
      <c r="X47" s="45" t="s">
        <v>741</v>
      </c>
      <c r="Y47" s="45" t="s">
        <v>1027</v>
      </c>
    </row>
    <row r="48" spans="1:25" x14ac:dyDescent="0.15">
      <c r="A48" s="45">
        <v>109036</v>
      </c>
      <c r="B48" s="45" t="s">
        <v>662</v>
      </c>
      <c r="C48" s="45" t="s">
        <v>1209</v>
      </c>
      <c r="D48" s="45" t="s">
        <v>663</v>
      </c>
      <c r="E48" s="45"/>
      <c r="F48" s="45"/>
      <c r="G48" s="45"/>
      <c r="H48" s="45" t="s">
        <v>740</v>
      </c>
      <c r="I48" s="45" t="s">
        <v>1021</v>
      </c>
      <c r="J48" s="45" t="s">
        <v>1083</v>
      </c>
      <c r="K48" s="45" t="s">
        <v>1035</v>
      </c>
      <c r="L48" s="45" t="s">
        <v>744</v>
      </c>
      <c r="M48" s="45" t="s">
        <v>1210</v>
      </c>
      <c r="N48" s="45" t="s">
        <v>661</v>
      </c>
      <c r="O48" s="45" t="s">
        <v>1211</v>
      </c>
      <c r="P48" s="45">
        <v>2</v>
      </c>
      <c r="Q48" s="45">
        <v>0</v>
      </c>
      <c r="R48" s="45">
        <v>0</v>
      </c>
      <c r="S48" s="45">
        <v>0</v>
      </c>
      <c r="T48" s="45">
        <v>2</v>
      </c>
      <c r="U48" s="45">
        <v>4</v>
      </c>
      <c r="V48" s="46">
        <f t="shared" si="0"/>
        <v>100</v>
      </c>
      <c r="W48" s="45" t="s">
        <v>1097</v>
      </c>
      <c r="X48" s="45" t="s">
        <v>741</v>
      </c>
      <c r="Y48" s="45" t="s">
        <v>1027</v>
      </c>
    </row>
    <row r="49" spans="1:25" x14ac:dyDescent="0.15">
      <c r="A49" s="45">
        <v>107696</v>
      </c>
      <c r="B49" s="45" t="s">
        <v>745</v>
      </c>
      <c r="C49" s="45" t="s">
        <v>1212</v>
      </c>
      <c r="D49" s="45" t="s">
        <v>685</v>
      </c>
      <c r="E49" s="45"/>
      <c r="F49" s="45"/>
      <c r="G49" s="45"/>
      <c r="H49" s="45" t="s">
        <v>746</v>
      </c>
      <c r="I49" s="45" t="s">
        <v>1021</v>
      </c>
      <c r="J49" s="45" t="s">
        <v>1166</v>
      </c>
      <c r="K49" s="45" t="s">
        <v>1035</v>
      </c>
      <c r="L49" s="45" t="s">
        <v>748</v>
      </c>
      <c r="M49" s="45" t="s">
        <v>1213</v>
      </c>
      <c r="N49" s="45" t="s">
        <v>661</v>
      </c>
      <c r="O49" s="45" t="s">
        <v>1214</v>
      </c>
      <c r="P49" s="45">
        <v>1</v>
      </c>
      <c r="Q49" s="45">
        <v>1</v>
      </c>
      <c r="R49" s="45">
        <v>0</v>
      </c>
      <c r="S49" s="45">
        <v>1</v>
      </c>
      <c r="T49" s="45">
        <v>1</v>
      </c>
      <c r="U49" s="45">
        <v>3</v>
      </c>
      <c r="V49" s="46">
        <f t="shared" si="0"/>
        <v>75</v>
      </c>
      <c r="W49" s="45" t="s">
        <v>1038</v>
      </c>
      <c r="X49" s="45" t="s">
        <v>747</v>
      </c>
      <c r="Y49" s="45" t="s">
        <v>1027</v>
      </c>
    </row>
    <row r="50" spans="1:25" x14ac:dyDescent="0.15">
      <c r="A50" s="45">
        <v>106000</v>
      </c>
      <c r="B50" s="45" t="s">
        <v>671</v>
      </c>
      <c r="C50" s="45" t="s">
        <v>1215</v>
      </c>
      <c r="D50" s="45" t="s">
        <v>663</v>
      </c>
      <c r="E50" s="45"/>
      <c r="F50" s="45"/>
      <c r="G50" s="45"/>
      <c r="H50" s="45" t="s">
        <v>749</v>
      </c>
      <c r="I50" s="45" t="s">
        <v>1021</v>
      </c>
      <c r="J50" s="45" t="s">
        <v>1129</v>
      </c>
      <c r="K50" s="45" t="s">
        <v>1041</v>
      </c>
      <c r="L50" s="45" t="s">
        <v>751</v>
      </c>
      <c r="M50" s="45" t="s">
        <v>1216</v>
      </c>
      <c r="N50" s="45" t="s">
        <v>661</v>
      </c>
      <c r="O50" s="45" t="s">
        <v>1217</v>
      </c>
      <c r="P50" s="45">
        <v>2</v>
      </c>
      <c r="Q50" s="45">
        <v>0</v>
      </c>
      <c r="R50" s="45">
        <v>0</v>
      </c>
      <c r="S50" s="45">
        <v>0</v>
      </c>
      <c r="T50" s="45">
        <v>1</v>
      </c>
      <c r="U50" s="45">
        <v>3</v>
      </c>
      <c r="V50" s="46">
        <f t="shared" si="0"/>
        <v>75</v>
      </c>
      <c r="W50" s="45" t="s">
        <v>1097</v>
      </c>
      <c r="X50" s="45" t="s">
        <v>750</v>
      </c>
      <c r="Y50" s="45" t="s">
        <v>1027</v>
      </c>
    </row>
    <row r="51" spans="1:25" x14ac:dyDescent="0.15">
      <c r="A51" s="45">
        <v>108850</v>
      </c>
      <c r="B51" s="45" t="s">
        <v>700</v>
      </c>
      <c r="C51" s="45"/>
      <c r="D51" s="45" t="s">
        <v>663</v>
      </c>
      <c r="E51" s="45" t="s">
        <v>1218</v>
      </c>
      <c r="F51" s="45" t="s">
        <v>1030</v>
      </c>
      <c r="G51" s="45" t="s">
        <v>1219</v>
      </c>
      <c r="H51" s="45" t="s">
        <v>752</v>
      </c>
      <c r="I51" s="45" t="s">
        <v>1021</v>
      </c>
      <c r="J51" s="45" t="s">
        <v>1119</v>
      </c>
      <c r="K51" s="45" t="s">
        <v>1023</v>
      </c>
      <c r="L51" s="45" t="s">
        <v>754</v>
      </c>
      <c r="M51" s="45" t="s">
        <v>1220</v>
      </c>
      <c r="N51" s="45" t="s">
        <v>661</v>
      </c>
      <c r="O51" s="45" t="s">
        <v>1221</v>
      </c>
      <c r="P51" s="45">
        <v>2</v>
      </c>
      <c r="Q51" s="45">
        <v>0</v>
      </c>
      <c r="R51" s="45">
        <v>0</v>
      </c>
      <c r="S51" s="45">
        <v>2</v>
      </c>
      <c r="T51" s="45">
        <v>0</v>
      </c>
      <c r="U51" s="45">
        <v>4</v>
      </c>
      <c r="V51" s="46">
        <f t="shared" si="0"/>
        <v>100</v>
      </c>
      <c r="W51" s="45" t="s">
        <v>1151</v>
      </c>
      <c r="X51" s="45" t="s">
        <v>753</v>
      </c>
      <c r="Y51" s="45" t="s">
        <v>1027</v>
      </c>
    </row>
    <row r="52" spans="1:25" x14ac:dyDescent="0.15">
      <c r="A52" s="45">
        <v>109875</v>
      </c>
      <c r="B52" s="45" t="s">
        <v>738</v>
      </c>
      <c r="C52" s="45" t="s">
        <v>1222</v>
      </c>
      <c r="D52" s="45" t="s">
        <v>685</v>
      </c>
      <c r="E52" s="45" t="s">
        <v>1223</v>
      </c>
      <c r="F52" s="45" t="s">
        <v>1224</v>
      </c>
      <c r="G52" s="45" t="s">
        <v>1225</v>
      </c>
      <c r="H52" s="45" t="s">
        <v>755</v>
      </c>
      <c r="I52" s="45" t="s">
        <v>1021</v>
      </c>
      <c r="J52" s="45" t="s">
        <v>1226</v>
      </c>
      <c r="K52" s="45" t="s">
        <v>1035</v>
      </c>
      <c r="L52" s="45" t="s">
        <v>757</v>
      </c>
      <c r="M52" s="45" t="s">
        <v>1227</v>
      </c>
      <c r="N52" s="45" t="s">
        <v>661</v>
      </c>
      <c r="O52" s="45" t="s">
        <v>1228</v>
      </c>
      <c r="P52" s="45">
        <v>6</v>
      </c>
      <c r="Q52" s="45">
        <v>4</v>
      </c>
      <c r="R52" s="45">
        <v>0</v>
      </c>
      <c r="S52" s="45">
        <v>4</v>
      </c>
      <c r="T52" s="45">
        <v>4</v>
      </c>
      <c r="U52" s="45">
        <v>6</v>
      </c>
      <c r="V52" s="46">
        <f t="shared" si="0"/>
        <v>150</v>
      </c>
      <c r="W52" s="45" t="s">
        <v>1038</v>
      </c>
      <c r="X52" s="45" t="s">
        <v>756</v>
      </c>
      <c r="Y52" s="45" t="s">
        <v>1027</v>
      </c>
    </row>
    <row r="53" spans="1:25" x14ac:dyDescent="0.15">
      <c r="A53" s="45">
        <v>106027</v>
      </c>
      <c r="B53" s="45" t="s">
        <v>727</v>
      </c>
      <c r="C53" s="45" t="s">
        <v>1229</v>
      </c>
      <c r="D53" s="45" t="s">
        <v>663</v>
      </c>
      <c r="E53" s="45"/>
      <c r="F53" s="45"/>
      <c r="G53" s="45"/>
      <c r="H53" s="45" t="s">
        <v>758</v>
      </c>
      <c r="I53" s="45" t="s">
        <v>1021</v>
      </c>
      <c r="J53" s="45" t="s">
        <v>1129</v>
      </c>
      <c r="K53" s="45" t="s">
        <v>1173</v>
      </c>
      <c r="L53" s="45" t="s">
        <v>760</v>
      </c>
      <c r="M53" s="45" t="s">
        <v>1230</v>
      </c>
      <c r="N53" s="45" t="s">
        <v>661</v>
      </c>
      <c r="O53" s="45" t="s">
        <v>1231</v>
      </c>
      <c r="P53" s="45">
        <v>2</v>
      </c>
      <c r="Q53" s="45">
        <v>0</v>
      </c>
      <c r="R53" s="45">
        <v>0</v>
      </c>
      <c r="S53" s="45">
        <v>0</v>
      </c>
      <c r="T53" s="45">
        <v>0</v>
      </c>
      <c r="U53" s="45">
        <v>3</v>
      </c>
      <c r="V53" s="46">
        <f t="shared" si="0"/>
        <v>75</v>
      </c>
      <c r="W53" s="45" t="s">
        <v>1033</v>
      </c>
      <c r="X53" s="45" t="s">
        <v>759</v>
      </c>
      <c r="Y53" s="45" t="s">
        <v>1027</v>
      </c>
    </row>
    <row r="54" spans="1:25" x14ac:dyDescent="0.15">
      <c r="A54" s="45">
        <v>107782</v>
      </c>
      <c r="B54" s="45" t="s">
        <v>727</v>
      </c>
      <c r="C54" s="45" t="s">
        <v>1232</v>
      </c>
      <c r="D54" s="45" t="s">
        <v>663</v>
      </c>
      <c r="E54" s="45"/>
      <c r="F54" s="45"/>
      <c r="G54" s="45"/>
      <c r="H54" s="45" t="s">
        <v>758</v>
      </c>
      <c r="I54" s="45" t="s">
        <v>1021</v>
      </c>
      <c r="J54" s="45" t="s">
        <v>1110</v>
      </c>
      <c r="K54" s="45" t="s">
        <v>1030</v>
      </c>
      <c r="L54" s="45" t="s">
        <v>761</v>
      </c>
      <c r="M54" s="45" t="s">
        <v>1233</v>
      </c>
      <c r="N54" s="45" t="s">
        <v>661</v>
      </c>
      <c r="O54" s="45" t="s">
        <v>1234</v>
      </c>
      <c r="P54" s="45">
        <v>2</v>
      </c>
      <c r="Q54" s="45">
        <v>0</v>
      </c>
      <c r="R54" s="45">
        <v>0</v>
      </c>
      <c r="S54" s="45">
        <v>0</v>
      </c>
      <c r="T54" s="45">
        <v>0</v>
      </c>
      <c r="U54" s="45">
        <v>0</v>
      </c>
      <c r="V54" s="46">
        <f t="shared" si="0"/>
        <v>0</v>
      </c>
      <c r="W54" s="45" t="s">
        <v>1033</v>
      </c>
      <c r="X54" s="45" t="s">
        <v>759</v>
      </c>
      <c r="Y54" s="45" t="s">
        <v>1027</v>
      </c>
    </row>
    <row r="55" spans="1:25" x14ac:dyDescent="0.15">
      <c r="A55" s="45">
        <v>108177</v>
      </c>
      <c r="B55" s="45" t="s">
        <v>671</v>
      </c>
      <c r="C55" s="45" t="s">
        <v>1235</v>
      </c>
      <c r="D55" s="45" t="s">
        <v>663</v>
      </c>
      <c r="E55" s="45" t="s">
        <v>1236</v>
      </c>
      <c r="F55" s="45" t="s">
        <v>1237</v>
      </c>
      <c r="G55" s="45" t="s">
        <v>1238</v>
      </c>
      <c r="H55" s="45" t="s">
        <v>758</v>
      </c>
      <c r="I55" s="45" t="s">
        <v>1021</v>
      </c>
      <c r="J55" s="45" t="s">
        <v>1075</v>
      </c>
      <c r="K55" s="45" t="s">
        <v>1030</v>
      </c>
      <c r="L55" s="45" t="s">
        <v>762</v>
      </c>
      <c r="M55" s="45" t="s">
        <v>1239</v>
      </c>
      <c r="N55" s="45" t="s">
        <v>661</v>
      </c>
      <c r="O55" s="45" t="s">
        <v>1240</v>
      </c>
      <c r="P55" s="45">
        <v>2</v>
      </c>
      <c r="Q55" s="45">
        <v>0</v>
      </c>
      <c r="R55" s="45">
        <v>0</v>
      </c>
      <c r="S55" s="45">
        <v>0</v>
      </c>
      <c r="T55" s="45">
        <v>0</v>
      </c>
      <c r="U55" s="45">
        <v>3</v>
      </c>
      <c r="V55" s="46">
        <f t="shared" si="0"/>
        <v>75</v>
      </c>
      <c r="W55" s="45" t="s">
        <v>1033</v>
      </c>
      <c r="X55" s="45" t="s">
        <v>759</v>
      </c>
      <c r="Y55" s="45" t="s">
        <v>1027</v>
      </c>
    </row>
    <row r="56" spans="1:25" x14ac:dyDescent="0.15">
      <c r="A56" s="45">
        <v>109416</v>
      </c>
      <c r="B56" s="45" t="s">
        <v>727</v>
      </c>
      <c r="C56" s="45" t="s">
        <v>1241</v>
      </c>
      <c r="D56" s="45" t="s">
        <v>663</v>
      </c>
      <c r="E56" s="45"/>
      <c r="F56" s="45"/>
      <c r="G56" s="45"/>
      <c r="H56" s="45" t="s">
        <v>758</v>
      </c>
      <c r="I56" s="45" t="s">
        <v>1021</v>
      </c>
      <c r="J56" s="45" t="s">
        <v>1152</v>
      </c>
      <c r="K56" s="45" t="s">
        <v>1030</v>
      </c>
      <c r="L56" s="45" t="s">
        <v>763</v>
      </c>
      <c r="M56" s="45" t="s">
        <v>1242</v>
      </c>
      <c r="N56" s="45" t="s">
        <v>661</v>
      </c>
      <c r="O56" s="45" t="s">
        <v>1243</v>
      </c>
      <c r="P56" s="45">
        <v>2</v>
      </c>
      <c r="Q56" s="45">
        <v>6</v>
      </c>
      <c r="R56" s="45">
        <v>0</v>
      </c>
      <c r="S56" s="45">
        <v>6</v>
      </c>
      <c r="T56" s="45">
        <v>0</v>
      </c>
      <c r="U56" s="45">
        <v>3</v>
      </c>
      <c r="V56" s="46">
        <f t="shared" si="0"/>
        <v>75</v>
      </c>
      <c r="W56" s="45" t="s">
        <v>1244</v>
      </c>
      <c r="X56" s="45" t="s">
        <v>759</v>
      </c>
      <c r="Y56" s="45" t="s">
        <v>1027</v>
      </c>
    </row>
    <row r="57" spans="1:25" x14ac:dyDescent="0.15">
      <c r="A57" s="45">
        <v>109331</v>
      </c>
      <c r="B57" s="45" t="s">
        <v>721</v>
      </c>
      <c r="C57" s="45" t="s">
        <v>1245</v>
      </c>
      <c r="D57" s="45" t="s">
        <v>663</v>
      </c>
      <c r="E57" s="45"/>
      <c r="F57" s="45"/>
      <c r="G57" s="45"/>
      <c r="H57" s="45" t="s">
        <v>758</v>
      </c>
      <c r="I57" s="45" t="s">
        <v>1021</v>
      </c>
      <c r="J57" s="45" t="s">
        <v>1053</v>
      </c>
      <c r="K57" s="45" t="s">
        <v>1030</v>
      </c>
      <c r="L57" s="45" t="s">
        <v>764</v>
      </c>
      <c r="M57" s="45" t="s">
        <v>1242</v>
      </c>
      <c r="N57" s="45" t="s">
        <v>661</v>
      </c>
      <c r="O57" s="45" t="s">
        <v>1246</v>
      </c>
      <c r="P57" s="45">
        <v>2</v>
      </c>
      <c r="Q57" s="45">
        <v>2</v>
      </c>
      <c r="R57" s="45">
        <v>0</v>
      </c>
      <c r="S57" s="45">
        <v>1</v>
      </c>
      <c r="T57" s="45">
        <v>0</v>
      </c>
      <c r="U57" s="45">
        <v>3</v>
      </c>
      <c r="V57" s="46">
        <f t="shared" si="0"/>
        <v>75</v>
      </c>
      <c r="W57" s="45" t="s">
        <v>1244</v>
      </c>
      <c r="X57" s="45" t="s">
        <v>759</v>
      </c>
      <c r="Y57" s="45" t="s">
        <v>1027</v>
      </c>
    </row>
    <row r="58" spans="1:25" x14ac:dyDescent="0.15">
      <c r="A58" s="45">
        <v>107325</v>
      </c>
      <c r="B58" s="45" t="s">
        <v>727</v>
      </c>
      <c r="C58" s="45" t="s">
        <v>1247</v>
      </c>
      <c r="D58" s="45" t="s">
        <v>663</v>
      </c>
      <c r="E58" s="45"/>
      <c r="F58" s="45"/>
      <c r="G58" s="45"/>
      <c r="H58" s="45" t="s">
        <v>765</v>
      </c>
      <c r="I58" s="45" t="s">
        <v>1021</v>
      </c>
      <c r="J58" s="45" t="s">
        <v>1029</v>
      </c>
      <c r="K58" s="45" t="s">
        <v>1030</v>
      </c>
      <c r="L58" s="45" t="s">
        <v>767</v>
      </c>
      <c r="M58" s="45" t="s">
        <v>1248</v>
      </c>
      <c r="N58" s="45" t="s">
        <v>661</v>
      </c>
      <c r="O58" s="45" t="s">
        <v>1249</v>
      </c>
      <c r="P58" s="45">
        <v>2</v>
      </c>
      <c r="Q58" s="45">
        <v>0</v>
      </c>
      <c r="R58" s="45">
        <v>0</v>
      </c>
      <c r="S58" s="45">
        <v>0</v>
      </c>
      <c r="T58" s="45">
        <v>0</v>
      </c>
      <c r="U58" s="45">
        <v>0</v>
      </c>
      <c r="V58" s="46">
        <f t="shared" si="0"/>
        <v>0</v>
      </c>
      <c r="W58" s="45" t="s">
        <v>1033</v>
      </c>
      <c r="X58" s="45" t="s">
        <v>766</v>
      </c>
      <c r="Y58" s="45" t="s">
        <v>1027</v>
      </c>
    </row>
    <row r="59" spans="1:25" x14ac:dyDescent="0.15">
      <c r="A59" s="45">
        <v>107404</v>
      </c>
      <c r="B59" s="45" t="s">
        <v>768</v>
      </c>
      <c r="C59" s="45" t="s">
        <v>1250</v>
      </c>
      <c r="D59" s="45" t="s">
        <v>675</v>
      </c>
      <c r="E59" s="45"/>
      <c r="F59" s="45"/>
      <c r="G59" s="45"/>
      <c r="H59" s="45" t="s">
        <v>765</v>
      </c>
      <c r="I59" s="45" t="s">
        <v>1021</v>
      </c>
      <c r="J59" s="45" t="s">
        <v>1251</v>
      </c>
      <c r="K59" s="45" t="s">
        <v>1035</v>
      </c>
      <c r="L59" s="45" t="s">
        <v>769</v>
      </c>
      <c r="M59" s="45" t="s">
        <v>1252</v>
      </c>
      <c r="N59" s="45" t="s">
        <v>661</v>
      </c>
      <c r="O59" s="45" t="s">
        <v>1253</v>
      </c>
      <c r="P59" s="45">
        <v>5</v>
      </c>
      <c r="Q59" s="45">
        <v>2</v>
      </c>
      <c r="R59" s="45">
        <v>0</v>
      </c>
      <c r="S59" s="45">
        <v>0</v>
      </c>
      <c r="T59" s="45">
        <v>2</v>
      </c>
      <c r="U59" s="45">
        <v>4</v>
      </c>
      <c r="V59" s="46">
        <f t="shared" si="0"/>
        <v>100</v>
      </c>
      <c r="W59" s="45" t="s">
        <v>1091</v>
      </c>
      <c r="X59" s="45" t="s">
        <v>766</v>
      </c>
      <c r="Y59" s="45" t="s">
        <v>1027</v>
      </c>
    </row>
    <row r="60" spans="1:25" x14ac:dyDescent="0.15">
      <c r="A60" s="45">
        <v>109744</v>
      </c>
      <c r="B60" s="45" t="s">
        <v>662</v>
      </c>
      <c r="C60" s="45" t="s">
        <v>1254</v>
      </c>
      <c r="D60" s="45" t="s">
        <v>663</v>
      </c>
      <c r="E60" s="45"/>
      <c r="F60" s="45"/>
      <c r="G60" s="45"/>
      <c r="H60" s="45" t="s">
        <v>765</v>
      </c>
      <c r="I60" s="45" t="s">
        <v>1021</v>
      </c>
      <c r="J60" s="45" t="s">
        <v>1255</v>
      </c>
      <c r="K60" s="45" t="s">
        <v>1035</v>
      </c>
      <c r="L60" s="45" t="s">
        <v>770</v>
      </c>
      <c r="M60" s="45" t="s">
        <v>1256</v>
      </c>
      <c r="N60" s="45" t="s">
        <v>661</v>
      </c>
      <c r="O60" s="45" t="s">
        <v>1257</v>
      </c>
      <c r="P60" s="45">
        <v>3</v>
      </c>
      <c r="Q60" s="45">
        <v>2</v>
      </c>
      <c r="R60" s="45">
        <v>0</v>
      </c>
      <c r="S60" s="45">
        <v>1</v>
      </c>
      <c r="T60" s="45">
        <v>1</v>
      </c>
      <c r="U60" s="45">
        <v>3</v>
      </c>
      <c r="V60" s="46">
        <f t="shared" si="0"/>
        <v>75</v>
      </c>
      <c r="W60" s="45" t="s">
        <v>1038</v>
      </c>
      <c r="X60" s="45" t="s">
        <v>766</v>
      </c>
      <c r="Y60" s="45" t="s">
        <v>1027</v>
      </c>
    </row>
    <row r="61" spans="1:25" x14ac:dyDescent="0.15">
      <c r="A61" s="45">
        <v>105479</v>
      </c>
      <c r="B61" s="45" t="s">
        <v>662</v>
      </c>
      <c r="C61" s="45" t="s">
        <v>1258</v>
      </c>
      <c r="D61" s="45" t="s">
        <v>663</v>
      </c>
      <c r="E61" s="45"/>
      <c r="F61" s="45"/>
      <c r="G61" s="45"/>
      <c r="H61" s="45" t="s">
        <v>771</v>
      </c>
      <c r="I61" s="45" t="s">
        <v>1021</v>
      </c>
      <c r="J61" s="45" t="s">
        <v>1185</v>
      </c>
      <c r="K61" s="45" t="s">
        <v>1030</v>
      </c>
      <c r="L61" s="45" t="s">
        <v>773</v>
      </c>
      <c r="M61" s="45" t="s">
        <v>1259</v>
      </c>
      <c r="N61" s="45" t="s">
        <v>661</v>
      </c>
      <c r="O61" s="45" t="s">
        <v>1260</v>
      </c>
      <c r="P61" s="45">
        <v>0</v>
      </c>
      <c r="Q61" s="45">
        <v>0</v>
      </c>
      <c r="R61" s="45">
        <v>0</v>
      </c>
      <c r="S61" s="45">
        <v>0</v>
      </c>
      <c r="T61" s="45">
        <v>0</v>
      </c>
      <c r="U61" s="45">
        <v>0</v>
      </c>
      <c r="V61" s="46">
        <f t="shared" si="0"/>
        <v>0</v>
      </c>
      <c r="W61" s="45" t="s">
        <v>1051</v>
      </c>
      <c r="X61" s="45" t="s">
        <v>772</v>
      </c>
      <c r="Y61" s="45" t="s">
        <v>1027</v>
      </c>
    </row>
    <row r="62" spans="1:25" x14ac:dyDescent="0.15">
      <c r="A62" s="45">
        <v>107227</v>
      </c>
      <c r="B62" s="45" t="s">
        <v>674</v>
      </c>
      <c r="C62" s="45" t="s">
        <v>1261</v>
      </c>
      <c r="D62" s="45" t="s">
        <v>675</v>
      </c>
      <c r="E62" s="45"/>
      <c r="F62" s="45"/>
      <c r="G62" s="45"/>
      <c r="H62" s="45" t="s">
        <v>771</v>
      </c>
      <c r="I62" s="45" t="s">
        <v>1021</v>
      </c>
      <c r="J62" s="45" t="s">
        <v>1053</v>
      </c>
      <c r="K62" s="45" t="s">
        <v>1030</v>
      </c>
      <c r="L62" s="45" t="s">
        <v>774</v>
      </c>
      <c r="M62" s="45" t="s">
        <v>1262</v>
      </c>
      <c r="N62" s="45" t="s">
        <v>673</v>
      </c>
      <c r="O62" s="45" t="s">
        <v>1263</v>
      </c>
      <c r="P62" s="45">
        <v>2</v>
      </c>
      <c r="Q62" s="45">
        <v>0</v>
      </c>
      <c r="R62" s="45">
        <v>0</v>
      </c>
      <c r="S62" s="45">
        <v>0</v>
      </c>
      <c r="T62" s="45">
        <v>0</v>
      </c>
      <c r="U62" s="45">
        <v>1</v>
      </c>
      <c r="V62" s="46">
        <f t="shared" si="0"/>
        <v>25</v>
      </c>
      <c r="W62" s="45" t="s">
        <v>1033</v>
      </c>
      <c r="X62" s="45" t="s">
        <v>772</v>
      </c>
      <c r="Y62" s="45" t="s">
        <v>1027</v>
      </c>
    </row>
    <row r="63" spans="1:25" x14ac:dyDescent="0.15">
      <c r="A63" s="45">
        <v>108000</v>
      </c>
      <c r="B63" s="45" t="s">
        <v>674</v>
      </c>
      <c r="C63" s="45" t="s">
        <v>1264</v>
      </c>
      <c r="D63" s="45" t="s">
        <v>675</v>
      </c>
      <c r="E63" s="45" t="s">
        <v>1265</v>
      </c>
      <c r="F63" s="45" t="s">
        <v>1030</v>
      </c>
      <c r="G63" s="45" t="s">
        <v>1266</v>
      </c>
      <c r="H63" s="45" t="s">
        <v>771</v>
      </c>
      <c r="I63" s="45" t="s">
        <v>1021</v>
      </c>
      <c r="J63" s="45" t="s">
        <v>1053</v>
      </c>
      <c r="K63" s="45" t="s">
        <v>1030</v>
      </c>
      <c r="L63" s="45" t="s">
        <v>775</v>
      </c>
      <c r="M63" s="45" t="s">
        <v>1267</v>
      </c>
      <c r="N63" s="45" t="s">
        <v>673</v>
      </c>
      <c r="O63" s="45" t="s">
        <v>1268</v>
      </c>
      <c r="P63" s="45">
        <v>2</v>
      </c>
      <c r="Q63" s="45">
        <v>0</v>
      </c>
      <c r="R63" s="45">
        <v>0</v>
      </c>
      <c r="S63" s="45">
        <v>0</v>
      </c>
      <c r="T63" s="45">
        <v>0</v>
      </c>
      <c r="U63" s="45">
        <v>0</v>
      </c>
      <c r="V63" s="46">
        <f t="shared" si="0"/>
        <v>0</v>
      </c>
      <c r="W63" s="45" t="s">
        <v>1033</v>
      </c>
      <c r="X63" s="45" t="s">
        <v>772</v>
      </c>
      <c r="Y63" s="45" t="s">
        <v>1027</v>
      </c>
    </row>
    <row r="64" spans="1:25" x14ac:dyDescent="0.15">
      <c r="A64" s="45">
        <v>106568</v>
      </c>
      <c r="B64" s="45" t="s">
        <v>662</v>
      </c>
      <c r="C64" s="45" t="s">
        <v>1269</v>
      </c>
      <c r="D64" s="45" t="s">
        <v>663</v>
      </c>
      <c r="E64" s="45" t="s">
        <v>1270</v>
      </c>
      <c r="F64" s="45" t="s">
        <v>1271</v>
      </c>
      <c r="G64" s="45" t="s">
        <v>1272</v>
      </c>
      <c r="H64" s="45" t="s">
        <v>776</v>
      </c>
      <c r="I64" s="45" t="s">
        <v>1021</v>
      </c>
      <c r="J64" s="45" t="s">
        <v>1099</v>
      </c>
      <c r="K64" s="45" t="s">
        <v>1035</v>
      </c>
      <c r="L64" s="45" t="s">
        <v>778</v>
      </c>
      <c r="M64" s="45" t="s">
        <v>1273</v>
      </c>
      <c r="N64" s="45" t="s">
        <v>661</v>
      </c>
      <c r="O64" s="45" t="s">
        <v>1274</v>
      </c>
      <c r="P64" s="45">
        <v>2</v>
      </c>
      <c r="Q64" s="45">
        <v>0</v>
      </c>
      <c r="R64" s="45">
        <v>0</v>
      </c>
      <c r="S64" s="45">
        <v>0</v>
      </c>
      <c r="T64" s="45">
        <v>0</v>
      </c>
      <c r="U64" s="45">
        <v>4</v>
      </c>
      <c r="V64" s="46">
        <f t="shared" si="0"/>
        <v>100</v>
      </c>
      <c r="W64" s="45" t="s">
        <v>1033</v>
      </c>
      <c r="X64" s="45" t="s">
        <v>777</v>
      </c>
      <c r="Y64" s="45" t="s">
        <v>1027</v>
      </c>
    </row>
    <row r="65" spans="1:25" x14ac:dyDescent="0.15">
      <c r="A65" s="45">
        <v>106753</v>
      </c>
      <c r="B65" s="45" t="s">
        <v>662</v>
      </c>
      <c r="C65" s="45"/>
      <c r="D65" s="45" t="s">
        <v>663</v>
      </c>
      <c r="E65" s="45"/>
      <c r="F65" s="45"/>
      <c r="G65" s="45"/>
      <c r="H65" s="45" t="s">
        <v>776</v>
      </c>
      <c r="I65" s="45" t="s">
        <v>1021</v>
      </c>
      <c r="J65" s="45" t="s">
        <v>1099</v>
      </c>
      <c r="K65" s="45" t="s">
        <v>1035</v>
      </c>
      <c r="L65" s="45" t="s">
        <v>779</v>
      </c>
      <c r="M65" s="45" t="s">
        <v>1275</v>
      </c>
      <c r="N65" s="45" t="s">
        <v>661</v>
      </c>
      <c r="O65" s="45" t="s">
        <v>1276</v>
      </c>
      <c r="P65" s="45">
        <v>2</v>
      </c>
      <c r="Q65" s="45">
        <v>0</v>
      </c>
      <c r="R65" s="45">
        <v>0</v>
      </c>
      <c r="S65" s="45">
        <v>0</v>
      </c>
      <c r="T65" s="45">
        <v>3</v>
      </c>
      <c r="U65" s="45">
        <v>5</v>
      </c>
      <c r="V65" s="46">
        <f t="shared" si="0"/>
        <v>125</v>
      </c>
      <c r="W65" s="45" t="s">
        <v>1097</v>
      </c>
      <c r="X65" s="45" t="s">
        <v>777</v>
      </c>
      <c r="Y65" s="45" t="s">
        <v>1027</v>
      </c>
    </row>
    <row r="66" spans="1:25" x14ac:dyDescent="0.15">
      <c r="A66" s="45">
        <v>109155</v>
      </c>
      <c r="B66" s="45" t="s">
        <v>662</v>
      </c>
      <c r="C66" s="45" t="s">
        <v>1277</v>
      </c>
      <c r="D66" s="45" t="s">
        <v>663</v>
      </c>
      <c r="E66" s="45"/>
      <c r="F66" s="45"/>
      <c r="G66" s="45"/>
      <c r="H66" s="45" t="s">
        <v>780</v>
      </c>
      <c r="I66" s="45" t="s">
        <v>1021</v>
      </c>
      <c r="J66" s="45" t="s">
        <v>1083</v>
      </c>
      <c r="K66" s="45" t="s">
        <v>1035</v>
      </c>
      <c r="L66" s="45" t="s">
        <v>782</v>
      </c>
      <c r="M66" s="45" t="s">
        <v>1278</v>
      </c>
      <c r="N66" s="45" t="s">
        <v>661</v>
      </c>
      <c r="O66" s="45" t="s">
        <v>1279</v>
      </c>
      <c r="P66" s="45">
        <v>5</v>
      </c>
      <c r="Q66" s="45">
        <v>4</v>
      </c>
      <c r="R66" s="45">
        <v>0</v>
      </c>
      <c r="S66" s="45">
        <v>4</v>
      </c>
      <c r="T66" s="45">
        <v>4</v>
      </c>
      <c r="U66" s="45">
        <v>6</v>
      </c>
      <c r="V66" s="46">
        <f t="shared" ref="V66:V129" si="1">U66*25</f>
        <v>150</v>
      </c>
      <c r="W66" s="45" t="s">
        <v>1038</v>
      </c>
      <c r="X66" s="45" t="s">
        <v>781</v>
      </c>
      <c r="Y66" s="45" t="s">
        <v>1027</v>
      </c>
    </row>
    <row r="67" spans="1:25" x14ac:dyDescent="0.15">
      <c r="A67" s="45">
        <v>105249</v>
      </c>
      <c r="B67" s="45" t="s">
        <v>719</v>
      </c>
      <c r="C67" s="45" t="s">
        <v>1280</v>
      </c>
      <c r="D67" s="45" t="s">
        <v>663</v>
      </c>
      <c r="E67" s="45"/>
      <c r="F67" s="45"/>
      <c r="G67" s="45"/>
      <c r="H67" s="45" t="s">
        <v>783</v>
      </c>
      <c r="I67" s="45" t="s">
        <v>1021</v>
      </c>
      <c r="J67" s="45" t="s">
        <v>1281</v>
      </c>
      <c r="K67" s="45" t="s">
        <v>1030</v>
      </c>
      <c r="L67" s="45" t="s">
        <v>785</v>
      </c>
      <c r="M67" s="45" t="s">
        <v>1282</v>
      </c>
      <c r="N67" s="45" t="s">
        <v>661</v>
      </c>
      <c r="O67" s="45" t="s">
        <v>1283</v>
      </c>
      <c r="P67" s="45">
        <v>2</v>
      </c>
      <c r="Q67" s="45">
        <v>0</v>
      </c>
      <c r="R67" s="45">
        <v>0</v>
      </c>
      <c r="S67" s="45">
        <v>0</v>
      </c>
      <c r="T67" s="45">
        <v>0</v>
      </c>
      <c r="U67" s="45">
        <v>3</v>
      </c>
      <c r="V67" s="46">
        <f t="shared" si="1"/>
        <v>75</v>
      </c>
      <c r="W67" s="45" t="s">
        <v>1033</v>
      </c>
      <c r="X67" s="45" t="s">
        <v>784</v>
      </c>
      <c r="Y67" s="45" t="s">
        <v>1027</v>
      </c>
    </row>
    <row r="68" spans="1:25" x14ac:dyDescent="0.15">
      <c r="A68" s="45">
        <v>107685</v>
      </c>
      <c r="B68" s="45" t="s">
        <v>662</v>
      </c>
      <c r="C68" s="45" t="s">
        <v>1284</v>
      </c>
      <c r="D68" s="45" t="s">
        <v>663</v>
      </c>
      <c r="E68" s="45"/>
      <c r="F68" s="45"/>
      <c r="G68" s="45"/>
      <c r="H68" s="45" t="s">
        <v>783</v>
      </c>
      <c r="I68" s="45" t="s">
        <v>1021</v>
      </c>
      <c r="J68" s="45" t="s">
        <v>1067</v>
      </c>
      <c r="K68" s="45" t="s">
        <v>1030</v>
      </c>
      <c r="L68" s="45" t="s">
        <v>786</v>
      </c>
      <c r="M68" s="45" t="s">
        <v>1285</v>
      </c>
      <c r="N68" s="45" t="s">
        <v>661</v>
      </c>
      <c r="O68" s="45" t="s">
        <v>1286</v>
      </c>
      <c r="P68" s="45">
        <v>3</v>
      </c>
      <c r="Q68" s="45">
        <v>0</v>
      </c>
      <c r="R68" s="45">
        <v>0</v>
      </c>
      <c r="S68" s="45">
        <v>0</v>
      </c>
      <c r="T68" s="45">
        <v>0</v>
      </c>
      <c r="U68" s="45">
        <v>3</v>
      </c>
      <c r="V68" s="46">
        <f t="shared" si="1"/>
        <v>75</v>
      </c>
      <c r="W68" s="45" t="s">
        <v>1033</v>
      </c>
      <c r="X68" s="45" t="s">
        <v>784</v>
      </c>
      <c r="Y68" s="45" t="s">
        <v>1027</v>
      </c>
    </row>
    <row r="69" spans="1:25" x14ac:dyDescent="0.15">
      <c r="A69" s="45">
        <v>108325</v>
      </c>
      <c r="B69" s="45" t="s">
        <v>662</v>
      </c>
      <c r="C69" s="45" t="s">
        <v>1287</v>
      </c>
      <c r="D69" s="45" t="s">
        <v>663</v>
      </c>
      <c r="E69" s="45"/>
      <c r="F69" s="45"/>
      <c r="G69" s="45"/>
      <c r="H69" s="45" t="s">
        <v>783</v>
      </c>
      <c r="I69" s="45" t="s">
        <v>1021</v>
      </c>
      <c r="J69" s="45" t="s">
        <v>1288</v>
      </c>
      <c r="K69" s="45" t="s">
        <v>1035</v>
      </c>
      <c r="L69" s="45" t="s">
        <v>787</v>
      </c>
      <c r="M69" s="45" t="s">
        <v>1289</v>
      </c>
      <c r="N69" s="45" t="s">
        <v>661</v>
      </c>
      <c r="O69" s="45" t="s">
        <v>1290</v>
      </c>
      <c r="P69" s="45">
        <v>2</v>
      </c>
      <c r="Q69" s="45">
        <v>0</v>
      </c>
      <c r="R69" s="45">
        <v>0</v>
      </c>
      <c r="S69" s="45">
        <v>2</v>
      </c>
      <c r="T69" s="45">
        <v>2</v>
      </c>
      <c r="U69" s="45">
        <v>4</v>
      </c>
      <c r="V69" s="46">
        <f t="shared" si="1"/>
        <v>100</v>
      </c>
      <c r="W69" s="45" t="s">
        <v>1046</v>
      </c>
      <c r="X69" s="45" t="s">
        <v>784</v>
      </c>
      <c r="Y69" s="45" t="s">
        <v>1027</v>
      </c>
    </row>
    <row r="70" spans="1:25" x14ac:dyDescent="0.15">
      <c r="A70" s="45">
        <v>109377</v>
      </c>
      <c r="B70" s="45" t="s">
        <v>662</v>
      </c>
      <c r="C70" s="45" t="s">
        <v>1291</v>
      </c>
      <c r="D70" s="45" t="s">
        <v>663</v>
      </c>
      <c r="E70" s="45"/>
      <c r="F70" s="45"/>
      <c r="G70" s="45"/>
      <c r="H70" s="45" t="s">
        <v>783</v>
      </c>
      <c r="I70" s="45" t="s">
        <v>1021</v>
      </c>
      <c r="J70" s="45" t="s">
        <v>1152</v>
      </c>
      <c r="K70" s="45" t="s">
        <v>1023</v>
      </c>
      <c r="L70" s="45" t="s">
        <v>788</v>
      </c>
      <c r="M70" s="45" t="s">
        <v>1292</v>
      </c>
      <c r="N70" s="45" t="s">
        <v>661</v>
      </c>
      <c r="O70" s="45" t="s">
        <v>1293</v>
      </c>
      <c r="P70" s="45">
        <v>3</v>
      </c>
      <c r="Q70" s="45">
        <v>0</v>
      </c>
      <c r="R70" s="45">
        <v>0</v>
      </c>
      <c r="S70" s="45">
        <v>2</v>
      </c>
      <c r="T70" s="45">
        <v>0</v>
      </c>
      <c r="U70" s="45">
        <v>3</v>
      </c>
      <c r="V70" s="46">
        <f t="shared" si="1"/>
        <v>75</v>
      </c>
      <c r="W70" s="45" t="s">
        <v>1151</v>
      </c>
      <c r="X70" s="45" t="s">
        <v>784</v>
      </c>
      <c r="Y70" s="45" t="s">
        <v>1027</v>
      </c>
    </row>
    <row r="71" spans="1:25" x14ac:dyDescent="0.15">
      <c r="A71" s="45">
        <v>109580</v>
      </c>
      <c r="B71" s="45" t="s">
        <v>698</v>
      </c>
      <c r="C71" s="45" t="s">
        <v>1294</v>
      </c>
      <c r="D71" s="45" t="s">
        <v>675</v>
      </c>
      <c r="E71" s="45"/>
      <c r="F71" s="45"/>
      <c r="G71" s="45"/>
      <c r="H71" s="45" t="s">
        <v>783</v>
      </c>
      <c r="I71" s="45" t="s">
        <v>1021</v>
      </c>
      <c r="J71" s="45" t="s">
        <v>1048</v>
      </c>
      <c r="K71" s="45" t="s">
        <v>1030</v>
      </c>
      <c r="L71" s="45" t="s">
        <v>789</v>
      </c>
      <c r="M71" s="45" t="s">
        <v>1295</v>
      </c>
      <c r="N71" s="45" t="s">
        <v>661</v>
      </c>
      <c r="O71" s="45" t="s">
        <v>1296</v>
      </c>
      <c r="P71" s="45">
        <v>2</v>
      </c>
      <c r="Q71" s="45">
        <v>0</v>
      </c>
      <c r="R71" s="45">
        <v>0</v>
      </c>
      <c r="S71" s="45">
        <v>0</v>
      </c>
      <c r="T71" s="45">
        <v>0</v>
      </c>
      <c r="U71" s="45">
        <v>0</v>
      </c>
      <c r="V71" s="46">
        <f t="shared" si="1"/>
        <v>0</v>
      </c>
      <c r="W71" s="45" t="s">
        <v>1033</v>
      </c>
      <c r="X71" s="45" t="s">
        <v>784</v>
      </c>
      <c r="Y71" s="45" t="s">
        <v>1027</v>
      </c>
    </row>
    <row r="72" spans="1:25" x14ac:dyDescent="0.15">
      <c r="A72" s="45">
        <v>105657</v>
      </c>
      <c r="B72" s="45" t="s">
        <v>671</v>
      </c>
      <c r="C72" s="45" t="s">
        <v>1297</v>
      </c>
      <c r="D72" s="45" t="s">
        <v>663</v>
      </c>
      <c r="E72" s="45"/>
      <c r="F72" s="45"/>
      <c r="G72" s="45"/>
      <c r="H72" s="45" t="s">
        <v>790</v>
      </c>
      <c r="I72" s="45" t="s">
        <v>1021</v>
      </c>
      <c r="J72" s="45" t="s">
        <v>1298</v>
      </c>
      <c r="K72" s="45" t="s">
        <v>1041</v>
      </c>
      <c r="L72" s="45" t="s">
        <v>792</v>
      </c>
      <c r="M72" s="45" t="s">
        <v>1299</v>
      </c>
      <c r="N72" s="45" t="s">
        <v>661</v>
      </c>
      <c r="O72" s="45" t="s">
        <v>1300</v>
      </c>
      <c r="P72" s="45">
        <v>2</v>
      </c>
      <c r="Q72" s="45">
        <v>0</v>
      </c>
      <c r="R72" s="45">
        <v>0</v>
      </c>
      <c r="S72" s="45">
        <v>0</v>
      </c>
      <c r="T72" s="45">
        <v>1</v>
      </c>
      <c r="U72" s="45">
        <v>3</v>
      </c>
      <c r="V72" s="46">
        <f t="shared" si="1"/>
        <v>75</v>
      </c>
      <c r="W72" s="45" t="s">
        <v>1097</v>
      </c>
      <c r="X72" s="45" t="s">
        <v>791</v>
      </c>
      <c r="Y72" s="45" t="s">
        <v>1027</v>
      </c>
    </row>
    <row r="73" spans="1:25" x14ac:dyDescent="0.15">
      <c r="A73" s="45">
        <v>106799</v>
      </c>
      <c r="B73" s="45" t="s">
        <v>671</v>
      </c>
      <c r="C73" s="45" t="s">
        <v>1301</v>
      </c>
      <c r="D73" s="45" t="s">
        <v>663</v>
      </c>
      <c r="E73" s="45"/>
      <c r="F73" s="45"/>
      <c r="G73" s="45"/>
      <c r="H73" s="45" t="s">
        <v>790</v>
      </c>
      <c r="I73" s="45" t="s">
        <v>1021</v>
      </c>
      <c r="J73" s="45" t="s">
        <v>1302</v>
      </c>
      <c r="K73" s="45" t="s">
        <v>1041</v>
      </c>
      <c r="L73" s="45" t="s">
        <v>793</v>
      </c>
      <c r="M73" s="45" t="s">
        <v>1303</v>
      </c>
      <c r="N73" s="45" t="s">
        <v>661</v>
      </c>
      <c r="O73" s="45" t="s">
        <v>1304</v>
      </c>
      <c r="P73" s="45">
        <v>2</v>
      </c>
      <c r="Q73" s="45">
        <v>0</v>
      </c>
      <c r="R73" s="45">
        <v>0</v>
      </c>
      <c r="S73" s="45">
        <v>0</v>
      </c>
      <c r="T73" s="45">
        <v>0</v>
      </c>
      <c r="U73" s="45">
        <v>0</v>
      </c>
      <c r="V73" s="46">
        <f t="shared" si="1"/>
        <v>0</v>
      </c>
      <c r="W73" s="45" t="s">
        <v>1305</v>
      </c>
      <c r="X73" s="45" t="s">
        <v>791</v>
      </c>
      <c r="Y73" s="45" t="s">
        <v>1027</v>
      </c>
    </row>
    <row r="74" spans="1:25" x14ac:dyDescent="0.15">
      <c r="A74" s="45">
        <v>106534</v>
      </c>
      <c r="B74" s="45" t="s">
        <v>794</v>
      </c>
      <c r="C74" s="45" t="s">
        <v>1306</v>
      </c>
      <c r="D74" s="45" t="s">
        <v>685</v>
      </c>
      <c r="E74" s="45"/>
      <c r="F74" s="45"/>
      <c r="G74" s="45"/>
      <c r="H74" s="45" t="s">
        <v>790</v>
      </c>
      <c r="I74" s="45" t="s">
        <v>1021</v>
      </c>
      <c r="J74" s="45" t="s">
        <v>1095</v>
      </c>
      <c r="K74" s="45" t="s">
        <v>1030</v>
      </c>
      <c r="L74" s="45" t="s">
        <v>795</v>
      </c>
      <c r="M74" s="45" t="s">
        <v>1307</v>
      </c>
      <c r="N74" s="45" t="s">
        <v>661</v>
      </c>
      <c r="O74" s="45" t="s">
        <v>1308</v>
      </c>
      <c r="P74" s="45">
        <v>5</v>
      </c>
      <c r="Q74" s="45">
        <v>0</v>
      </c>
      <c r="R74" s="45">
        <v>0</v>
      </c>
      <c r="S74" s="45">
        <v>0</v>
      </c>
      <c r="T74" s="45">
        <v>0</v>
      </c>
      <c r="U74" s="45">
        <v>5</v>
      </c>
      <c r="V74" s="46">
        <f t="shared" si="1"/>
        <v>125</v>
      </c>
      <c r="W74" s="45" t="s">
        <v>1033</v>
      </c>
      <c r="X74" s="45" t="s">
        <v>791</v>
      </c>
      <c r="Y74" s="45" t="s">
        <v>1027</v>
      </c>
    </row>
    <row r="75" spans="1:25" x14ac:dyDescent="0.15">
      <c r="A75" s="45">
        <v>106680</v>
      </c>
      <c r="B75" s="45" t="s">
        <v>684</v>
      </c>
      <c r="C75" s="45" t="s">
        <v>1309</v>
      </c>
      <c r="D75" s="45" t="s">
        <v>685</v>
      </c>
      <c r="E75" s="45"/>
      <c r="F75" s="45"/>
      <c r="G75" s="45"/>
      <c r="H75" s="45" t="s">
        <v>790</v>
      </c>
      <c r="I75" s="45" t="s">
        <v>1021</v>
      </c>
      <c r="J75" s="45" t="s">
        <v>1310</v>
      </c>
      <c r="K75" s="45" t="s">
        <v>1030</v>
      </c>
      <c r="L75" s="45" t="s">
        <v>796</v>
      </c>
      <c r="M75" s="45" t="s">
        <v>1311</v>
      </c>
      <c r="N75" s="45" t="s">
        <v>661</v>
      </c>
      <c r="O75" s="45" t="s">
        <v>1312</v>
      </c>
      <c r="P75" s="45">
        <v>3</v>
      </c>
      <c r="Q75" s="45">
        <v>0</v>
      </c>
      <c r="R75" s="45">
        <v>0</v>
      </c>
      <c r="S75" s="45">
        <v>0</v>
      </c>
      <c r="T75" s="45">
        <v>0</v>
      </c>
      <c r="U75" s="45">
        <v>3</v>
      </c>
      <c r="V75" s="46">
        <f t="shared" si="1"/>
        <v>75</v>
      </c>
      <c r="W75" s="45" t="s">
        <v>1033</v>
      </c>
      <c r="X75" s="45" t="s">
        <v>791</v>
      </c>
      <c r="Y75" s="45" t="s">
        <v>1027</v>
      </c>
    </row>
    <row r="76" spans="1:25" x14ac:dyDescent="0.15">
      <c r="A76" s="45">
        <v>106705</v>
      </c>
      <c r="B76" s="45" t="s">
        <v>700</v>
      </c>
      <c r="C76" s="45" t="s">
        <v>1313</v>
      </c>
      <c r="D76" s="45" t="s">
        <v>663</v>
      </c>
      <c r="E76" s="45"/>
      <c r="F76" s="45"/>
      <c r="G76" s="45"/>
      <c r="H76" s="45" t="s">
        <v>790</v>
      </c>
      <c r="I76" s="45" t="s">
        <v>1021</v>
      </c>
      <c r="J76" s="45" t="s">
        <v>1310</v>
      </c>
      <c r="K76" s="45" t="s">
        <v>1030</v>
      </c>
      <c r="L76" s="45" t="s">
        <v>797</v>
      </c>
      <c r="M76" s="45" t="s">
        <v>1314</v>
      </c>
      <c r="N76" s="45" t="s">
        <v>661</v>
      </c>
      <c r="O76" s="45" t="s">
        <v>1315</v>
      </c>
      <c r="P76" s="45">
        <v>3</v>
      </c>
      <c r="Q76" s="45">
        <v>0</v>
      </c>
      <c r="R76" s="45">
        <v>0</v>
      </c>
      <c r="S76" s="45">
        <v>0</v>
      </c>
      <c r="T76" s="45">
        <v>0</v>
      </c>
      <c r="U76" s="45">
        <v>0</v>
      </c>
      <c r="V76" s="46">
        <f t="shared" si="1"/>
        <v>0</v>
      </c>
      <c r="W76" s="45" t="s">
        <v>1033</v>
      </c>
      <c r="X76" s="45" t="s">
        <v>791</v>
      </c>
      <c r="Y76" s="45" t="s">
        <v>1027</v>
      </c>
    </row>
    <row r="77" spans="1:25" x14ac:dyDescent="0.15">
      <c r="A77" s="45">
        <v>105887</v>
      </c>
      <c r="B77" s="45" t="s">
        <v>671</v>
      </c>
      <c r="C77" s="45" t="s">
        <v>1316</v>
      </c>
      <c r="D77" s="45" t="s">
        <v>663</v>
      </c>
      <c r="E77" s="45" t="s">
        <v>1317</v>
      </c>
      <c r="F77" s="45" t="s">
        <v>1035</v>
      </c>
      <c r="G77" s="45" t="s">
        <v>1318</v>
      </c>
      <c r="H77" s="45" t="s">
        <v>790</v>
      </c>
      <c r="I77" s="45" t="s">
        <v>1021</v>
      </c>
      <c r="J77" s="45" t="s">
        <v>1099</v>
      </c>
      <c r="K77" s="45" t="s">
        <v>1030</v>
      </c>
      <c r="L77" s="45" t="s">
        <v>798</v>
      </c>
      <c r="M77" s="45" t="s">
        <v>1319</v>
      </c>
      <c r="N77" s="45" t="s">
        <v>661</v>
      </c>
      <c r="O77" s="45" t="s">
        <v>1320</v>
      </c>
      <c r="P77" s="45">
        <v>6</v>
      </c>
      <c r="Q77" s="45">
        <v>2</v>
      </c>
      <c r="R77" s="45">
        <v>0</v>
      </c>
      <c r="S77" s="45">
        <v>0</v>
      </c>
      <c r="T77" s="45">
        <v>0</v>
      </c>
      <c r="U77" s="45">
        <v>0</v>
      </c>
      <c r="V77" s="46">
        <f t="shared" si="1"/>
        <v>0</v>
      </c>
      <c r="W77" s="45" t="s">
        <v>1321</v>
      </c>
      <c r="X77" s="45" t="s">
        <v>791</v>
      </c>
      <c r="Y77" s="45" t="s">
        <v>1027</v>
      </c>
    </row>
    <row r="78" spans="1:25" x14ac:dyDescent="0.15">
      <c r="A78" s="45">
        <v>106950</v>
      </c>
      <c r="B78" s="45" t="s">
        <v>671</v>
      </c>
      <c r="C78" s="45" t="s">
        <v>1322</v>
      </c>
      <c r="D78" s="45" t="s">
        <v>663</v>
      </c>
      <c r="E78" s="45" t="s">
        <v>1323</v>
      </c>
      <c r="F78" s="45" t="s">
        <v>1035</v>
      </c>
      <c r="G78" s="45" t="s">
        <v>1324</v>
      </c>
      <c r="H78" s="45" t="s">
        <v>790</v>
      </c>
      <c r="I78" s="45" t="s">
        <v>1021</v>
      </c>
      <c r="J78" s="45" t="s">
        <v>1099</v>
      </c>
      <c r="K78" s="45" t="s">
        <v>1035</v>
      </c>
      <c r="L78" s="45" t="s">
        <v>799</v>
      </c>
      <c r="M78" s="45" t="s">
        <v>1325</v>
      </c>
      <c r="N78" s="45" t="s">
        <v>661</v>
      </c>
      <c r="O78" s="45" t="s">
        <v>1326</v>
      </c>
      <c r="P78" s="45">
        <v>2</v>
      </c>
      <c r="Q78" s="45">
        <v>0</v>
      </c>
      <c r="R78" s="45">
        <v>0</v>
      </c>
      <c r="S78" s="45">
        <v>0</v>
      </c>
      <c r="T78" s="45">
        <v>3</v>
      </c>
      <c r="U78" s="45">
        <v>5</v>
      </c>
      <c r="V78" s="46">
        <f t="shared" si="1"/>
        <v>125</v>
      </c>
      <c r="W78" s="45" t="s">
        <v>1097</v>
      </c>
      <c r="X78" s="45" t="s">
        <v>791</v>
      </c>
      <c r="Y78" s="45" t="s">
        <v>1027</v>
      </c>
    </row>
    <row r="79" spans="1:25" x14ac:dyDescent="0.15">
      <c r="A79" s="45">
        <v>107057</v>
      </c>
      <c r="B79" s="45" t="s">
        <v>674</v>
      </c>
      <c r="C79" s="45" t="s">
        <v>1327</v>
      </c>
      <c r="D79" s="45" t="s">
        <v>675</v>
      </c>
      <c r="E79" s="45"/>
      <c r="F79" s="45"/>
      <c r="G79" s="45"/>
      <c r="H79" s="45" t="s">
        <v>790</v>
      </c>
      <c r="I79" s="45" t="s">
        <v>1021</v>
      </c>
      <c r="J79" s="45" t="s">
        <v>1029</v>
      </c>
      <c r="K79" s="45" t="s">
        <v>1030</v>
      </c>
      <c r="L79" s="45" t="s">
        <v>800</v>
      </c>
      <c r="M79" s="45" t="s">
        <v>1328</v>
      </c>
      <c r="N79" s="45" t="s">
        <v>673</v>
      </c>
      <c r="O79" s="45" t="s">
        <v>1329</v>
      </c>
      <c r="P79" s="45">
        <v>2</v>
      </c>
      <c r="Q79" s="45">
        <v>0</v>
      </c>
      <c r="R79" s="45">
        <v>0</v>
      </c>
      <c r="S79" s="45">
        <v>0</v>
      </c>
      <c r="T79" s="45">
        <v>0</v>
      </c>
      <c r="U79" s="45">
        <v>3</v>
      </c>
      <c r="V79" s="46">
        <f t="shared" si="1"/>
        <v>75</v>
      </c>
      <c r="W79" s="45" t="s">
        <v>1033</v>
      </c>
      <c r="X79" s="45" t="s">
        <v>791</v>
      </c>
      <c r="Y79" s="45" t="s">
        <v>1027</v>
      </c>
    </row>
    <row r="80" spans="1:25" x14ac:dyDescent="0.15">
      <c r="A80" s="45">
        <v>107784</v>
      </c>
      <c r="B80" s="45" t="s">
        <v>698</v>
      </c>
      <c r="C80" s="45" t="s">
        <v>1330</v>
      </c>
      <c r="D80" s="45" t="s">
        <v>675</v>
      </c>
      <c r="E80" s="45"/>
      <c r="F80" s="45"/>
      <c r="G80" s="45"/>
      <c r="H80" s="45" t="s">
        <v>790</v>
      </c>
      <c r="I80" s="45" t="s">
        <v>1021</v>
      </c>
      <c r="J80" s="45" t="s">
        <v>1166</v>
      </c>
      <c r="K80" s="45" t="s">
        <v>1035</v>
      </c>
      <c r="L80" s="45" t="s">
        <v>801</v>
      </c>
      <c r="M80" s="45" t="s">
        <v>1331</v>
      </c>
      <c r="N80" s="45" t="s">
        <v>661</v>
      </c>
      <c r="O80" s="45" t="s">
        <v>1332</v>
      </c>
      <c r="P80" s="45">
        <v>2</v>
      </c>
      <c r="Q80" s="45">
        <v>2</v>
      </c>
      <c r="R80" s="45">
        <v>0</v>
      </c>
      <c r="S80" s="45">
        <v>2</v>
      </c>
      <c r="T80" s="45">
        <v>2</v>
      </c>
      <c r="U80" s="45">
        <v>4</v>
      </c>
      <c r="V80" s="46">
        <f t="shared" si="1"/>
        <v>100</v>
      </c>
      <c r="W80" s="45" t="s">
        <v>1038</v>
      </c>
      <c r="X80" s="45" t="s">
        <v>791</v>
      </c>
      <c r="Y80" s="45" t="s">
        <v>1027</v>
      </c>
    </row>
    <row r="81" spans="1:25" x14ac:dyDescent="0.15">
      <c r="A81" s="45">
        <v>109797</v>
      </c>
      <c r="B81" s="45" t="s">
        <v>700</v>
      </c>
      <c r="C81" s="45" t="s">
        <v>1333</v>
      </c>
      <c r="D81" s="45" t="s">
        <v>663</v>
      </c>
      <c r="E81" s="45"/>
      <c r="F81" s="45"/>
      <c r="G81" s="45"/>
      <c r="H81" s="45" t="s">
        <v>790</v>
      </c>
      <c r="I81" s="45" t="s">
        <v>1021</v>
      </c>
      <c r="J81" s="45" t="s">
        <v>1334</v>
      </c>
      <c r="K81" s="45" t="s">
        <v>1035</v>
      </c>
      <c r="L81" s="45" t="s">
        <v>802</v>
      </c>
      <c r="M81" s="45" t="s">
        <v>1335</v>
      </c>
      <c r="N81" s="45" t="s">
        <v>661</v>
      </c>
      <c r="O81" s="45" t="s">
        <v>1336</v>
      </c>
      <c r="P81" s="45">
        <v>2</v>
      </c>
      <c r="Q81" s="45">
        <v>2</v>
      </c>
      <c r="R81" s="45">
        <v>0</v>
      </c>
      <c r="S81" s="45">
        <v>1</v>
      </c>
      <c r="T81" s="45">
        <v>1</v>
      </c>
      <c r="U81" s="45">
        <v>3</v>
      </c>
      <c r="V81" s="46">
        <f t="shared" si="1"/>
        <v>75</v>
      </c>
      <c r="W81" s="45" t="s">
        <v>1038</v>
      </c>
      <c r="X81" s="45" t="s">
        <v>791</v>
      </c>
      <c r="Y81" s="45" t="s">
        <v>1027</v>
      </c>
    </row>
    <row r="82" spans="1:25" x14ac:dyDescent="0.15">
      <c r="A82" s="45">
        <v>109895</v>
      </c>
      <c r="B82" s="45" t="s">
        <v>700</v>
      </c>
      <c r="C82" s="45" t="s">
        <v>1297</v>
      </c>
      <c r="D82" s="45" t="s">
        <v>663</v>
      </c>
      <c r="E82" s="45"/>
      <c r="F82" s="45"/>
      <c r="G82" s="45"/>
      <c r="H82" s="45" t="s">
        <v>790</v>
      </c>
      <c r="I82" s="45" t="s">
        <v>1021</v>
      </c>
      <c r="J82" s="45" t="s">
        <v>1337</v>
      </c>
      <c r="K82" s="45" t="s">
        <v>1035</v>
      </c>
      <c r="L82" s="45" t="s">
        <v>803</v>
      </c>
      <c r="M82" s="45" t="s">
        <v>1338</v>
      </c>
      <c r="N82" s="45" t="s">
        <v>661</v>
      </c>
      <c r="O82" s="45" t="s">
        <v>1339</v>
      </c>
      <c r="P82" s="45">
        <v>2</v>
      </c>
      <c r="Q82" s="45">
        <v>2</v>
      </c>
      <c r="R82" s="45">
        <v>0</v>
      </c>
      <c r="S82" s="45">
        <v>1</v>
      </c>
      <c r="T82" s="45">
        <v>1</v>
      </c>
      <c r="U82" s="45">
        <v>3</v>
      </c>
      <c r="V82" s="46">
        <f t="shared" si="1"/>
        <v>75</v>
      </c>
      <c r="W82" s="45" t="s">
        <v>1038</v>
      </c>
      <c r="X82" s="45" t="s">
        <v>791</v>
      </c>
      <c r="Y82" s="45" t="s">
        <v>1027</v>
      </c>
    </row>
    <row r="83" spans="1:25" x14ac:dyDescent="0.15">
      <c r="A83" s="45">
        <v>109995</v>
      </c>
      <c r="B83" s="45" t="s">
        <v>700</v>
      </c>
      <c r="C83" s="45" t="s">
        <v>1340</v>
      </c>
      <c r="D83" s="45" t="s">
        <v>663</v>
      </c>
      <c r="E83" s="45"/>
      <c r="F83" s="45"/>
      <c r="G83" s="45"/>
      <c r="H83" s="45" t="s">
        <v>790</v>
      </c>
      <c r="I83" s="45" t="s">
        <v>1043</v>
      </c>
      <c r="J83" s="45" t="s">
        <v>804</v>
      </c>
      <c r="K83" s="45" t="s">
        <v>1035</v>
      </c>
      <c r="L83" s="45" t="s">
        <v>804</v>
      </c>
      <c r="M83" s="45" t="s">
        <v>1341</v>
      </c>
      <c r="N83" s="45" t="s">
        <v>661</v>
      </c>
      <c r="O83" s="45" t="s">
        <v>1342</v>
      </c>
      <c r="P83" s="45">
        <v>2</v>
      </c>
      <c r="Q83" s="45">
        <v>0</v>
      </c>
      <c r="R83" s="45">
        <v>0</v>
      </c>
      <c r="S83" s="45">
        <v>0</v>
      </c>
      <c r="T83" s="45">
        <v>0</v>
      </c>
      <c r="U83" s="45">
        <v>0</v>
      </c>
      <c r="V83" s="46">
        <f t="shared" si="1"/>
        <v>0</v>
      </c>
      <c r="W83" s="45" t="s">
        <v>1033</v>
      </c>
      <c r="X83" s="45" t="s">
        <v>791</v>
      </c>
      <c r="Y83" s="45" t="s">
        <v>1027</v>
      </c>
    </row>
    <row r="84" spans="1:25" x14ac:dyDescent="0.15">
      <c r="A84" s="45">
        <v>110081</v>
      </c>
      <c r="B84" s="45" t="s">
        <v>662</v>
      </c>
      <c r="C84" s="45" t="s">
        <v>1343</v>
      </c>
      <c r="D84" s="45" t="s">
        <v>663</v>
      </c>
      <c r="E84" s="45"/>
      <c r="F84" s="45"/>
      <c r="G84" s="45"/>
      <c r="H84" s="45" t="s">
        <v>790</v>
      </c>
      <c r="I84" s="45" t="s">
        <v>1043</v>
      </c>
      <c r="J84" s="45" t="s">
        <v>805</v>
      </c>
      <c r="K84" s="45" t="s">
        <v>1023</v>
      </c>
      <c r="L84" s="45" t="s">
        <v>805</v>
      </c>
      <c r="M84" s="45" t="s">
        <v>1344</v>
      </c>
      <c r="N84" s="45" t="s">
        <v>661</v>
      </c>
      <c r="O84" s="45" t="s">
        <v>1345</v>
      </c>
      <c r="P84" s="45">
        <v>2</v>
      </c>
      <c r="Q84" s="45">
        <v>0</v>
      </c>
      <c r="R84" s="45">
        <v>0</v>
      </c>
      <c r="S84" s="45">
        <v>2</v>
      </c>
      <c r="T84" s="45">
        <v>0</v>
      </c>
      <c r="U84" s="45">
        <v>4</v>
      </c>
      <c r="V84" s="46">
        <f t="shared" si="1"/>
        <v>100</v>
      </c>
      <c r="W84" s="45" t="s">
        <v>1151</v>
      </c>
      <c r="X84" s="45" t="s">
        <v>791</v>
      </c>
      <c r="Y84" s="45" t="s">
        <v>1027</v>
      </c>
    </row>
    <row r="85" spans="1:25" x14ac:dyDescent="0.15">
      <c r="A85" s="45">
        <v>108363</v>
      </c>
      <c r="B85" s="45" t="s">
        <v>806</v>
      </c>
      <c r="C85" s="45" t="s">
        <v>1346</v>
      </c>
      <c r="D85" s="45" t="s">
        <v>685</v>
      </c>
      <c r="E85" s="45"/>
      <c r="F85" s="45"/>
      <c r="G85" s="45"/>
      <c r="H85" s="45" t="s">
        <v>807</v>
      </c>
      <c r="I85" s="45" t="s">
        <v>1021</v>
      </c>
      <c r="J85" s="45" t="s">
        <v>1288</v>
      </c>
      <c r="K85" s="45" t="s">
        <v>1035</v>
      </c>
      <c r="L85" s="45" t="s">
        <v>809</v>
      </c>
      <c r="M85" s="45" t="s">
        <v>1347</v>
      </c>
      <c r="N85" s="45" t="s">
        <v>661</v>
      </c>
      <c r="O85" s="45" t="s">
        <v>1348</v>
      </c>
      <c r="P85" s="45">
        <v>5</v>
      </c>
      <c r="Q85" s="45">
        <v>0</v>
      </c>
      <c r="R85" s="45">
        <v>0</v>
      </c>
      <c r="S85" s="45">
        <v>0</v>
      </c>
      <c r="T85" s="45">
        <v>0</v>
      </c>
      <c r="U85" s="45">
        <v>4</v>
      </c>
      <c r="V85" s="46">
        <f t="shared" si="1"/>
        <v>100</v>
      </c>
      <c r="W85" s="45" t="s">
        <v>1033</v>
      </c>
      <c r="X85" s="45" t="s">
        <v>808</v>
      </c>
      <c r="Y85" s="45" t="s">
        <v>1027</v>
      </c>
    </row>
    <row r="86" spans="1:25" x14ac:dyDescent="0.15">
      <c r="A86" s="45">
        <v>108032</v>
      </c>
      <c r="B86" s="45" t="s">
        <v>674</v>
      </c>
      <c r="C86" s="45" t="s">
        <v>1349</v>
      </c>
      <c r="D86" s="45" t="s">
        <v>675</v>
      </c>
      <c r="E86" s="45"/>
      <c r="F86" s="45"/>
      <c r="G86" s="45"/>
      <c r="H86" s="45" t="s">
        <v>810</v>
      </c>
      <c r="I86" s="45" t="s">
        <v>1021</v>
      </c>
      <c r="J86" s="45" t="s">
        <v>1110</v>
      </c>
      <c r="K86" s="45" t="s">
        <v>1030</v>
      </c>
      <c r="L86" s="45" t="s">
        <v>812</v>
      </c>
      <c r="M86" s="45" t="s">
        <v>1350</v>
      </c>
      <c r="N86" s="45" t="s">
        <v>673</v>
      </c>
      <c r="O86" s="45" t="s">
        <v>1351</v>
      </c>
      <c r="P86" s="45">
        <v>2</v>
      </c>
      <c r="Q86" s="45">
        <v>0</v>
      </c>
      <c r="R86" s="45">
        <v>0</v>
      </c>
      <c r="S86" s="45">
        <v>0</v>
      </c>
      <c r="T86" s="45">
        <v>0</v>
      </c>
      <c r="U86" s="45">
        <v>4</v>
      </c>
      <c r="V86" s="46">
        <f t="shared" si="1"/>
        <v>100</v>
      </c>
      <c r="W86" s="45" t="s">
        <v>1033</v>
      </c>
      <c r="X86" s="45" t="s">
        <v>811</v>
      </c>
      <c r="Y86" s="45" t="s">
        <v>1027</v>
      </c>
    </row>
    <row r="87" spans="1:25" x14ac:dyDescent="0.15">
      <c r="A87" s="45">
        <v>106073</v>
      </c>
      <c r="B87" s="45" t="s">
        <v>698</v>
      </c>
      <c r="C87" s="45" t="s">
        <v>1352</v>
      </c>
      <c r="D87" s="45" t="s">
        <v>675</v>
      </c>
      <c r="E87" s="45"/>
      <c r="F87" s="45"/>
      <c r="G87" s="45"/>
      <c r="H87" s="45" t="s">
        <v>813</v>
      </c>
      <c r="I87" s="45" t="s">
        <v>1021</v>
      </c>
      <c r="J87" s="45" t="s">
        <v>1206</v>
      </c>
      <c r="K87" s="45" t="s">
        <v>1173</v>
      </c>
      <c r="L87" s="45" t="s">
        <v>815</v>
      </c>
      <c r="M87" s="45" t="s">
        <v>1353</v>
      </c>
      <c r="N87" s="45" t="s">
        <v>661</v>
      </c>
      <c r="O87" s="45" t="s">
        <v>1354</v>
      </c>
      <c r="P87" s="45">
        <v>6</v>
      </c>
      <c r="Q87" s="45">
        <v>0</v>
      </c>
      <c r="R87" s="45">
        <v>0</v>
      </c>
      <c r="S87" s="45">
        <v>0</v>
      </c>
      <c r="T87" s="45">
        <v>0</v>
      </c>
      <c r="U87" s="45">
        <v>6</v>
      </c>
      <c r="V87" s="46">
        <f t="shared" si="1"/>
        <v>150</v>
      </c>
      <c r="W87" s="45" t="s">
        <v>1033</v>
      </c>
      <c r="X87" s="45" t="s">
        <v>814</v>
      </c>
      <c r="Y87" s="45" t="s">
        <v>1027</v>
      </c>
    </row>
    <row r="88" spans="1:25" x14ac:dyDescent="0.15">
      <c r="A88" s="45">
        <v>107119</v>
      </c>
      <c r="B88" s="45" t="s">
        <v>684</v>
      </c>
      <c r="C88" s="45" t="s">
        <v>1355</v>
      </c>
      <c r="D88" s="45" t="s">
        <v>685</v>
      </c>
      <c r="E88" s="45"/>
      <c r="F88" s="45"/>
      <c r="G88" s="45"/>
      <c r="H88" s="45" t="s">
        <v>813</v>
      </c>
      <c r="I88" s="45" t="s">
        <v>1021</v>
      </c>
      <c r="J88" s="45" t="s">
        <v>1029</v>
      </c>
      <c r="K88" s="45" t="s">
        <v>1035</v>
      </c>
      <c r="L88" s="45" t="s">
        <v>816</v>
      </c>
      <c r="M88" s="45" t="s">
        <v>1356</v>
      </c>
      <c r="N88" s="45" t="s">
        <v>661</v>
      </c>
      <c r="O88" s="45" t="s">
        <v>1357</v>
      </c>
      <c r="P88" s="45">
        <v>2</v>
      </c>
      <c r="Q88" s="45">
        <v>0</v>
      </c>
      <c r="R88" s="45">
        <v>0</v>
      </c>
      <c r="S88" s="45">
        <v>0</v>
      </c>
      <c r="T88" s="45">
        <v>2</v>
      </c>
      <c r="U88" s="45">
        <v>5</v>
      </c>
      <c r="V88" s="46">
        <f t="shared" si="1"/>
        <v>125</v>
      </c>
      <c r="W88" s="45" t="s">
        <v>1097</v>
      </c>
      <c r="X88" s="45" t="s">
        <v>814</v>
      </c>
      <c r="Y88" s="45" t="s">
        <v>1027</v>
      </c>
    </row>
    <row r="89" spans="1:25" x14ac:dyDescent="0.15">
      <c r="A89" s="45">
        <v>106355</v>
      </c>
      <c r="B89" s="45" t="s">
        <v>806</v>
      </c>
      <c r="C89" s="45" t="s">
        <v>1358</v>
      </c>
      <c r="D89" s="45" t="s">
        <v>685</v>
      </c>
      <c r="E89" s="45"/>
      <c r="F89" s="45"/>
      <c r="G89" s="45"/>
      <c r="H89" s="45" t="s">
        <v>817</v>
      </c>
      <c r="I89" s="45" t="s">
        <v>1021</v>
      </c>
      <c r="J89" s="45" t="s">
        <v>1095</v>
      </c>
      <c r="K89" s="45" t="s">
        <v>1041</v>
      </c>
      <c r="L89" s="45" t="s">
        <v>819</v>
      </c>
      <c r="M89" s="45" t="s">
        <v>1359</v>
      </c>
      <c r="N89" s="45" t="s">
        <v>661</v>
      </c>
      <c r="O89" s="45" t="s">
        <v>1360</v>
      </c>
      <c r="P89" s="45">
        <v>5</v>
      </c>
      <c r="Q89" s="45">
        <v>0</v>
      </c>
      <c r="R89" s="45">
        <v>0</v>
      </c>
      <c r="S89" s="45">
        <v>0</v>
      </c>
      <c r="T89" s="45">
        <v>3</v>
      </c>
      <c r="U89" s="45">
        <v>5</v>
      </c>
      <c r="V89" s="46">
        <f t="shared" si="1"/>
        <v>125</v>
      </c>
      <c r="W89" s="45" t="s">
        <v>1097</v>
      </c>
      <c r="X89" s="45" t="s">
        <v>818</v>
      </c>
      <c r="Y89" s="45" t="s">
        <v>1027</v>
      </c>
    </row>
    <row r="90" spans="1:25" x14ac:dyDescent="0.15">
      <c r="A90" s="45">
        <v>106596</v>
      </c>
      <c r="B90" s="45" t="s">
        <v>820</v>
      </c>
      <c r="C90" s="45" t="s">
        <v>1361</v>
      </c>
      <c r="D90" s="45" t="s">
        <v>685</v>
      </c>
      <c r="E90" s="45"/>
      <c r="F90" s="45"/>
      <c r="G90" s="45"/>
      <c r="H90" s="45" t="s">
        <v>817</v>
      </c>
      <c r="I90" s="45" t="s">
        <v>1021</v>
      </c>
      <c r="J90" s="45" t="s">
        <v>1095</v>
      </c>
      <c r="K90" s="45" t="s">
        <v>1041</v>
      </c>
      <c r="L90" s="45" t="s">
        <v>821</v>
      </c>
      <c r="M90" s="45" t="s">
        <v>1362</v>
      </c>
      <c r="N90" s="45" t="s">
        <v>1363</v>
      </c>
      <c r="O90" s="45" t="s">
        <v>1364</v>
      </c>
      <c r="P90" s="45">
        <v>1</v>
      </c>
      <c r="Q90" s="45">
        <v>0</v>
      </c>
      <c r="R90" s="45">
        <v>0</v>
      </c>
      <c r="S90" s="45">
        <v>0</v>
      </c>
      <c r="T90" s="45">
        <v>1</v>
      </c>
      <c r="U90" s="45">
        <v>3</v>
      </c>
      <c r="V90" s="46">
        <f t="shared" si="1"/>
        <v>75</v>
      </c>
      <c r="W90" s="45" t="s">
        <v>1097</v>
      </c>
      <c r="X90" s="45" t="s">
        <v>818</v>
      </c>
      <c r="Y90" s="45" t="s">
        <v>1027</v>
      </c>
    </row>
    <row r="91" spans="1:25" x14ac:dyDescent="0.15">
      <c r="A91" s="45">
        <v>107344</v>
      </c>
      <c r="B91" s="45" t="s">
        <v>674</v>
      </c>
      <c r="C91" s="45" t="s">
        <v>1365</v>
      </c>
      <c r="D91" s="45" t="s">
        <v>675</v>
      </c>
      <c r="E91" s="45"/>
      <c r="F91" s="45"/>
      <c r="G91" s="45"/>
      <c r="H91" s="45" t="s">
        <v>817</v>
      </c>
      <c r="I91" s="45" t="s">
        <v>1021</v>
      </c>
      <c r="J91" s="45" t="s">
        <v>1251</v>
      </c>
      <c r="K91" s="45" t="s">
        <v>1023</v>
      </c>
      <c r="L91" s="45" t="s">
        <v>822</v>
      </c>
      <c r="M91" s="45" t="s">
        <v>1366</v>
      </c>
      <c r="N91" s="45" t="s">
        <v>673</v>
      </c>
      <c r="O91" s="45" t="s">
        <v>1367</v>
      </c>
      <c r="P91" s="45">
        <v>2</v>
      </c>
      <c r="Q91" s="45">
        <v>0</v>
      </c>
      <c r="R91" s="45">
        <v>0</v>
      </c>
      <c r="S91" s="45">
        <v>0</v>
      </c>
      <c r="T91" s="45">
        <v>0</v>
      </c>
      <c r="U91" s="45">
        <v>3</v>
      </c>
      <c r="V91" s="46">
        <f t="shared" si="1"/>
        <v>75</v>
      </c>
      <c r="W91" s="45" t="s">
        <v>1033</v>
      </c>
      <c r="X91" s="45" t="s">
        <v>818</v>
      </c>
      <c r="Y91" s="45" t="s">
        <v>1027</v>
      </c>
    </row>
    <row r="92" spans="1:25" x14ac:dyDescent="0.15">
      <c r="A92" s="45">
        <v>107442</v>
      </c>
      <c r="B92" s="45" t="s">
        <v>684</v>
      </c>
      <c r="C92" s="45" t="s">
        <v>1368</v>
      </c>
      <c r="D92" s="45" t="s">
        <v>685</v>
      </c>
      <c r="E92" s="45"/>
      <c r="F92" s="45"/>
      <c r="G92" s="45"/>
      <c r="H92" s="45" t="s">
        <v>817</v>
      </c>
      <c r="I92" s="45" t="s">
        <v>1021</v>
      </c>
      <c r="J92" s="45" t="s">
        <v>1251</v>
      </c>
      <c r="K92" s="45" t="s">
        <v>1023</v>
      </c>
      <c r="L92" s="45" t="s">
        <v>823</v>
      </c>
      <c r="M92" s="45" t="s">
        <v>1369</v>
      </c>
      <c r="N92" s="45" t="s">
        <v>661</v>
      </c>
      <c r="O92" s="45" t="s">
        <v>1370</v>
      </c>
      <c r="P92" s="45">
        <v>2</v>
      </c>
      <c r="Q92" s="45">
        <v>0</v>
      </c>
      <c r="R92" s="45">
        <v>0</v>
      </c>
      <c r="S92" s="45">
        <v>0</v>
      </c>
      <c r="T92" s="45">
        <v>0</v>
      </c>
      <c r="U92" s="45">
        <v>4</v>
      </c>
      <c r="V92" s="46">
        <f t="shared" si="1"/>
        <v>100</v>
      </c>
      <c r="W92" s="45" t="s">
        <v>1033</v>
      </c>
      <c r="X92" s="45" t="s">
        <v>818</v>
      </c>
      <c r="Y92" s="45" t="s">
        <v>1027</v>
      </c>
    </row>
    <row r="93" spans="1:25" x14ac:dyDescent="0.15">
      <c r="A93" s="45">
        <v>107444</v>
      </c>
      <c r="B93" s="45" t="s">
        <v>674</v>
      </c>
      <c r="C93" s="45" t="s">
        <v>1371</v>
      </c>
      <c r="D93" s="45" t="s">
        <v>675</v>
      </c>
      <c r="E93" s="45"/>
      <c r="F93" s="45"/>
      <c r="G93" s="45"/>
      <c r="H93" s="45" t="s">
        <v>817</v>
      </c>
      <c r="I93" s="45" t="s">
        <v>1021</v>
      </c>
      <c r="J93" s="45" t="s">
        <v>1251</v>
      </c>
      <c r="K93" s="45" t="s">
        <v>1023</v>
      </c>
      <c r="L93" s="45" t="s">
        <v>824</v>
      </c>
      <c r="M93" s="45" t="s">
        <v>1372</v>
      </c>
      <c r="N93" s="45" t="s">
        <v>673</v>
      </c>
      <c r="O93" s="45" t="s">
        <v>1373</v>
      </c>
      <c r="P93" s="45">
        <v>2</v>
      </c>
      <c r="Q93" s="45">
        <v>0</v>
      </c>
      <c r="R93" s="45">
        <v>0</v>
      </c>
      <c r="S93" s="45">
        <v>0</v>
      </c>
      <c r="T93" s="45">
        <v>0</v>
      </c>
      <c r="U93" s="45">
        <v>1</v>
      </c>
      <c r="V93" s="46">
        <f t="shared" si="1"/>
        <v>25</v>
      </c>
      <c r="W93" s="45" t="s">
        <v>1033</v>
      </c>
      <c r="X93" s="45" t="s">
        <v>818</v>
      </c>
      <c r="Y93" s="45" t="s">
        <v>1027</v>
      </c>
    </row>
    <row r="94" spans="1:25" x14ac:dyDescent="0.15">
      <c r="A94" s="45">
        <v>108414</v>
      </c>
      <c r="B94" s="45" t="s">
        <v>700</v>
      </c>
      <c r="C94" s="45" t="s">
        <v>1374</v>
      </c>
      <c r="D94" s="45" t="s">
        <v>663</v>
      </c>
      <c r="E94" s="45"/>
      <c r="F94" s="45"/>
      <c r="G94" s="45"/>
      <c r="H94" s="45" t="s">
        <v>817</v>
      </c>
      <c r="I94" s="45" t="s">
        <v>1021</v>
      </c>
      <c r="J94" s="45" t="s">
        <v>1114</v>
      </c>
      <c r="K94" s="45" t="s">
        <v>1030</v>
      </c>
      <c r="L94" s="45" t="s">
        <v>825</v>
      </c>
      <c r="M94" s="45" t="s">
        <v>1375</v>
      </c>
      <c r="N94" s="45" t="s">
        <v>661</v>
      </c>
      <c r="O94" s="45" t="s">
        <v>1376</v>
      </c>
      <c r="P94" s="45">
        <v>2</v>
      </c>
      <c r="Q94" s="45">
        <v>0</v>
      </c>
      <c r="R94" s="45">
        <v>0</v>
      </c>
      <c r="S94" s="45">
        <v>0</v>
      </c>
      <c r="T94" s="45">
        <v>0</v>
      </c>
      <c r="U94" s="45">
        <v>4</v>
      </c>
      <c r="V94" s="46">
        <f t="shared" si="1"/>
        <v>100</v>
      </c>
      <c r="W94" s="45" t="s">
        <v>1033</v>
      </c>
      <c r="X94" s="45" t="s">
        <v>818</v>
      </c>
      <c r="Y94" s="45" t="s">
        <v>1027</v>
      </c>
    </row>
    <row r="95" spans="1:25" x14ac:dyDescent="0.15">
      <c r="A95" s="45">
        <v>106752</v>
      </c>
      <c r="B95" s="45" t="s">
        <v>662</v>
      </c>
      <c r="C95" s="45" t="s">
        <v>1377</v>
      </c>
      <c r="D95" s="45" t="s">
        <v>663</v>
      </c>
      <c r="E95" s="45"/>
      <c r="F95" s="45"/>
      <c r="G95" s="45"/>
      <c r="H95" s="45" t="s">
        <v>826</v>
      </c>
      <c r="I95" s="45" t="s">
        <v>1021</v>
      </c>
      <c r="J95" s="45" t="s">
        <v>1099</v>
      </c>
      <c r="K95" s="45" t="s">
        <v>1041</v>
      </c>
      <c r="L95" s="45" t="s">
        <v>828</v>
      </c>
      <c r="M95" s="45" t="s">
        <v>1378</v>
      </c>
      <c r="N95" s="45" t="s">
        <v>661</v>
      </c>
      <c r="O95" s="45" t="s">
        <v>1379</v>
      </c>
      <c r="P95" s="45">
        <v>2</v>
      </c>
      <c r="Q95" s="45">
        <v>0</v>
      </c>
      <c r="R95" s="45">
        <v>0</v>
      </c>
      <c r="S95" s="45">
        <v>0</v>
      </c>
      <c r="T95" s="45">
        <v>0</v>
      </c>
      <c r="U95" s="45">
        <v>2</v>
      </c>
      <c r="V95" s="46">
        <f t="shared" si="1"/>
        <v>50</v>
      </c>
      <c r="W95" s="45" t="s">
        <v>1033</v>
      </c>
      <c r="X95" s="45" t="s">
        <v>827</v>
      </c>
      <c r="Y95" s="45" t="s">
        <v>1027</v>
      </c>
    </row>
    <row r="96" spans="1:25" x14ac:dyDescent="0.15">
      <c r="A96" s="45">
        <v>106928</v>
      </c>
      <c r="B96" s="45" t="s">
        <v>694</v>
      </c>
      <c r="C96" s="45" t="s">
        <v>1380</v>
      </c>
      <c r="D96" s="45" t="s">
        <v>685</v>
      </c>
      <c r="E96" s="45"/>
      <c r="F96" s="45"/>
      <c r="G96" s="45"/>
      <c r="H96" s="45" t="s">
        <v>826</v>
      </c>
      <c r="I96" s="45" t="s">
        <v>1021</v>
      </c>
      <c r="J96" s="45" t="s">
        <v>1099</v>
      </c>
      <c r="K96" s="45" t="s">
        <v>1041</v>
      </c>
      <c r="L96" s="45" t="s">
        <v>829</v>
      </c>
      <c r="M96" s="45" t="s">
        <v>1381</v>
      </c>
      <c r="N96" s="45" t="s">
        <v>661</v>
      </c>
      <c r="O96" s="45" t="s">
        <v>1382</v>
      </c>
      <c r="P96" s="45">
        <v>2</v>
      </c>
      <c r="Q96" s="45">
        <v>0</v>
      </c>
      <c r="R96" s="45">
        <v>0</v>
      </c>
      <c r="S96" s="45">
        <v>0</v>
      </c>
      <c r="T96" s="45">
        <v>0</v>
      </c>
      <c r="U96" s="45">
        <v>0</v>
      </c>
      <c r="V96" s="46">
        <f t="shared" si="1"/>
        <v>0</v>
      </c>
      <c r="W96" s="45" t="s">
        <v>1033</v>
      </c>
      <c r="X96" s="45" t="s">
        <v>827</v>
      </c>
      <c r="Y96" s="45" t="s">
        <v>1027</v>
      </c>
    </row>
    <row r="97" spans="1:25" x14ac:dyDescent="0.15">
      <c r="A97" s="45">
        <v>107849</v>
      </c>
      <c r="B97" s="45" t="s">
        <v>674</v>
      </c>
      <c r="C97" s="45" t="s">
        <v>1383</v>
      </c>
      <c r="D97" s="45" t="s">
        <v>675</v>
      </c>
      <c r="E97" s="45"/>
      <c r="F97" s="45"/>
      <c r="G97" s="45"/>
      <c r="H97" s="45" t="s">
        <v>826</v>
      </c>
      <c r="I97" s="45" t="s">
        <v>1021</v>
      </c>
      <c r="J97" s="45" t="s">
        <v>1110</v>
      </c>
      <c r="K97" s="45" t="s">
        <v>1030</v>
      </c>
      <c r="L97" s="45" t="s">
        <v>830</v>
      </c>
      <c r="M97" s="45" t="s">
        <v>1384</v>
      </c>
      <c r="N97" s="45" t="s">
        <v>673</v>
      </c>
      <c r="O97" s="45" t="s">
        <v>1385</v>
      </c>
      <c r="P97" s="45">
        <v>2</v>
      </c>
      <c r="Q97" s="45">
        <v>0</v>
      </c>
      <c r="R97" s="45">
        <v>0</v>
      </c>
      <c r="S97" s="45">
        <v>0</v>
      </c>
      <c r="T97" s="45">
        <v>0</v>
      </c>
      <c r="U97" s="45">
        <v>0</v>
      </c>
      <c r="V97" s="46">
        <f t="shared" si="1"/>
        <v>0</v>
      </c>
      <c r="W97" s="45" t="s">
        <v>1033</v>
      </c>
      <c r="X97" s="45" t="s">
        <v>827</v>
      </c>
      <c r="Y97" s="45" t="s">
        <v>1027</v>
      </c>
    </row>
    <row r="98" spans="1:25" x14ac:dyDescent="0.15">
      <c r="A98" s="45">
        <v>110003</v>
      </c>
      <c r="B98" s="45" t="s">
        <v>745</v>
      </c>
      <c r="C98" s="45" t="s">
        <v>1386</v>
      </c>
      <c r="D98" s="45" t="s">
        <v>685</v>
      </c>
      <c r="E98" s="45" t="s">
        <v>1387</v>
      </c>
      <c r="F98" s="45" t="s">
        <v>1041</v>
      </c>
      <c r="G98" s="45" t="s">
        <v>1388</v>
      </c>
      <c r="H98" s="45" t="s">
        <v>826</v>
      </c>
      <c r="I98" s="45" t="s">
        <v>1043</v>
      </c>
      <c r="J98" s="45" t="s">
        <v>831</v>
      </c>
      <c r="K98" s="45" t="s">
        <v>1041</v>
      </c>
      <c r="L98" s="45" t="s">
        <v>831</v>
      </c>
      <c r="M98" s="45" t="s">
        <v>1389</v>
      </c>
      <c r="N98" s="45" t="s">
        <v>661</v>
      </c>
      <c r="O98" s="45" t="s">
        <v>1390</v>
      </c>
      <c r="P98" s="45">
        <v>0</v>
      </c>
      <c r="Q98" s="45">
        <v>0</v>
      </c>
      <c r="R98" s="45">
        <v>0</v>
      </c>
      <c r="S98" s="45">
        <v>3</v>
      </c>
      <c r="T98" s="45">
        <v>0</v>
      </c>
      <c r="U98" s="45">
        <v>0</v>
      </c>
      <c r="V98" s="46">
        <f t="shared" si="1"/>
        <v>0</v>
      </c>
      <c r="W98" s="45" t="s">
        <v>1051</v>
      </c>
      <c r="X98" s="45" t="s">
        <v>827</v>
      </c>
      <c r="Y98" s="45" t="s">
        <v>1027</v>
      </c>
    </row>
    <row r="99" spans="1:25" x14ac:dyDescent="0.15">
      <c r="A99" s="45">
        <v>105896</v>
      </c>
      <c r="B99" s="45" t="s">
        <v>694</v>
      </c>
      <c r="C99" s="45" t="s">
        <v>1391</v>
      </c>
      <c r="D99" s="45" t="s">
        <v>685</v>
      </c>
      <c r="E99" s="45"/>
      <c r="F99" s="45"/>
      <c r="G99" s="45"/>
      <c r="H99" s="45" t="s">
        <v>832</v>
      </c>
      <c r="I99" s="45" t="s">
        <v>1021</v>
      </c>
      <c r="J99" s="45" t="s">
        <v>1089</v>
      </c>
      <c r="K99" s="45" t="s">
        <v>1041</v>
      </c>
      <c r="L99" s="45" t="s">
        <v>834</v>
      </c>
      <c r="M99" s="45" t="s">
        <v>1392</v>
      </c>
      <c r="N99" s="45" t="s">
        <v>661</v>
      </c>
      <c r="O99" s="45" t="s">
        <v>1393</v>
      </c>
      <c r="P99" s="45">
        <v>5</v>
      </c>
      <c r="Q99" s="45">
        <v>0</v>
      </c>
      <c r="R99" s="45">
        <v>0</v>
      </c>
      <c r="S99" s="45">
        <v>0</v>
      </c>
      <c r="T99" s="45">
        <v>1</v>
      </c>
      <c r="U99" s="45">
        <v>4</v>
      </c>
      <c r="V99" s="46">
        <f t="shared" si="1"/>
        <v>100</v>
      </c>
      <c r="W99" s="45" t="s">
        <v>1097</v>
      </c>
      <c r="X99" s="45" t="s">
        <v>833</v>
      </c>
      <c r="Y99" s="45" t="s">
        <v>1027</v>
      </c>
    </row>
    <row r="100" spans="1:25" x14ac:dyDescent="0.15">
      <c r="A100" s="45">
        <v>106588</v>
      </c>
      <c r="B100" s="45" t="s">
        <v>719</v>
      </c>
      <c r="C100" s="45" t="s">
        <v>1394</v>
      </c>
      <c r="D100" s="45" t="s">
        <v>663</v>
      </c>
      <c r="E100" s="45"/>
      <c r="F100" s="45"/>
      <c r="G100" s="45"/>
      <c r="H100" s="45" t="s">
        <v>832</v>
      </c>
      <c r="I100" s="45" t="s">
        <v>1021</v>
      </c>
      <c r="J100" s="45" t="s">
        <v>1095</v>
      </c>
      <c r="K100" s="45" t="s">
        <v>1041</v>
      </c>
      <c r="L100" s="45" t="s">
        <v>835</v>
      </c>
      <c r="M100" s="45" t="s">
        <v>1395</v>
      </c>
      <c r="N100" s="45" t="s">
        <v>661</v>
      </c>
      <c r="O100" s="45" t="s">
        <v>1396</v>
      </c>
      <c r="P100" s="45">
        <v>5</v>
      </c>
      <c r="Q100" s="45">
        <v>0</v>
      </c>
      <c r="R100" s="45">
        <v>0</v>
      </c>
      <c r="S100" s="45">
        <v>0</v>
      </c>
      <c r="T100" s="45">
        <v>1</v>
      </c>
      <c r="U100" s="45">
        <v>3</v>
      </c>
      <c r="V100" s="46">
        <f t="shared" si="1"/>
        <v>75</v>
      </c>
      <c r="W100" s="45" t="s">
        <v>1097</v>
      </c>
      <c r="X100" s="45" t="s">
        <v>833</v>
      </c>
      <c r="Y100" s="45" t="s">
        <v>1027</v>
      </c>
    </row>
    <row r="101" spans="1:25" x14ac:dyDescent="0.15">
      <c r="A101" s="45">
        <v>107343</v>
      </c>
      <c r="B101" s="45" t="s">
        <v>671</v>
      </c>
      <c r="C101" s="45" t="s">
        <v>1397</v>
      </c>
      <c r="D101" s="45" t="s">
        <v>663</v>
      </c>
      <c r="E101" s="45"/>
      <c r="F101" s="45"/>
      <c r="G101" s="45"/>
      <c r="H101" s="45" t="s">
        <v>832</v>
      </c>
      <c r="I101" s="45" t="s">
        <v>1021</v>
      </c>
      <c r="J101" s="45" t="s">
        <v>1398</v>
      </c>
      <c r="K101" s="45" t="s">
        <v>1035</v>
      </c>
      <c r="L101" s="45" t="s">
        <v>836</v>
      </c>
      <c r="M101" s="45" t="s">
        <v>1399</v>
      </c>
      <c r="N101" s="45" t="s">
        <v>661</v>
      </c>
      <c r="O101" s="45" t="s">
        <v>1400</v>
      </c>
      <c r="P101" s="45">
        <v>6</v>
      </c>
      <c r="Q101" s="45">
        <v>2</v>
      </c>
      <c r="R101" s="45">
        <v>0</v>
      </c>
      <c r="S101" s="45">
        <v>0</v>
      </c>
      <c r="T101" s="45">
        <v>2</v>
      </c>
      <c r="U101" s="45">
        <v>5</v>
      </c>
      <c r="V101" s="46">
        <f t="shared" si="1"/>
        <v>125</v>
      </c>
      <c r="W101" s="45" t="s">
        <v>1091</v>
      </c>
      <c r="X101" s="45" t="s">
        <v>833</v>
      </c>
      <c r="Y101" s="45" t="s">
        <v>1027</v>
      </c>
    </row>
    <row r="102" spans="1:25" x14ac:dyDescent="0.15">
      <c r="A102" s="45">
        <v>107699</v>
      </c>
      <c r="B102" s="45" t="s">
        <v>671</v>
      </c>
      <c r="C102" s="45" t="s">
        <v>1401</v>
      </c>
      <c r="D102" s="45" t="s">
        <v>663</v>
      </c>
      <c r="E102" s="45"/>
      <c r="F102" s="45"/>
      <c r="G102" s="45"/>
      <c r="H102" s="45" t="s">
        <v>832</v>
      </c>
      <c r="I102" s="45" t="s">
        <v>1021</v>
      </c>
      <c r="J102" s="45" t="s">
        <v>1067</v>
      </c>
      <c r="K102" s="45" t="s">
        <v>1035</v>
      </c>
      <c r="L102" s="45" t="s">
        <v>837</v>
      </c>
      <c r="M102" s="45" t="s">
        <v>1402</v>
      </c>
      <c r="N102" s="45" t="s">
        <v>661</v>
      </c>
      <c r="O102" s="45" t="s">
        <v>1403</v>
      </c>
      <c r="P102" s="45">
        <v>5</v>
      </c>
      <c r="Q102" s="45">
        <v>1</v>
      </c>
      <c r="R102" s="45">
        <v>0</v>
      </c>
      <c r="S102" s="45">
        <v>0</v>
      </c>
      <c r="T102" s="45">
        <v>1</v>
      </c>
      <c r="U102" s="45">
        <v>3</v>
      </c>
      <c r="V102" s="46">
        <f t="shared" si="1"/>
        <v>75</v>
      </c>
      <c r="W102" s="45" t="s">
        <v>1091</v>
      </c>
      <c r="X102" s="45" t="s">
        <v>833</v>
      </c>
      <c r="Y102" s="45" t="s">
        <v>1027</v>
      </c>
    </row>
    <row r="103" spans="1:25" x14ac:dyDescent="0.15">
      <c r="A103" s="45">
        <v>107804</v>
      </c>
      <c r="B103" s="45" t="s">
        <v>662</v>
      </c>
      <c r="C103" s="45" t="s">
        <v>1404</v>
      </c>
      <c r="D103" s="45" t="s">
        <v>663</v>
      </c>
      <c r="E103" s="45"/>
      <c r="F103" s="45"/>
      <c r="G103" s="45"/>
      <c r="H103" s="45" t="s">
        <v>832</v>
      </c>
      <c r="I103" s="45" t="s">
        <v>1021</v>
      </c>
      <c r="J103" s="45" t="s">
        <v>1067</v>
      </c>
      <c r="K103" s="45" t="s">
        <v>1035</v>
      </c>
      <c r="L103" s="45" t="s">
        <v>838</v>
      </c>
      <c r="M103" s="45" t="s">
        <v>1405</v>
      </c>
      <c r="N103" s="45" t="s">
        <v>661</v>
      </c>
      <c r="O103" s="45" t="s">
        <v>1406</v>
      </c>
      <c r="P103" s="45">
        <v>6</v>
      </c>
      <c r="Q103" s="45">
        <v>6</v>
      </c>
      <c r="R103" s="45">
        <v>0</v>
      </c>
      <c r="S103" s="45">
        <v>0</v>
      </c>
      <c r="T103" s="45">
        <v>1</v>
      </c>
      <c r="U103" s="45">
        <v>3</v>
      </c>
      <c r="V103" s="46">
        <f t="shared" si="1"/>
        <v>75</v>
      </c>
      <c r="W103" s="45" t="s">
        <v>1091</v>
      </c>
      <c r="X103" s="45" t="s">
        <v>833</v>
      </c>
      <c r="Y103" s="45" t="s">
        <v>1027</v>
      </c>
    </row>
    <row r="104" spans="1:25" x14ac:dyDescent="0.15">
      <c r="A104" s="45">
        <v>108455</v>
      </c>
      <c r="B104" s="45" t="s">
        <v>719</v>
      </c>
      <c r="C104" s="45" t="s">
        <v>1407</v>
      </c>
      <c r="D104" s="45" t="s">
        <v>663</v>
      </c>
      <c r="E104" s="45"/>
      <c r="F104" s="45"/>
      <c r="G104" s="45"/>
      <c r="H104" s="45" t="s">
        <v>832</v>
      </c>
      <c r="I104" s="45" t="s">
        <v>1021</v>
      </c>
      <c r="J104" s="45" t="s">
        <v>1075</v>
      </c>
      <c r="K104" s="45" t="s">
        <v>1030</v>
      </c>
      <c r="L104" s="45" t="s">
        <v>839</v>
      </c>
      <c r="M104" s="45" t="s">
        <v>1408</v>
      </c>
      <c r="N104" s="45" t="s">
        <v>661</v>
      </c>
      <c r="O104" s="45" t="s">
        <v>1409</v>
      </c>
      <c r="P104" s="45">
        <v>2</v>
      </c>
      <c r="Q104" s="45">
        <v>0</v>
      </c>
      <c r="R104" s="45">
        <v>0</v>
      </c>
      <c r="S104" s="45">
        <v>0</v>
      </c>
      <c r="T104" s="45">
        <v>0</v>
      </c>
      <c r="U104" s="45">
        <v>0</v>
      </c>
      <c r="V104" s="46">
        <f t="shared" si="1"/>
        <v>0</v>
      </c>
      <c r="W104" s="45" t="s">
        <v>1033</v>
      </c>
      <c r="X104" s="45" t="s">
        <v>833</v>
      </c>
      <c r="Y104" s="45" t="s">
        <v>1027</v>
      </c>
    </row>
    <row r="105" spans="1:25" x14ac:dyDescent="0.15">
      <c r="A105" s="45">
        <v>106675</v>
      </c>
      <c r="B105" s="45" t="s">
        <v>841</v>
      </c>
      <c r="C105" s="45" t="s">
        <v>1410</v>
      </c>
      <c r="D105" s="45" t="s">
        <v>663</v>
      </c>
      <c r="E105" s="45"/>
      <c r="F105" s="45"/>
      <c r="G105" s="45"/>
      <c r="H105" s="45" t="s">
        <v>842</v>
      </c>
      <c r="I105" s="45" t="s">
        <v>1021</v>
      </c>
      <c r="J105" s="45" t="s">
        <v>1310</v>
      </c>
      <c r="K105" s="45" t="s">
        <v>1041</v>
      </c>
      <c r="L105" s="45" t="s">
        <v>844</v>
      </c>
      <c r="M105" s="45" t="s">
        <v>1411</v>
      </c>
      <c r="N105" s="45" t="s">
        <v>840</v>
      </c>
      <c r="O105" s="45" t="s">
        <v>1412</v>
      </c>
      <c r="P105" s="45">
        <v>1</v>
      </c>
      <c r="Q105" s="45">
        <v>0</v>
      </c>
      <c r="R105" s="45">
        <v>0</v>
      </c>
      <c r="S105" s="45">
        <v>0</v>
      </c>
      <c r="T105" s="45">
        <v>0</v>
      </c>
      <c r="U105" s="45">
        <v>3</v>
      </c>
      <c r="V105" s="46">
        <f t="shared" si="1"/>
        <v>75</v>
      </c>
      <c r="W105" s="45" t="s">
        <v>1033</v>
      </c>
      <c r="X105" s="45" t="s">
        <v>843</v>
      </c>
      <c r="Y105" s="45" t="s">
        <v>1027</v>
      </c>
    </row>
    <row r="106" spans="1:25" x14ac:dyDescent="0.15">
      <c r="A106" s="45">
        <v>106735</v>
      </c>
      <c r="B106" s="45" t="s">
        <v>700</v>
      </c>
      <c r="C106" s="45" t="s">
        <v>1413</v>
      </c>
      <c r="D106" s="45" t="s">
        <v>663</v>
      </c>
      <c r="E106" s="45" t="s">
        <v>1414</v>
      </c>
      <c r="F106" s="45" t="s">
        <v>1415</v>
      </c>
      <c r="G106" s="45" t="s">
        <v>1416</v>
      </c>
      <c r="H106" s="45" t="s">
        <v>842</v>
      </c>
      <c r="I106" s="45" t="s">
        <v>1021</v>
      </c>
      <c r="J106" s="45" t="s">
        <v>1099</v>
      </c>
      <c r="K106" s="45" t="s">
        <v>1415</v>
      </c>
      <c r="L106" s="45" t="s">
        <v>845</v>
      </c>
      <c r="M106" s="45" t="s">
        <v>1414</v>
      </c>
      <c r="N106" s="45" t="s">
        <v>840</v>
      </c>
      <c r="O106" s="45" t="s">
        <v>1417</v>
      </c>
      <c r="P106" s="45">
        <v>2</v>
      </c>
      <c r="Q106" s="45">
        <v>0</v>
      </c>
      <c r="R106" s="45">
        <v>0</v>
      </c>
      <c r="S106" s="45">
        <v>0</v>
      </c>
      <c r="T106" s="45">
        <v>0</v>
      </c>
      <c r="U106" s="45">
        <v>3</v>
      </c>
      <c r="V106" s="46">
        <f t="shared" si="1"/>
        <v>75</v>
      </c>
      <c r="W106" s="45" t="s">
        <v>1033</v>
      </c>
      <c r="X106" s="45" t="s">
        <v>843</v>
      </c>
      <c r="Y106" s="45" t="s">
        <v>1027</v>
      </c>
    </row>
    <row r="107" spans="1:25" x14ac:dyDescent="0.15">
      <c r="A107" s="45">
        <v>110116</v>
      </c>
      <c r="B107" s="45" t="s">
        <v>662</v>
      </c>
      <c r="C107" s="45" t="s">
        <v>1418</v>
      </c>
      <c r="D107" s="45" t="s">
        <v>663</v>
      </c>
      <c r="E107" s="45"/>
      <c r="F107" s="45"/>
      <c r="G107" s="45"/>
      <c r="H107" s="45" t="s">
        <v>842</v>
      </c>
      <c r="I107" s="45" t="s">
        <v>1043</v>
      </c>
      <c r="J107" s="45" t="s">
        <v>846</v>
      </c>
      <c r="K107" s="45" t="s">
        <v>1035</v>
      </c>
      <c r="L107" s="45" t="s">
        <v>846</v>
      </c>
      <c r="M107" s="45" t="s">
        <v>1419</v>
      </c>
      <c r="N107" s="45" t="s">
        <v>661</v>
      </c>
      <c r="O107" s="45" t="s">
        <v>1420</v>
      </c>
      <c r="P107" s="45">
        <v>2</v>
      </c>
      <c r="Q107" s="45">
        <v>0</v>
      </c>
      <c r="R107" s="45">
        <v>0</v>
      </c>
      <c r="S107" s="45">
        <v>0</v>
      </c>
      <c r="T107" s="45">
        <v>0</v>
      </c>
      <c r="U107" s="45">
        <v>0</v>
      </c>
      <c r="V107" s="46">
        <f t="shared" si="1"/>
        <v>0</v>
      </c>
      <c r="W107" s="45" t="s">
        <v>1305</v>
      </c>
      <c r="X107" s="45" t="s">
        <v>843</v>
      </c>
      <c r="Y107" s="45" t="s">
        <v>1027</v>
      </c>
    </row>
    <row r="108" spans="1:25" x14ac:dyDescent="0.15">
      <c r="A108" s="45">
        <v>105235</v>
      </c>
      <c r="B108" s="45" t="s">
        <v>662</v>
      </c>
      <c r="C108" s="45"/>
      <c r="D108" s="45" t="s">
        <v>663</v>
      </c>
      <c r="E108" s="45"/>
      <c r="F108" s="45"/>
      <c r="G108" s="45"/>
      <c r="H108" s="45" t="s">
        <v>847</v>
      </c>
      <c r="I108" s="45" t="s">
        <v>1021</v>
      </c>
      <c r="J108" s="45" t="s">
        <v>1281</v>
      </c>
      <c r="K108" s="45" t="s">
        <v>1030</v>
      </c>
      <c r="L108" s="45" t="s">
        <v>849</v>
      </c>
      <c r="M108" s="45" t="s">
        <v>1421</v>
      </c>
      <c r="N108" s="45" t="s">
        <v>661</v>
      </c>
      <c r="O108" s="45" t="s">
        <v>1422</v>
      </c>
      <c r="P108" s="45">
        <v>2</v>
      </c>
      <c r="Q108" s="45">
        <v>0</v>
      </c>
      <c r="R108" s="45">
        <v>0</v>
      </c>
      <c r="S108" s="45">
        <v>0</v>
      </c>
      <c r="T108" s="45">
        <v>0</v>
      </c>
      <c r="U108" s="45">
        <v>0</v>
      </c>
      <c r="V108" s="46">
        <f t="shared" si="1"/>
        <v>0</v>
      </c>
      <c r="W108" s="45" t="s">
        <v>1033</v>
      </c>
      <c r="X108" s="45" t="s">
        <v>848</v>
      </c>
      <c r="Y108" s="45" t="s">
        <v>1027</v>
      </c>
    </row>
    <row r="109" spans="1:25" x14ac:dyDescent="0.15">
      <c r="A109" s="45">
        <v>105400</v>
      </c>
      <c r="B109" s="45" t="s">
        <v>662</v>
      </c>
      <c r="C109" s="45"/>
      <c r="D109" s="45" t="s">
        <v>663</v>
      </c>
      <c r="E109" s="45"/>
      <c r="F109" s="45"/>
      <c r="G109" s="45"/>
      <c r="H109" s="45" t="s">
        <v>847</v>
      </c>
      <c r="I109" s="45" t="s">
        <v>1021</v>
      </c>
      <c r="J109" s="45" t="s">
        <v>1281</v>
      </c>
      <c r="K109" s="45" t="s">
        <v>1030</v>
      </c>
      <c r="L109" s="45" t="s">
        <v>850</v>
      </c>
      <c r="M109" s="45" t="s">
        <v>1421</v>
      </c>
      <c r="N109" s="45" t="s">
        <v>661</v>
      </c>
      <c r="O109" s="45" t="s">
        <v>1423</v>
      </c>
      <c r="P109" s="45">
        <v>2</v>
      </c>
      <c r="Q109" s="45">
        <v>0</v>
      </c>
      <c r="R109" s="45">
        <v>0</v>
      </c>
      <c r="S109" s="45">
        <v>0</v>
      </c>
      <c r="T109" s="45">
        <v>0</v>
      </c>
      <c r="U109" s="45">
        <v>0</v>
      </c>
      <c r="V109" s="46">
        <f t="shared" si="1"/>
        <v>0</v>
      </c>
      <c r="W109" s="45" t="s">
        <v>1033</v>
      </c>
      <c r="X109" s="45" t="s">
        <v>848</v>
      </c>
      <c r="Y109" s="45" t="s">
        <v>1027</v>
      </c>
    </row>
    <row r="110" spans="1:25" x14ac:dyDescent="0.15">
      <c r="A110" s="45">
        <v>105399</v>
      </c>
      <c r="B110" s="45" t="s">
        <v>806</v>
      </c>
      <c r="C110" s="45"/>
      <c r="D110" s="45" t="s">
        <v>685</v>
      </c>
      <c r="E110" s="45"/>
      <c r="F110" s="45"/>
      <c r="G110" s="45"/>
      <c r="H110" s="45" t="s">
        <v>847</v>
      </c>
      <c r="I110" s="45" t="s">
        <v>1021</v>
      </c>
      <c r="J110" s="45" t="s">
        <v>1057</v>
      </c>
      <c r="K110" s="45" t="s">
        <v>1023</v>
      </c>
      <c r="L110" s="45" t="s">
        <v>851</v>
      </c>
      <c r="M110" s="45" t="s">
        <v>1424</v>
      </c>
      <c r="N110" s="45" t="s">
        <v>661</v>
      </c>
      <c r="O110" s="45" t="s">
        <v>1425</v>
      </c>
      <c r="P110" s="45">
        <v>5</v>
      </c>
      <c r="Q110" s="45">
        <v>0</v>
      </c>
      <c r="R110" s="45">
        <v>0</v>
      </c>
      <c r="S110" s="45">
        <v>0</v>
      </c>
      <c r="T110" s="45">
        <v>0</v>
      </c>
      <c r="U110" s="45">
        <v>8</v>
      </c>
      <c r="V110" s="46">
        <f t="shared" si="1"/>
        <v>200</v>
      </c>
      <c r="W110" s="45" t="s">
        <v>1033</v>
      </c>
      <c r="X110" s="45" t="s">
        <v>848</v>
      </c>
      <c r="Y110" s="45" t="s">
        <v>1027</v>
      </c>
    </row>
    <row r="111" spans="1:25" x14ac:dyDescent="0.15">
      <c r="A111" s="45">
        <v>105898</v>
      </c>
      <c r="B111" s="45" t="s">
        <v>662</v>
      </c>
      <c r="C111" s="45"/>
      <c r="D111" s="45" t="s">
        <v>663</v>
      </c>
      <c r="E111" s="45"/>
      <c r="F111" s="45"/>
      <c r="G111" s="45"/>
      <c r="H111" s="45" t="s">
        <v>847</v>
      </c>
      <c r="I111" s="45" t="s">
        <v>1021</v>
      </c>
      <c r="J111" s="45" t="s">
        <v>1129</v>
      </c>
      <c r="K111" s="45" t="s">
        <v>1041</v>
      </c>
      <c r="L111" s="45" t="s">
        <v>852</v>
      </c>
      <c r="M111" s="45" t="s">
        <v>1426</v>
      </c>
      <c r="N111" s="45" t="s">
        <v>661</v>
      </c>
      <c r="O111" s="45" t="s">
        <v>1427</v>
      </c>
      <c r="P111" s="45">
        <v>6</v>
      </c>
      <c r="Q111" s="45">
        <v>0</v>
      </c>
      <c r="R111" s="45">
        <v>0</v>
      </c>
      <c r="S111" s="45">
        <v>0</v>
      </c>
      <c r="T111" s="45">
        <v>2</v>
      </c>
      <c r="U111" s="45">
        <v>5</v>
      </c>
      <c r="V111" s="46">
        <f t="shared" si="1"/>
        <v>125</v>
      </c>
      <c r="W111" s="45" t="s">
        <v>1097</v>
      </c>
      <c r="X111" s="45" t="s">
        <v>848</v>
      </c>
      <c r="Y111" s="45" t="s">
        <v>1027</v>
      </c>
    </row>
    <row r="112" spans="1:25" x14ac:dyDescent="0.15">
      <c r="A112" s="45">
        <v>106965</v>
      </c>
      <c r="B112" s="45" t="s">
        <v>662</v>
      </c>
      <c r="C112" s="45" t="s">
        <v>1428</v>
      </c>
      <c r="D112" s="45" t="s">
        <v>663</v>
      </c>
      <c r="E112" s="45"/>
      <c r="F112" s="45"/>
      <c r="G112" s="45"/>
      <c r="H112" s="45" t="s">
        <v>847</v>
      </c>
      <c r="I112" s="45" t="s">
        <v>1021</v>
      </c>
      <c r="J112" s="45" t="s">
        <v>1103</v>
      </c>
      <c r="K112" s="45" t="s">
        <v>1023</v>
      </c>
      <c r="L112" s="45" t="s">
        <v>853</v>
      </c>
      <c r="M112" s="45" t="s">
        <v>1429</v>
      </c>
      <c r="N112" s="45" t="s">
        <v>661</v>
      </c>
      <c r="O112" s="45" t="s">
        <v>1430</v>
      </c>
      <c r="P112" s="45">
        <v>3</v>
      </c>
      <c r="Q112" s="45">
        <v>0</v>
      </c>
      <c r="R112" s="45">
        <v>0</v>
      </c>
      <c r="S112" s="45">
        <v>0</v>
      </c>
      <c r="T112" s="45">
        <v>0</v>
      </c>
      <c r="U112" s="45">
        <v>5</v>
      </c>
      <c r="V112" s="46">
        <f t="shared" si="1"/>
        <v>125</v>
      </c>
      <c r="W112" s="45" t="s">
        <v>1033</v>
      </c>
      <c r="X112" s="45" t="s">
        <v>848</v>
      </c>
      <c r="Y112" s="45" t="s">
        <v>1027</v>
      </c>
    </row>
    <row r="113" spans="1:25" x14ac:dyDescent="0.15">
      <c r="A113" s="45">
        <v>107303</v>
      </c>
      <c r="B113" s="45" t="s">
        <v>662</v>
      </c>
      <c r="C113" s="45" t="s">
        <v>1431</v>
      </c>
      <c r="D113" s="45" t="s">
        <v>663</v>
      </c>
      <c r="E113" s="45"/>
      <c r="F113" s="45"/>
      <c r="G113" s="45"/>
      <c r="H113" s="45" t="s">
        <v>847</v>
      </c>
      <c r="I113" s="45" t="s">
        <v>1021</v>
      </c>
      <c r="J113" s="45" t="s">
        <v>1251</v>
      </c>
      <c r="K113" s="45" t="s">
        <v>1023</v>
      </c>
      <c r="L113" s="45" t="s">
        <v>854</v>
      </c>
      <c r="M113" s="45" t="s">
        <v>1432</v>
      </c>
      <c r="N113" s="45" t="s">
        <v>661</v>
      </c>
      <c r="O113" s="45" t="s">
        <v>1433</v>
      </c>
      <c r="P113" s="45">
        <v>2</v>
      </c>
      <c r="Q113" s="45">
        <v>0</v>
      </c>
      <c r="R113" s="45">
        <v>0</v>
      </c>
      <c r="S113" s="45">
        <v>0</v>
      </c>
      <c r="T113" s="45">
        <v>0</v>
      </c>
      <c r="U113" s="45">
        <v>5</v>
      </c>
      <c r="V113" s="46">
        <f t="shared" si="1"/>
        <v>125</v>
      </c>
      <c r="W113" s="45" t="s">
        <v>1033</v>
      </c>
      <c r="X113" s="45" t="s">
        <v>848</v>
      </c>
      <c r="Y113" s="45" t="s">
        <v>1027</v>
      </c>
    </row>
    <row r="114" spans="1:25" x14ac:dyDescent="0.15">
      <c r="A114" s="45">
        <v>107428</v>
      </c>
      <c r="B114" s="45" t="s">
        <v>674</v>
      </c>
      <c r="C114" s="45" t="s">
        <v>1434</v>
      </c>
      <c r="D114" s="45" t="s">
        <v>675</v>
      </c>
      <c r="E114" s="45"/>
      <c r="F114" s="45"/>
      <c r="G114" s="45"/>
      <c r="H114" s="45" t="s">
        <v>847</v>
      </c>
      <c r="I114" s="45" t="s">
        <v>1021</v>
      </c>
      <c r="J114" s="45" t="s">
        <v>1110</v>
      </c>
      <c r="K114" s="45" t="s">
        <v>1030</v>
      </c>
      <c r="L114" s="45" t="s">
        <v>855</v>
      </c>
      <c r="M114" s="45" t="s">
        <v>1435</v>
      </c>
      <c r="N114" s="45" t="s">
        <v>673</v>
      </c>
      <c r="O114" s="45" t="s">
        <v>1436</v>
      </c>
      <c r="P114" s="45">
        <v>2</v>
      </c>
      <c r="Q114" s="45">
        <v>0</v>
      </c>
      <c r="R114" s="45">
        <v>0</v>
      </c>
      <c r="S114" s="45">
        <v>0</v>
      </c>
      <c r="T114" s="45">
        <v>0</v>
      </c>
      <c r="U114" s="45">
        <v>0</v>
      </c>
      <c r="V114" s="46">
        <f t="shared" si="1"/>
        <v>0</v>
      </c>
      <c r="W114" s="45" t="s">
        <v>1305</v>
      </c>
      <c r="X114" s="45" t="s">
        <v>848</v>
      </c>
      <c r="Y114" s="45" t="s">
        <v>1027</v>
      </c>
    </row>
    <row r="115" spans="1:25" x14ac:dyDescent="0.15">
      <c r="A115" s="45">
        <v>106171</v>
      </c>
      <c r="B115" s="45" t="s">
        <v>700</v>
      </c>
      <c r="C115" s="45" t="s">
        <v>1437</v>
      </c>
      <c r="D115" s="45" t="s">
        <v>663</v>
      </c>
      <c r="E115" s="45"/>
      <c r="F115" s="45"/>
      <c r="G115" s="45"/>
      <c r="H115" s="45" t="s">
        <v>856</v>
      </c>
      <c r="I115" s="45" t="s">
        <v>1021</v>
      </c>
      <c r="J115" s="45" t="s">
        <v>1206</v>
      </c>
      <c r="K115" s="45" t="s">
        <v>1023</v>
      </c>
      <c r="L115" s="45" t="s">
        <v>858</v>
      </c>
      <c r="M115" s="45" t="s">
        <v>1438</v>
      </c>
      <c r="N115" s="45" t="s">
        <v>661</v>
      </c>
      <c r="O115" s="45" t="s">
        <v>1439</v>
      </c>
      <c r="P115" s="45">
        <v>1</v>
      </c>
      <c r="Q115" s="45">
        <v>0</v>
      </c>
      <c r="R115" s="45">
        <v>0</v>
      </c>
      <c r="S115" s="45">
        <v>0</v>
      </c>
      <c r="T115" s="45">
        <v>0</v>
      </c>
      <c r="U115" s="45">
        <v>3</v>
      </c>
      <c r="V115" s="46">
        <f t="shared" si="1"/>
        <v>75</v>
      </c>
      <c r="W115" s="45" t="s">
        <v>1033</v>
      </c>
      <c r="X115" s="45" t="s">
        <v>857</v>
      </c>
      <c r="Y115" s="45" t="s">
        <v>1027</v>
      </c>
    </row>
    <row r="116" spans="1:25" x14ac:dyDescent="0.15">
      <c r="A116" s="45">
        <v>106241</v>
      </c>
      <c r="B116" s="45" t="s">
        <v>794</v>
      </c>
      <c r="C116" s="45" t="s">
        <v>1440</v>
      </c>
      <c r="D116" s="45" t="s">
        <v>685</v>
      </c>
      <c r="E116" s="45"/>
      <c r="F116" s="45"/>
      <c r="G116" s="45"/>
      <c r="H116" s="45" t="s">
        <v>856</v>
      </c>
      <c r="I116" s="45" t="s">
        <v>1021</v>
      </c>
      <c r="J116" s="45" t="s">
        <v>1206</v>
      </c>
      <c r="K116" s="45" t="s">
        <v>1023</v>
      </c>
      <c r="L116" s="45" t="s">
        <v>859</v>
      </c>
      <c r="M116" s="45" t="s">
        <v>1441</v>
      </c>
      <c r="N116" s="45" t="s">
        <v>661</v>
      </c>
      <c r="O116" s="45" t="s">
        <v>1442</v>
      </c>
      <c r="P116" s="45">
        <v>5</v>
      </c>
      <c r="Q116" s="45">
        <v>0</v>
      </c>
      <c r="R116" s="45">
        <v>0</v>
      </c>
      <c r="S116" s="45">
        <v>0</v>
      </c>
      <c r="T116" s="45">
        <v>0</v>
      </c>
      <c r="U116" s="45">
        <v>2</v>
      </c>
      <c r="V116" s="46">
        <f t="shared" si="1"/>
        <v>50</v>
      </c>
      <c r="W116" s="45" t="s">
        <v>1033</v>
      </c>
      <c r="X116" s="45" t="s">
        <v>857</v>
      </c>
      <c r="Y116" s="45" t="s">
        <v>1027</v>
      </c>
    </row>
    <row r="117" spans="1:25" x14ac:dyDescent="0.15">
      <c r="A117" s="45">
        <v>109527</v>
      </c>
      <c r="B117" s="45" t="s">
        <v>700</v>
      </c>
      <c r="C117" s="45" t="s">
        <v>1443</v>
      </c>
      <c r="D117" s="45" t="s">
        <v>663</v>
      </c>
      <c r="E117" s="45"/>
      <c r="F117" s="45"/>
      <c r="G117" s="45"/>
      <c r="H117" s="45" t="s">
        <v>856</v>
      </c>
      <c r="I117" s="45" t="s">
        <v>1021</v>
      </c>
      <c r="J117" s="45" t="s">
        <v>1152</v>
      </c>
      <c r="K117" s="45" t="s">
        <v>1023</v>
      </c>
      <c r="L117" s="45" t="s">
        <v>860</v>
      </c>
      <c r="M117" s="45" t="s">
        <v>1444</v>
      </c>
      <c r="N117" s="45" t="s">
        <v>661</v>
      </c>
      <c r="O117" s="45" t="s">
        <v>1445</v>
      </c>
      <c r="P117" s="45">
        <v>1</v>
      </c>
      <c r="Q117" s="45">
        <v>0</v>
      </c>
      <c r="R117" s="45">
        <v>0</v>
      </c>
      <c r="S117" s="45">
        <v>1</v>
      </c>
      <c r="T117" s="45">
        <v>0</v>
      </c>
      <c r="U117" s="45">
        <v>3</v>
      </c>
      <c r="V117" s="46">
        <f t="shared" si="1"/>
        <v>75</v>
      </c>
      <c r="W117" s="45" t="s">
        <v>1151</v>
      </c>
      <c r="X117" s="45" t="s">
        <v>857</v>
      </c>
      <c r="Y117" s="45" t="s">
        <v>1027</v>
      </c>
    </row>
    <row r="118" spans="1:25" x14ac:dyDescent="0.15">
      <c r="A118" s="45">
        <v>109994</v>
      </c>
      <c r="B118" s="45" t="s">
        <v>700</v>
      </c>
      <c r="C118" s="45" t="s">
        <v>1446</v>
      </c>
      <c r="D118" s="45" t="s">
        <v>663</v>
      </c>
      <c r="E118" s="45"/>
      <c r="F118" s="45"/>
      <c r="G118" s="45"/>
      <c r="H118" s="45" t="s">
        <v>856</v>
      </c>
      <c r="I118" s="45" t="s">
        <v>1043</v>
      </c>
      <c r="J118" s="45" t="s">
        <v>861</v>
      </c>
      <c r="K118" s="45" t="s">
        <v>1035</v>
      </c>
      <c r="L118" s="45" t="s">
        <v>861</v>
      </c>
      <c r="M118" s="45" t="s">
        <v>1447</v>
      </c>
      <c r="N118" s="45" t="s">
        <v>661</v>
      </c>
      <c r="O118" s="45" t="s">
        <v>1448</v>
      </c>
      <c r="P118" s="45">
        <v>5</v>
      </c>
      <c r="Q118" s="45">
        <v>1</v>
      </c>
      <c r="R118" s="45">
        <v>0</v>
      </c>
      <c r="S118" s="45">
        <v>1</v>
      </c>
      <c r="T118" s="45">
        <v>1</v>
      </c>
      <c r="U118" s="45">
        <v>3</v>
      </c>
      <c r="V118" s="46">
        <f t="shared" si="1"/>
        <v>75</v>
      </c>
      <c r="W118" s="45" t="s">
        <v>1038</v>
      </c>
      <c r="X118" s="45" t="s">
        <v>857</v>
      </c>
      <c r="Y118" s="45" t="s">
        <v>1027</v>
      </c>
    </row>
    <row r="119" spans="1:25" x14ac:dyDescent="0.15">
      <c r="A119" s="45">
        <v>110076</v>
      </c>
      <c r="B119" s="45" t="s">
        <v>669</v>
      </c>
      <c r="C119" s="45" t="s">
        <v>1449</v>
      </c>
      <c r="D119" s="45" t="s">
        <v>663</v>
      </c>
      <c r="E119" s="45"/>
      <c r="F119" s="45"/>
      <c r="G119" s="45"/>
      <c r="H119" s="45" t="s">
        <v>856</v>
      </c>
      <c r="I119" s="45" t="s">
        <v>1043</v>
      </c>
      <c r="J119" s="45" t="s">
        <v>862</v>
      </c>
      <c r="K119" s="45" t="s">
        <v>1035</v>
      </c>
      <c r="L119" s="45" t="s">
        <v>862</v>
      </c>
      <c r="M119" s="45" t="s">
        <v>1450</v>
      </c>
      <c r="N119" s="45" t="s">
        <v>661</v>
      </c>
      <c r="O119" s="45" t="s">
        <v>1451</v>
      </c>
      <c r="P119" s="45">
        <v>2</v>
      </c>
      <c r="Q119" s="45">
        <v>0</v>
      </c>
      <c r="R119" s="45">
        <v>0</v>
      </c>
      <c r="S119" s="45">
        <v>0</v>
      </c>
      <c r="T119" s="45">
        <v>0</v>
      </c>
      <c r="U119" s="45">
        <v>0</v>
      </c>
      <c r="V119" s="46">
        <f t="shared" si="1"/>
        <v>0</v>
      </c>
      <c r="W119" s="45" t="s">
        <v>1305</v>
      </c>
      <c r="X119" s="45" t="s">
        <v>857</v>
      </c>
      <c r="Y119" s="45" t="s">
        <v>1027</v>
      </c>
    </row>
    <row r="120" spans="1:25" x14ac:dyDescent="0.15">
      <c r="A120" s="45">
        <v>106678</v>
      </c>
      <c r="B120" s="45" t="s">
        <v>698</v>
      </c>
      <c r="C120" s="45" t="s">
        <v>1452</v>
      </c>
      <c r="D120" s="45" t="s">
        <v>675</v>
      </c>
      <c r="E120" s="45"/>
      <c r="F120" s="45"/>
      <c r="G120" s="45"/>
      <c r="H120" s="45" t="s">
        <v>863</v>
      </c>
      <c r="I120" s="45" t="s">
        <v>1021</v>
      </c>
      <c r="J120" s="45" t="s">
        <v>1310</v>
      </c>
      <c r="K120" s="45" t="s">
        <v>1030</v>
      </c>
      <c r="L120" s="45" t="s">
        <v>865</v>
      </c>
      <c r="M120" s="45" t="s">
        <v>1453</v>
      </c>
      <c r="N120" s="45" t="s">
        <v>661</v>
      </c>
      <c r="O120" s="45" t="s">
        <v>1454</v>
      </c>
      <c r="P120" s="45">
        <v>2</v>
      </c>
      <c r="Q120" s="45">
        <v>0</v>
      </c>
      <c r="R120" s="45">
        <v>0</v>
      </c>
      <c r="S120" s="45">
        <v>0</v>
      </c>
      <c r="T120" s="45">
        <v>0</v>
      </c>
      <c r="U120" s="45">
        <v>3</v>
      </c>
      <c r="V120" s="46">
        <f t="shared" si="1"/>
        <v>75</v>
      </c>
      <c r="W120" s="45" t="s">
        <v>1033</v>
      </c>
      <c r="X120" s="45" t="s">
        <v>864</v>
      </c>
      <c r="Y120" s="45" t="s">
        <v>1027</v>
      </c>
    </row>
    <row r="121" spans="1:25" x14ac:dyDescent="0.15">
      <c r="A121" s="45">
        <v>106866</v>
      </c>
      <c r="B121" s="45" t="s">
        <v>700</v>
      </c>
      <c r="C121" s="45" t="s">
        <v>1455</v>
      </c>
      <c r="D121" s="45" t="s">
        <v>663</v>
      </c>
      <c r="E121" s="45"/>
      <c r="F121" s="45"/>
      <c r="G121" s="45"/>
      <c r="H121" s="45" t="s">
        <v>863</v>
      </c>
      <c r="I121" s="45" t="s">
        <v>1021</v>
      </c>
      <c r="J121" s="45" t="s">
        <v>1099</v>
      </c>
      <c r="K121" s="45" t="s">
        <v>1041</v>
      </c>
      <c r="L121" s="45" t="s">
        <v>866</v>
      </c>
      <c r="M121" s="45" t="s">
        <v>1303</v>
      </c>
      <c r="N121" s="45" t="s">
        <v>661</v>
      </c>
      <c r="O121" s="45" t="s">
        <v>1456</v>
      </c>
      <c r="P121" s="45">
        <v>2</v>
      </c>
      <c r="Q121" s="45">
        <v>0</v>
      </c>
      <c r="R121" s="45">
        <v>0</v>
      </c>
      <c r="S121" s="45">
        <v>0</v>
      </c>
      <c r="T121" s="45">
        <v>0</v>
      </c>
      <c r="U121" s="45">
        <v>0</v>
      </c>
      <c r="V121" s="46">
        <f t="shared" si="1"/>
        <v>0</v>
      </c>
      <c r="W121" s="45" t="s">
        <v>1305</v>
      </c>
      <c r="X121" s="45" t="s">
        <v>864</v>
      </c>
      <c r="Y121" s="45" t="s">
        <v>1027</v>
      </c>
    </row>
    <row r="122" spans="1:25" x14ac:dyDescent="0.15">
      <c r="A122" s="45">
        <v>106865</v>
      </c>
      <c r="B122" s="45" t="s">
        <v>867</v>
      </c>
      <c r="C122" s="45" t="s">
        <v>1457</v>
      </c>
      <c r="D122" s="45" t="s">
        <v>675</v>
      </c>
      <c r="E122" s="45"/>
      <c r="F122" s="45"/>
      <c r="G122" s="45"/>
      <c r="H122" s="45" t="s">
        <v>863</v>
      </c>
      <c r="I122" s="45" t="s">
        <v>1021</v>
      </c>
      <c r="J122" s="45" t="s">
        <v>1103</v>
      </c>
      <c r="K122" s="45" t="s">
        <v>1030</v>
      </c>
      <c r="L122" s="45" t="s">
        <v>868</v>
      </c>
      <c r="M122" s="45" t="s">
        <v>1458</v>
      </c>
      <c r="N122" s="45" t="s">
        <v>661</v>
      </c>
      <c r="O122" s="45" t="s">
        <v>1459</v>
      </c>
      <c r="P122" s="45">
        <v>2</v>
      </c>
      <c r="Q122" s="45">
        <v>0</v>
      </c>
      <c r="R122" s="45">
        <v>0</v>
      </c>
      <c r="S122" s="45">
        <v>0</v>
      </c>
      <c r="T122" s="45">
        <v>0</v>
      </c>
      <c r="U122" s="45">
        <v>3</v>
      </c>
      <c r="V122" s="46">
        <f t="shared" si="1"/>
        <v>75</v>
      </c>
      <c r="W122" s="45" t="s">
        <v>1033</v>
      </c>
      <c r="X122" s="45" t="s">
        <v>864</v>
      </c>
      <c r="Y122" s="45" t="s">
        <v>1027</v>
      </c>
    </row>
    <row r="123" spans="1:25" x14ac:dyDescent="0.15">
      <c r="A123" s="45">
        <v>105236</v>
      </c>
      <c r="B123" s="45" t="s">
        <v>698</v>
      </c>
      <c r="C123" s="45" t="s">
        <v>1460</v>
      </c>
      <c r="D123" s="45" t="s">
        <v>675</v>
      </c>
      <c r="E123" s="45"/>
      <c r="F123" s="45"/>
      <c r="G123" s="45"/>
      <c r="H123" s="45" t="s">
        <v>869</v>
      </c>
      <c r="I123" s="45" t="s">
        <v>1021</v>
      </c>
      <c r="J123" s="45" t="s">
        <v>1089</v>
      </c>
      <c r="K123" s="45" t="s">
        <v>1030</v>
      </c>
      <c r="L123" s="45" t="s">
        <v>871</v>
      </c>
      <c r="M123" s="45" t="s">
        <v>1461</v>
      </c>
      <c r="N123" s="45" t="s">
        <v>661</v>
      </c>
      <c r="O123" s="45" t="s">
        <v>1462</v>
      </c>
      <c r="P123" s="45">
        <v>2</v>
      </c>
      <c r="Q123" s="45">
        <v>0</v>
      </c>
      <c r="R123" s="45">
        <v>0</v>
      </c>
      <c r="S123" s="45">
        <v>0</v>
      </c>
      <c r="T123" s="45">
        <v>0</v>
      </c>
      <c r="U123" s="45">
        <v>3</v>
      </c>
      <c r="V123" s="46">
        <f t="shared" si="1"/>
        <v>75</v>
      </c>
      <c r="W123" s="45" t="s">
        <v>1033</v>
      </c>
      <c r="X123" s="45" t="s">
        <v>870</v>
      </c>
      <c r="Y123" s="45" t="s">
        <v>1027</v>
      </c>
    </row>
    <row r="124" spans="1:25" x14ac:dyDescent="0.15">
      <c r="A124" s="45">
        <v>106597</v>
      </c>
      <c r="B124" s="45" t="s">
        <v>768</v>
      </c>
      <c r="C124" s="45" t="s">
        <v>1463</v>
      </c>
      <c r="D124" s="45" t="s">
        <v>675</v>
      </c>
      <c r="E124" s="45"/>
      <c r="F124" s="45"/>
      <c r="G124" s="45"/>
      <c r="H124" s="45" t="s">
        <v>869</v>
      </c>
      <c r="I124" s="45" t="s">
        <v>1021</v>
      </c>
      <c r="J124" s="45" t="s">
        <v>1022</v>
      </c>
      <c r="K124" s="45" t="s">
        <v>1415</v>
      </c>
      <c r="L124" s="45" t="s">
        <v>872</v>
      </c>
      <c r="M124" s="45" t="s">
        <v>1464</v>
      </c>
      <c r="N124" s="45" t="s">
        <v>661</v>
      </c>
      <c r="O124" s="45" t="s">
        <v>1465</v>
      </c>
      <c r="P124" s="45">
        <v>2</v>
      </c>
      <c r="Q124" s="45">
        <v>0</v>
      </c>
      <c r="R124" s="45">
        <v>0</v>
      </c>
      <c r="S124" s="45">
        <v>0</v>
      </c>
      <c r="T124" s="45">
        <v>0</v>
      </c>
      <c r="U124" s="45">
        <v>5</v>
      </c>
      <c r="V124" s="46">
        <f t="shared" si="1"/>
        <v>125</v>
      </c>
      <c r="W124" s="45" t="s">
        <v>1033</v>
      </c>
      <c r="X124" s="45" t="s">
        <v>870</v>
      </c>
      <c r="Y124" s="45" t="s">
        <v>1027</v>
      </c>
    </row>
    <row r="125" spans="1:25" x14ac:dyDescent="0.15">
      <c r="A125" s="45">
        <v>107341</v>
      </c>
      <c r="B125" s="45" t="s">
        <v>698</v>
      </c>
      <c r="C125" s="45" t="s">
        <v>1466</v>
      </c>
      <c r="D125" s="45" t="s">
        <v>675</v>
      </c>
      <c r="E125" s="45"/>
      <c r="F125" s="45"/>
      <c r="G125" s="45"/>
      <c r="H125" s="45" t="s">
        <v>869</v>
      </c>
      <c r="I125" s="45" t="s">
        <v>1021</v>
      </c>
      <c r="J125" s="45" t="s">
        <v>1398</v>
      </c>
      <c r="K125" s="45" t="s">
        <v>1415</v>
      </c>
      <c r="L125" s="45" t="s">
        <v>873</v>
      </c>
      <c r="M125" s="45" t="s">
        <v>1467</v>
      </c>
      <c r="N125" s="45" t="s">
        <v>661</v>
      </c>
      <c r="O125" s="45" t="s">
        <v>1468</v>
      </c>
      <c r="P125" s="45">
        <v>2</v>
      </c>
      <c r="Q125" s="45">
        <v>0</v>
      </c>
      <c r="R125" s="45">
        <v>0</v>
      </c>
      <c r="S125" s="45">
        <v>0</v>
      </c>
      <c r="T125" s="45">
        <v>0</v>
      </c>
      <c r="U125" s="45">
        <v>0</v>
      </c>
      <c r="V125" s="46">
        <f t="shared" si="1"/>
        <v>0</v>
      </c>
      <c r="W125" s="45" t="s">
        <v>1033</v>
      </c>
      <c r="X125" s="45" t="s">
        <v>870</v>
      </c>
      <c r="Y125" s="45" t="s">
        <v>1027</v>
      </c>
    </row>
    <row r="126" spans="1:25" x14ac:dyDescent="0.15">
      <c r="A126" s="45">
        <v>108330</v>
      </c>
      <c r="B126" s="45" t="s">
        <v>698</v>
      </c>
      <c r="C126" s="45" t="s">
        <v>1469</v>
      </c>
      <c r="D126" s="45" t="s">
        <v>675</v>
      </c>
      <c r="E126" s="45"/>
      <c r="F126" s="45"/>
      <c r="G126" s="45"/>
      <c r="H126" s="45" t="s">
        <v>869</v>
      </c>
      <c r="I126" s="45" t="s">
        <v>1021</v>
      </c>
      <c r="J126" s="45" t="s">
        <v>1075</v>
      </c>
      <c r="K126" s="45" t="s">
        <v>1030</v>
      </c>
      <c r="L126" s="45" t="s">
        <v>874</v>
      </c>
      <c r="M126" s="45" t="s">
        <v>1470</v>
      </c>
      <c r="N126" s="45" t="s">
        <v>661</v>
      </c>
      <c r="O126" s="45" t="s">
        <v>1471</v>
      </c>
      <c r="P126" s="45">
        <v>2</v>
      </c>
      <c r="Q126" s="45">
        <v>0</v>
      </c>
      <c r="R126" s="45">
        <v>0</v>
      </c>
      <c r="S126" s="45">
        <v>0</v>
      </c>
      <c r="T126" s="45">
        <v>0</v>
      </c>
      <c r="U126" s="45">
        <v>0</v>
      </c>
      <c r="V126" s="46">
        <f t="shared" si="1"/>
        <v>0</v>
      </c>
      <c r="W126" s="45" t="s">
        <v>1033</v>
      </c>
      <c r="X126" s="45" t="s">
        <v>870</v>
      </c>
      <c r="Y126" s="45" t="s">
        <v>1027</v>
      </c>
    </row>
    <row r="127" spans="1:25" x14ac:dyDescent="0.15">
      <c r="A127" s="45">
        <v>108111</v>
      </c>
      <c r="B127" s="45" t="s">
        <v>768</v>
      </c>
      <c r="C127" s="45" t="s">
        <v>1472</v>
      </c>
      <c r="D127" s="45" t="s">
        <v>675</v>
      </c>
      <c r="E127" s="45"/>
      <c r="F127" s="45"/>
      <c r="G127" s="45"/>
      <c r="H127" s="45" t="s">
        <v>869</v>
      </c>
      <c r="I127" s="45" t="s">
        <v>1021</v>
      </c>
      <c r="J127" s="45" t="s">
        <v>1048</v>
      </c>
      <c r="K127" s="45" t="s">
        <v>1030</v>
      </c>
      <c r="L127" s="45" t="s">
        <v>875</v>
      </c>
      <c r="M127" s="45" t="s">
        <v>1473</v>
      </c>
      <c r="N127" s="45" t="s">
        <v>661</v>
      </c>
      <c r="O127" s="45" t="s">
        <v>1474</v>
      </c>
      <c r="P127" s="45">
        <v>2</v>
      </c>
      <c r="Q127" s="45">
        <v>0</v>
      </c>
      <c r="R127" s="45">
        <v>0</v>
      </c>
      <c r="S127" s="45">
        <v>0</v>
      </c>
      <c r="T127" s="45">
        <v>0</v>
      </c>
      <c r="U127" s="45">
        <v>0</v>
      </c>
      <c r="V127" s="46">
        <f t="shared" si="1"/>
        <v>0</v>
      </c>
      <c r="W127" s="45" t="s">
        <v>1033</v>
      </c>
      <c r="X127" s="45" t="s">
        <v>870</v>
      </c>
      <c r="Y127" s="45" t="s">
        <v>1027</v>
      </c>
    </row>
    <row r="128" spans="1:25" x14ac:dyDescent="0.15">
      <c r="A128" s="45">
        <v>109022</v>
      </c>
      <c r="B128" s="45" t="s">
        <v>698</v>
      </c>
      <c r="C128" s="45" t="s">
        <v>1475</v>
      </c>
      <c r="D128" s="45" t="s">
        <v>675</v>
      </c>
      <c r="E128" s="45"/>
      <c r="F128" s="45"/>
      <c r="G128" s="45"/>
      <c r="H128" s="45" t="s">
        <v>869</v>
      </c>
      <c r="I128" s="45" t="s">
        <v>1021</v>
      </c>
      <c r="J128" s="45" t="s">
        <v>1048</v>
      </c>
      <c r="K128" s="45" t="s">
        <v>1030</v>
      </c>
      <c r="L128" s="45" t="s">
        <v>876</v>
      </c>
      <c r="M128" s="45" t="s">
        <v>1473</v>
      </c>
      <c r="N128" s="45" t="s">
        <v>661</v>
      </c>
      <c r="O128" s="45" t="s">
        <v>1476</v>
      </c>
      <c r="P128" s="45">
        <v>2</v>
      </c>
      <c r="Q128" s="45">
        <v>0</v>
      </c>
      <c r="R128" s="45">
        <v>0</v>
      </c>
      <c r="S128" s="45">
        <v>0</v>
      </c>
      <c r="T128" s="45">
        <v>0</v>
      </c>
      <c r="U128" s="45">
        <v>3</v>
      </c>
      <c r="V128" s="46">
        <f t="shared" si="1"/>
        <v>75</v>
      </c>
      <c r="W128" s="45" t="s">
        <v>1033</v>
      </c>
      <c r="X128" s="45" t="s">
        <v>870</v>
      </c>
      <c r="Y128" s="45" t="s">
        <v>1027</v>
      </c>
    </row>
    <row r="129" spans="1:25" x14ac:dyDescent="0.15">
      <c r="A129" s="45">
        <v>107824</v>
      </c>
      <c r="B129" s="45" t="s">
        <v>674</v>
      </c>
      <c r="C129" s="45" t="s">
        <v>1477</v>
      </c>
      <c r="D129" s="45" t="s">
        <v>675</v>
      </c>
      <c r="E129" s="45"/>
      <c r="F129" s="45"/>
      <c r="G129" s="45"/>
      <c r="H129" s="45" t="s">
        <v>877</v>
      </c>
      <c r="I129" s="45" t="s">
        <v>1021</v>
      </c>
      <c r="J129" s="45" t="s">
        <v>1110</v>
      </c>
      <c r="K129" s="45" t="s">
        <v>1030</v>
      </c>
      <c r="L129" s="45" t="s">
        <v>879</v>
      </c>
      <c r="M129" s="45" t="s">
        <v>1478</v>
      </c>
      <c r="N129" s="45" t="s">
        <v>673</v>
      </c>
      <c r="O129" s="45" t="s">
        <v>1479</v>
      </c>
      <c r="P129" s="45">
        <v>2</v>
      </c>
      <c r="Q129" s="45">
        <v>0</v>
      </c>
      <c r="R129" s="45">
        <v>0</v>
      </c>
      <c r="S129" s="45">
        <v>0</v>
      </c>
      <c r="T129" s="45">
        <v>0</v>
      </c>
      <c r="U129" s="45">
        <v>2</v>
      </c>
      <c r="V129" s="46">
        <f t="shared" si="1"/>
        <v>50</v>
      </c>
      <c r="W129" s="45" t="s">
        <v>1033</v>
      </c>
      <c r="X129" s="45" t="s">
        <v>878</v>
      </c>
      <c r="Y129" s="45" t="s">
        <v>1027</v>
      </c>
    </row>
    <row r="130" spans="1:25" x14ac:dyDescent="0.15">
      <c r="A130" s="45">
        <v>105811</v>
      </c>
      <c r="B130" s="45" t="s">
        <v>662</v>
      </c>
      <c r="C130" s="45" t="s">
        <v>1480</v>
      </c>
      <c r="D130" s="45" t="s">
        <v>663</v>
      </c>
      <c r="E130" s="45" t="s">
        <v>1481</v>
      </c>
      <c r="F130" s="45" t="s">
        <v>1030</v>
      </c>
      <c r="G130" s="45" t="s">
        <v>1482</v>
      </c>
      <c r="H130" s="45" t="s">
        <v>880</v>
      </c>
      <c r="I130" s="45" t="s">
        <v>1021</v>
      </c>
      <c r="J130" s="45" t="s">
        <v>1185</v>
      </c>
      <c r="K130" s="45" t="s">
        <v>1030</v>
      </c>
      <c r="L130" s="45" t="s">
        <v>882</v>
      </c>
      <c r="M130" s="45" t="s">
        <v>1483</v>
      </c>
      <c r="N130" s="45" t="s">
        <v>661</v>
      </c>
      <c r="O130" s="45" t="s">
        <v>1484</v>
      </c>
      <c r="P130" s="45">
        <v>2</v>
      </c>
      <c r="Q130" s="45">
        <v>0</v>
      </c>
      <c r="R130" s="45">
        <v>0</v>
      </c>
      <c r="S130" s="45">
        <v>0</v>
      </c>
      <c r="T130" s="45">
        <v>0</v>
      </c>
      <c r="U130" s="45">
        <v>3</v>
      </c>
      <c r="V130" s="46">
        <f t="shared" ref="V130:V191" si="2">U130*25</f>
        <v>75</v>
      </c>
      <c r="W130" s="45" t="s">
        <v>1033</v>
      </c>
      <c r="X130" s="45" t="s">
        <v>881</v>
      </c>
      <c r="Y130" s="45" t="s">
        <v>1027</v>
      </c>
    </row>
    <row r="131" spans="1:25" x14ac:dyDescent="0.15">
      <c r="A131" s="45">
        <v>105888</v>
      </c>
      <c r="B131" s="45" t="s">
        <v>662</v>
      </c>
      <c r="C131" s="45" t="s">
        <v>1485</v>
      </c>
      <c r="D131" s="45" t="s">
        <v>663</v>
      </c>
      <c r="E131" s="45"/>
      <c r="F131" s="45"/>
      <c r="G131" s="45"/>
      <c r="H131" s="45" t="s">
        <v>880</v>
      </c>
      <c r="I131" s="45" t="s">
        <v>1021</v>
      </c>
      <c r="J131" s="45" t="s">
        <v>1089</v>
      </c>
      <c r="K131" s="45" t="s">
        <v>1173</v>
      </c>
      <c r="L131" s="45" t="s">
        <v>883</v>
      </c>
      <c r="M131" s="45" t="s">
        <v>1486</v>
      </c>
      <c r="N131" s="45" t="s">
        <v>661</v>
      </c>
      <c r="O131" s="45" t="s">
        <v>1487</v>
      </c>
      <c r="P131" s="45">
        <v>2</v>
      </c>
      <c r="Q131" s="45">
        <v>0</v>
      </c>
      <c r="R131" s="45">
        <v>0</v>
      </c>
      <c r="S131" s="45">
        <v>0</v>
      </c>
      <c r="T131" s="45">
        <v>0</v>
      </c>
      <c r="U131" s="45">
        <v>3</v>
      </c>
      <c r="V131" s="46">
        <f t="shared" si="2"/>
        <v>75</v>
      </c>
      <c r="W131" s="45" t="s">
        <v>1033</v>
      </c>
      <c r="X131" s="45" t="s">
        <v>881</v>
      </c>
      <c r="Y131" s="45" t="s">
        <v>1027</v>
      </c>
    </row>
    <row r="132" spans="1:25" x14ac:dyDescent="0.15">
      <c r="A132" s="45">
        <v>106032</v>
      </c>
      <c r="B132" s="45" t="s">
        <v>884</v>
      </c>
      <c r="C132" s="45" t="s">
        <v>1488</v>
      </c>
      <c r="D132" s="45" t="s">
        <v>663</v>
      </c>
      <c r="E132" s="45"/>
      <c r="F132" s="45"/>
      <c r="G132" s="45"/>
      <c r="H132" s="45" t="s">
        <v>880</v>
      </c>
      <c r="I132" s="45" t="s">
        <v>1021</v>
      </c>
      <c r="J132" s="45" t="s">
        <v>1129</v>
      </c>
      <c r="K132" s="45" t="s">
        <v>1030</v>
      </c>
      <c r="L132" s="45" t="s">
        <v>885</v>
      </c>
      <c r="M132" s="45" t="s">
        <v>1489</v>
      </c>
      <c r="N132" s="45" t="s">
        <v>1363</v>
      </c>
      <c r="O132" s="45" t="s">
        <v>1490</v>
      </c>
      <c r="P132" s="45">
        <v>2</v>
      </c>
      <c r="Q132" s="45">
        <v>0</v>
      </c>
      <c r="R132" s="45">
        <v>0</v>
      </c>
      <c r="S132" s="45">
        <v>0</v>
      </c>
      <c r="T132" s="45">
        <v>0</v>
      </c>
      <c r="U132" s="45">
        <v>4</v>
      </c>
      <c r="V132" s="46">
        <f t="shared" si="2"/>
        <v>100</v>
      </c>
      <c r="W132" s="45" t="s">
        <v>1033</v>
      </c>
      <c r="X132" s="45" t="s">
        <v>881</v>
      </c>
      <c r="Y132" s="45" t="s">
        <v>1027</v>
      </c>
    </row>
    <row r="133" spans="1:25" x14ac:dyDescent="0.15">
      <c r="A133" s="45">
        <v>106399</v>
      </c>
      <c r="B133" s="45" t="s">
        <v>662</v>
      </c>
      <c r="C133" s="45" t="s">
        <v>1491</v>
      </c>
      <c r="D133" s="45" t="s">
        <v>663</v>
      </c>
      <c r="E133" s="45"/>
      <c r="F133" s="45"/>
      <c r="G133" s="45"/>
      <c r="H133" s="45" t="s">
        <v>880</v>
      </c>
      <c r="I133" s="45" t="s">
        <v>1021</v>
      </c>
      <c r="J133" s="45" t="s">
        <v>1095</v>
      </c>
      <c r="K133" s="45" t="s">
        <v>1023</v>
      </c>
      <c r="L133" s="45" t="s">
        <v>886</v>
      </c>
      <c r="M133" s="45" t="s">
        <v>1492</v>
      </c>
      <c r="N133" s="45" t="s">
        <v>661</v>
      </c>
      <c r="O133" s="45" t="s">
        <v>1493</v>
      </c>
      <c r="P133" s="45">
        <v>3</v>
      </c>
      <c r="Q133" s="45">
        <v>0</v>
      </c>
      <c r="R133" s="45">
        <v>0</v>
      </c>
      <c r="S133" s="45">
        <v>0</v>
      </c>
      <c r="T133" s="45">
        <v>0</v>
      </c>
      <c r="U133" s="45">
        <v>5</v>
      </c>
      <c r="V133" s="46">
        <f t="shared" si="2"/>
        <v>125</v>
      </c>
      <c r="W133" s="45" t="s">
        <v>1033</v>
      </c>
      <c r="X133" s="45" t="s">
        <v>881</v>
      </c>
      <c r="Y133" s="45" t="s">
        <v>1027</v>
      </c>
    </row>
    <row r="134" spans="1:25" x14ac:dyDescent="0.15">
      <c r="A134" s="45">
        <v>106962</v>
      </c>
      <c r="B134" s="45" t="s">
        <v>684</v>
      </c>
      <c r="C134" s="45" t="s">
        <v>1494</v>
      </c>
      <c r="D134" s="45" t="s">
        <v>685</v>
      </c>
      <c r="E134" s="45"/>
      <c r="F134" s="45"/>
      <c r="G134" s="45"/>
      <c r="H134" s="45" t="s">
        <v>880</v>
      </c>
      <c r="I134" s="45" t="s">
        <v>1021</v>
      </c>
      <c r="J134" s="45" t="s">
        <v>1022</v>
      </c>
      <c r="K134" s="45" t="s">
        <v>1023</v>
      </c>
      <c r="L134" s="45" t="s">
        <v>887</v>
      </c>
      <c r="M134" s="45" t="s">
        <v>1495</v>
      </c>
      <c r="N134" s="45" t="s">
        <v>661</v>
      </c>
      <c r="O134" s="45" t="s">
        <v>1496</v>
      </c>
      <c r="P134" s="45">
        <v>2</v>
      </c>
      <c r="Q134" s="45">
        <v>0</v>
      </c>
      <c r="R134" s="45">
        <v>0</v>
      </c>
      <c r="S134" s="45">
        <v>0</v>
      </c>
      <c r="T134" s="45">
        <v>0</v>
      </c>
      <c r="U134" s="45">
        <v>3</v>
      </c>
      <c r="V134" s="46">
        <f t="shared" si="2"/>
        <v>75</v>
      </c>
      <c r="W134" s="45" t="s">
        <v>1033</v>
      </c>
      <c r="X134" s="45" t="s">
        <v>881</v>
      </c>
      <c r="Y134" s="45" t="s">
        <v>1027</v>
      </c>
    </row>
    <row r="135" spans="1:25" x14ac:dyDescent="0.15">
      <c r="A135" s="45">
        <v>108087</v>
      </c>
      <c r="B135" s="45" t="s">
        <v>662</v>
      </c>
      <c r="C135" s="45" t="s">
        <v>1497</v>
      </c>
      <c r="D135" s="45" t="s">
        <v>663</v>
      </c>
      <c r="E135" s="45"/>
      <c r="F135" s="45"/>
      <c r="G135" s="45"/>
      <c r="H135" s="45" t="s">
        <v>880</v>
      </c>
      <c r="I135" s="45" t="s">
        <v>1021</v>
      </c>
      <c r="J135" s="45" t="s">
        <v>1110</v>
      </c>
      <c r="K135" s="45" t="s">
        <v>1030</v>
      </c>
      <c r="L135" s="45" t="s">
        <v>888</v>
      </c>
      <c r="M135" s="45" t="s">
        <v>1498</v>
      </c>
      <c r="N135" s="45" t="s">
        <v>661</v>
      </c>
      <c r="O135" s="45" t="s">
        <v>1499</v>
      </c>
      <c r="P135" s="45">
        <v>3</v>
      </c>
      <c r="Q135" s="45">
        <v>0</v>
      </c>
      <c r="R135" s="45">
        <v>0</v>
      </c>
      <c r="S135" s="45">
        <v>0</v>
      </c>
      <c r="T135" s="45">
        <v>0</v>
      </c>
      <c r="U135" s="45">
        <v>4</v>
      </c>
      <c r="V135" s="46">
        <f t="shared" si="2"/>
        <v>100</v>
      </c>
      <c r="W135" s="45" t="s">
        <v>1033</v>
      </c>
      <c r="X135" s="45" t="s">
        <v>881</v>
      </c>
      <c r="Y135" s="45" t="s">
        <v>1027</v>
      </c>
    </row>
    <row r="136" spans="1:25" x14ac:dyDescent="0.15">
      <c r="A136" s="45">
        <v>108959</v>
      </c>
      <c r="B136" s="45" t="s">
        <v>662</v>
      </c>
      <c r="C136" s="45" t="s">
        <v>1500</v>
      </c>
      <c r="D136" s="45" t="s">
        <v>663</v>
      </c>
      <c r="E136" s="45"/>
      <c r="F136" s="45"/>
      <c r="G136" s="45"/>
      <c r="H136" s="45" t="s">
        <v>880</v>
      </c>
      <c r="I136" s="45" t="s">
        <v>1021</v>
      </c>
      <c r="J136" s="45" t="s">
        <v>1501</v>
      </c>
      <c r="K136" s="45" t="s">
        <v>1023</v>
      </c>
      <c r="L136" s="45" t="s">
        <v>889</v>
      </c>
      <c r="M136" s="45" t="s">
        <v>1502</v>
      </c>
      <c r="N136" s="45" t="s">
        <v>661</v>
      </c>
      <c r="O136" s="45" t="s">
        <v>1503</v>
      </c>
      <c r="P136" s="45">
        <v>2</v>
      </c>
      <c r="Q136" s="45">
        <v>0</v>
      </c>
      <c r="R136" s="45">
        <v>0</v>
      </c>
      <c r="S136" s="45">
        <v>2</v>
      </c>
      <c r="T136" s="45">
        <v>0</v>
      </c>
      <c r="U136" s="45">
        <v>3</v>
      </c>
      <c r="V136" s="46">
        <f t="shared" si="2"/>
        <v>75</v>
      </c>
      <c r="W136" s="45" t="s">
        <v>1151</v>
      </c>
      <c r="X136" s="45" t="s">
        <v>881</v>
      </c>
      <c r="Y136" s="45" t="s">
        <v>1027</v>
      </c>
    </row>
    <row r="137" spans="1:25" x14ac:dyDescent="0.15">
      <c r="A137" s="45">
        <v>109335</v>
      </c>
      <c r="B137" s="45" t="s">
        <v>700</v>
      </c>
      <c r="C137" s="45" t="s">
        <v>1504</v>
      </c>
      <c r="D137" s="45" t="s">
        <v>663</v>
      </c>
      <c r="E137" s="45"/>
      <c r="F137" s="45"/>
      <c r="G137" s="45"/>
      <c r="H137" s="45" t="s">
        <v>880</v>
      </c>
      <c r="I137" s="45" t="s">
        <v>1021</v>
      </c>
      <c r="J137" s="45" t="s">
        <v>1034</v>
      </c>
      <c r="K137" s="45" t="s">
        <v>1030</v>
      </c>
      <c r="L137" s="45" t="s">
        <v>890</v>
      </c>
      <c r="M137" s="45" t="s">
        <v>1505</v>
      </c>
      <c r="N137" s="45" t="s">
        <v>661</v>
      </c>
      <c r="O137" s="45" t="s">
        <v>1506</v>
      </c>
      <c r="P137" s="45">
        <v>2</v>
      </c>
      <c r="Q137" s="45">
        <v>0</v>
      </c>
      <c r="R137" s="45">
        <v>0</v>
      </c>
      <c r="S137" s="45">
        <v>0</v>
      </c>
      <c r="T137" s="45">
        <v>0</v>
      </c>
      <c r="U137" s="45">
        <v>0</v>
      </c>
      <c r="V137" s="46">
        <f t="shared" si="2"/>
        <v>0</v>
      </c>
      <c r="W137" s="45" t="s">
        <v>1033</v>
      </c>
      <c r="X137" s="45" t="s">
        <v>881</v>
      </c>
      <c r="Y137" s="45" t="s">
        <v>1027</v>
      </c>
    </row>
    <row r="138" spans="1:25" x14ac:dyDescent="0.15">
      <c r="A138" s="45">
        <v>109340</v>
      </c>
      <c r="B138" s="45" t="s">
        <v>884</v>
      </c>
      <c r="C138" s="45" t="s">
        <v>1507</v>
      </c>
      <c r="D138" s="45" t="s">
        <v>663</v>
      </c>
      <c r="E138" s="45"/>
      <c r="F138" s="45"/>
      <c r="G138" s="45"/>
      <c r="H138" s="45" t="s">
        <v>880</v>
      </c>
      <c r="I138" s="45" t="s">
        <v>1021</v>
      </c>
      <c r="J138" s="45" t="s">
        <v>1034</v>
      </c>
      <c r="K138" s="45" t="s">
        <v>1030</v>
      </c>
      <c r="L138" s="45" t="s">
        <v>891</v>
      </c>
      <c r="M138" s="45" t="s">
        <v>1508</v>
      </c>
      <c r="N138" s="45" t="s">
        <v>1363</v>
      </c>
      <c r="O138" s="45" t="s">
        <v>1509</v>
      </c>
      <c r="P138" s="45">
        <v>2</v>
      </c>
      <c r="Q138" s="45">
        <v>0</v>
      </c>
      <c r="R138" s="45">
        <v>0</v>
      </c>
      <c r="S138" s="45">
        <v>0</v>
      </c>
      <c r="T138" s="45">
        <v>0</v>
      </c>
      <c r="U138" s="45">
        <v>0</v>
      </c>
      <c r="V138" s="46">
        <f t="shared" si="2"/>
        <v>0</v>
      </c>
      <c r="W138" s="45" t="s">
        <v>1033</v>
      </c>
      <c r="X138" s="45" t="s">
        <v>881</v>
      </c>
      <c r="Y138" s="45" t="s">
        <v>1027</v>
      </c>
    </row>
    <row r="139" spans="1:25" x14ac:dyDescent="0.15">
      <c r="A139" s="45">
        <v>107769</v>
      </c>
      <c r="B139" s="45" t="s">
        <v>674</v>
      </c>
      <c r="C139" s="45" t="s">
        <v>1510</v>
      </c>
      <c r="D139" s="45" t="s">
        <v>675</v>
      </c>
      <c r="E139" s="45"/>
      <c r="F139" s="45"/>
      <c r="G139" s="45"/>
      <c r="H139" s="45" t="s">
        <v>880</v>
      </c>
      <c r="I139" s="45" t="s">
        <v>1021</v>
      </c>
      <c r="J139" s="45" t="s">
        <v>1053</v>
      </c>
      <c r="K139" s="45" t="s">
        <v>1030</v>
      </c>
      <c r="L139" s="45" t="s">
        <v>892</v>
      </c>
      <c r="M139" s="45" t="s">
        <v>1511</v>
      </c>
      <c r="N139" s="45" t="s">
        <v>673</v>
      </c>
      <c r="O139" s="45" t="s">
        <v>1512</v>
      </c>
      <c r="P139" s="45">
        <v>2</v>
      </c>
      <c r="Q139" s="45">
        <v>0</v>
      </c>
      <c r="R139" s="45">
        <v>0</v>
      </c>
      <c r="S139" s="45">
        <v>0</v>
      </c>
      <c r="T139" s="45">
        <v>0</v>
      </c>
      <c r="U139" s="45">
        <v>2</v>
      </c>
      <c r="V139" s="46">
        <f t="shared" si="2"/>
        <v>50</v>
      </c>
      <c r="W139" s="45" t="s">
        <v>1033</v>
      </c>
      <c r="X139" s="45" t="s">
        <v>881</v>
      </c>
      <c r="Y139" s="45" t="s">
        <v>1027</v>
      </c>
    </row>
    <row r="140" spans="1:25" x14ac:dyDescent="0.15">
      <c r="A140" s="45">
        <v>105376</v>
      </c>
      <c r="B140" s="45" t="s">
        <v>738</v>
      </c>
      <c r="C140" s="45" t="s">
        <v>1513</v>
      </c>
      <c r="D140" s="45" t="s">
        <v>685</v>
      </c>
      <c r="E140" s="45"/>
      <c r="F140" s="45"/>
      <c r="G140" s="45"/>
      <c r="H140" s="45" t="s">
        <v>893</v>
      </c>
      <c r="I140" s="45" t="s">
        <v>1021</v>
      </c>
      <c r="J140" s="45" t="s">
        <v>1057</v>
      </c>
      <c r="K140" s="45" t="s">
        <v>1030</v>
      </c>
      <c r="L140" s="45" t="s">
        <v>895</v>
      </c>
      <c r="M140" s="45" t="s">
        <v>1514</v>
      </c>
      <c r="N140" s="45" t="s">
        <v>661</v>
      </c>
      <c r="O140" s="45" t="s">
        <v>1515</v>
      </c>
      <c r="P140" s="45">
        <v>6</v>
      </c>
      <c r="Q140" s="45">
        <v>0</v>
      </c>
      <c r="R140" s="45">
        <v>0</v>
      </c>
      <c r="S140" s="45">
        <v>0</v>
      </c>
      <c r="T140" s="45">
        <v>0</v>
      </c>
      <c r="U140" s="45">
        <v>8</v>
      </c>
      <c r="V140" s="46">
        <f t="shared" si="2"/>
        <v>200</v>
      </c>
      <c r="W140" s="45" t="s">
        <v>1033</v>
      </c>
      <c r="X140" s="45" t="s">
        <v>894</v>
      </c>
      <c r="Y140" s="45" t="s">
        <v>1027</v>
      </c>
    </row>
    <row r="141" spans="1:25" x14ac:dyDescent="0.15">
      <c r="A141" s="45">
        <v>109551</v>
      </c>
      <c r="B141" s="45" t="s">
        <v>896</v>
      </c>
      <c r="C141" s="45" t="s">
        <v>1516</v>
      </c>
      <c r="D141" s="45" t="s">
        <v>685</v>
      </c>
      <c r="E141" s="45"/>
      <c r="F141" s="45"/>
      <c r="G141" s="45"/>
      <c r="H141" s="45" t="s">
        <v>893</v>
      </c>
      <c r="I141" s="45" t="s">
        <v>1021</v>
      </c>
      <c r="J141" s="45" t="s">
        <v>1053</v>
      </c>
      <c r="K141" s="45" t="s">
        <v>1030</v>
      </c>
      <c r="L141" s="45" t="s">
        <v>897</v>
      </c>
      <c r="M141" s="45" t="s">
        <v>1517</v>
      </c>
      <c r="N141" s="45" t="s">
        <v>661</v>
      </c>
      <c r="O141" s="45" t="s">
        <v>1518</v>
      </c>
      <c r="P141" s="45">
        <v>6</v>
      </c>
      <c r="Q141" s="45">
        <v>0</v>
      </c>
      <c r="R141" s="45">
        <v>0</v>
      </c>
      <c r="S141" s="45">
        <v>0</v>
      </c>
      <c r="T141" s="45">
        <v>0</v>
      </c>
      <c r="U141" s="45">
        <v>0</v>
      </c>
      <c r="V141" s="46">
        <f t="shared" si="2"/>
        <v>0</v>
      </c>
      <c r="W141" s="45" t="s">
        <v>1033</v>
      </c>
      <c r="X141" s="45" t="s">
        <v>894</v>
      </c>
      <c r="Y141" s="45" t="s">
        <v>1027</v>
      </c>
    </row>
    <row r="142" spans="1:25" x14ac:dyDescent="0.15">
      <c r="A142" s="45">
        <v>106702</v>
      </c>
      <c r="B142" s="45" t="s">
        <v>820</v>
      </c>
      <c r="C142" s="45" t="s">
        <v>1519</v>
      </c>
      <c r="D142" s="45" t="s">
        <v>685</v>
      </c>
      <c r="E142" s="45"/>
      <c r="F142" s="45"/>
      <c r="G142" s="45"/>
      <c r="H142" s="45" t="s">
        <v>898</v>
      </c>
      <c r="I142" s="45" t="s">
        <v>1021</v>
      </c>
      <c r="J142" s="45" t="s">
        <v>1310</v>
      </c>
      <c r="K142" s="45" t="s">
        <v>1041</v>
      </c>
      <c r="L142" s="45" t="s">
        <v>900</v>
      </c>
      <c r="M142" s="45" t="s">
        <v>1520</v>
      </c>
      <c r="N142" s="45" t="s">
        <v>1363</v>
      </c>
      <c r="O142" s="45" t="s">
        <v>1521</v>
      </c>
      <c r="P142" s="45">
        <v>3</v>
      </c>
      <c r="Q142" s="45">
        <v>0</v>
      </c>
      <c r="R142" s="45">
        <v>0</v>
      </c>
      <c r="S142" s="45">
        <v>0</v>
      </c>
      <c r="T142" s="45">
        <v>0</v>
      </c>
      <c r="U142" s="45">
        <v>3</v>
      </c>
      <c r="V142" s="46">
        <f t="shared" si="2"/>
        <v>75</v>
      </c>
      <c r="W142" s="45" t="s">
        <v>1033</v>
      </c>
      <c r="X142" s="45" t="s">
        <v>899</v>
      </c>
      <c r="Y142" s="45" t="s">
        <v>1027</v>
      </c>
    </row>
    <row r="143" spans="1:25" x14ac:dyDescent="0.15">
      <c r="A143" s="45">
        <v>107280</v>
      </c>
      <c r="B143" s="45" t="s">
        <v>901</v>
      </c>
      <c r="C143" s="45" t="s">
        <v>1522</v>
      </c>
      <c r="D143" s="45" t="s">
        <v>663</v>
      </c>
      <c r="E143" s="45"/>
      <c r="F143" s="45"/>
      <c r="G143" s="45"/>
      <c r="H143" s="45" t="s">
        <v>898</v>
      </c>
      <c r="I143" s="45" t="s">
        <v>1021</v>
      </c>
      <c r="J143" s="45" t="s">
        <v>1029</v>
      </c>
      <c r="K143" s="45" t="s">
        <v>1030</v>
      </c>
      <c r="L143" s="45" t="s">
        <v>902</v>
      </c>
      <c r="M143" s="45" t="s">
        <v>1523</v>
      </c>
      <c r="N143" s="45" t="s">
        <v>840</v>
      </c>
      <c r="O143" s="45" t="s">
        <v>1524</v>
      </c>
      <c r="P143" s="45">
        <v>2</v>
      </c>
      <c r="Q143" s="45">
        <v>0</v>
      </c>
      <c r="R143" s="45">
        <v>0</v>
      </c>
      <c r="S143" s="45">
        <v>0</v>
      </c>
      <c r="T143" s="45">
        <v>0</v>
      </c>
      <c r="U143" s="45">
        <v>2</v>
      </c>
      <c r="V143" s="46">
        <f t="shared" si="2"/>
        <v>50</v>
      </c>
      <c r="W143" s="45" t="s">
        <v>1033</v>
      </c>
      <c r="X143" s="45" t="s">
        <v>899</v>
      </c>
      <c r="Y143" s="45" t="s">
        <v>1027</v>
      </c>
    </row>
    <row r="144" spans="1:25" x14ac:dyDescent="0.15">
      <c r="A144" s="45">
        <v>109061</v>
      </c>
      <c r="B144" s="45" t="s">
        <v>700</v>
      </c>
      <c r="C144" s="45" t="s">
        <v>1525</v>
      </c>
      <c r="D144" s="45" t="s">
        <v>663</v>
      </c>
      <c r="E144" s="45" t="s">
        <v>1043</v>
      </c>
      <c r="F144" s="45" t="s">
        <v>1526</v>
      </c>
      <c r="G144" s="45" t="s">
        <v>1527</v>
      </c>
      <c r="H144" s="45" t="s">
        <v>898</v>
      </c>
      <c r="I144" s="45" t="s">
        <v>1021</v>
      </c>
      <c r="J144" s="45" t="s">
        <v>1501</v>
      </c>
      <c r="K144" s="45" t="s">
        <v>1030</v>
      </c>
      <c r="L144" s="45" t="s">
        <v>903</v>
      </c>
      <c r="M144" s="45" t="s">
        <v>1043</v>
      </c>
      <c r="N144" s="45" t="s">
        <v>661</v>
      </c>
      <c r="O144" s="45" t="s">
        <v>1528</v>
      </c>
      <c r="P144" s="45">
        <v>2</v>
      </c>
      <c r="Q144" s="45">
        <v>0</v>
      </c>
      <c r="R144" s="45">
        <v>0</v>
      </c>
      <c r="S144" s="45">
        <v>0</v>
      </c>
      <c r="T144" s="45">
        <v>0</v>
      </c>
      <c r="U144" s="45">
        <v>2</v>
      </c>
      <c r="V144" s="46">
        <f t="shared" si="2"/>
        <v>50</v>
      </c>
      <c r="W144" s="45" t="s">
        <v>1033</v>
      </c>
      <c r="X144" s="45" t="s">
        <v>899</v>
      </c>
      <c r="Y144" s="45" t="s">
        <v>1027</v>
      </c>
    </row>
    <row r="145" spans="1:25" x14ac:dyDescent="0.15">
      <c r="A145" s="45">
        <v>109062</v>
      </c>
      <c r="B145" s="45" t="s">
        <v>700</v>
      </c>
      <c r="C145" s="45" t="s">
        <v>1529</v>
      </c>
      <c r="D145" s="45" t="s">
        <v>663</v>
      </c>
      <c r="E145" s="45" t="s">
        <v>1530</v>
      </c>
      <c r="F145" s="45" t="s">
        <v>1526</v>
      </c>
      <c r="G145" s="45" t="s">
        <v>1531</v>
      </c>
      <c r="H145" s="45" t="s">
        <v>898</v>
      </c>
      <c r="I145" s="45" t="s">
        <v>1021</v>
      </c>
      <c r="J145" s="45" t="s">
        <v>1501</v>
      </c>
      <c r="K145" s="45" t="s">
        <v>1030</v>
      </c>
      <c r="L145" s="45" t="s">
        <v>904</v>
      </c>
      <c r="M145" s="45" t="s">
        <v>1043</v>
      </c>
      <c r="N145" s="45" t="s">
        <v>661</v>
      </c>
      <c r="O145" s="45" t="s">
        <v>1532</v>
      </c>
      <c r="P145" s="45">
        <v>2</v>
      </c>
      <c r="Q145" s="45">
        <v>0</v>
      </c>
      <c r="R145" s="45">
        <v>0</v>
      </c>
      <c r="S145" s="45">
        <v>0</v>
      </c>
      <c r="T145" s="45">
        <v>0</v>
      </c>
      <c r="U145" s="45">
        <v>0</v>
      </c>
      <c r="V145" s="46">
        <f t="shared" si="2"/>
        <v>0</v>
      </c>
      <c r="W145" s="45" t="s">
        <v>1033</v>
      </c>
      <c r="X145" s="45" t="s">
        <v>899</v>
      </c>
      <c r="Y145" s="45" t="s">
        <v>1027</v>
      </c>
    </row>
    <row r="146" spans="1:25" x14ac:dyDescent="0.15">
      <c r="A146" s="45">
        <v>109168</v>
      </c>
      <c r="B146" s="45" t="s">
        <v>884</v>
      </c>
      <c r="C146" s="45" t="s">
        <v>1533</v>
      </c>
      <c r="D146" s="45" t="s">
        <v>663</v>
      </c>
      <c r="E146" s="45" t="s">
        <v>1534</v>
      </c>
      <c r="F146" s="45" t="s">
        <v>1526</v>
      </c>
      <c r="G146" s="45" t="s">
        <v>1535</v>
      </c>
      <c r="H146" s="45" t="s">
        <v>898</v>
      </c>
      <c r="I146" s="45" t="s">
        <v>1021</v>
      </c>
      <c r="J146" s="45" t="s">
        <v>1034</v>
      </c>
      <c r="K146" s="45" t="s">
        <v>1023</v>
      </c>
      <c r="L146" s="45" t="s">
        <v>905</v>
      </c>
      <c r="M146" s="45" t="s">
        <v>1536</v>
      </c>
      <c r="N146" s="45" t="s">
        <v>1363</v>
      </c>
      <c r="O146" s="45" t="s">
        <v>1537</v>
      </c>
      <c r="P146" s="45">
        <v>2</v>
      </c>
      <c r="Q146" s="45">
        <v>0</v>
      </c>
      <c r="R146" s="45">
        <v>0</v>
      </c>
      <c r="S146" s="45">
        <v>0</v>
      </c>
      <c r="T146" s="45">
        <v>0</v>
      </c>
      <c r="U146" s="45">
        <v>4</v>
      </c>
      <c r="V146" s="46">
        <f t="shared" si="2"/>
        <v>100</v>
      </c>
      <c r="W146" s="45" t="s">
        <v>1033</v>
      </c>
      <c r="X146" s="45" t="s">
        <v>899</v>
      </c>
      <c r="Y146" s="45" t="s">
        <v>1027</v>
      </c>
    </row>
    <row r="147" spans="1:25" x14ac:dyDescent="0.15">
      <c r="A147" s="45">
        <v>109207</v>
      </c>
      <c r="B147" s="45" t="s">
        <v>906</v>
      </c>
      <c r="C147" s="45" t="s">
        <v>1538</v>
      </c>
      <c r="D147" s="45" t="s">
        <v>685</v>
      </c>
      <c r="E147" s="45"/>
      <c r="F147" s="45"/>
      <c r="G147" s="45"/>
      <c r="H147" s="45" t="s">
        <v>898</v>
      </c>
      <c r="I147" s="45" t="s">
        <v>1021</v>
      </c>
      <c r="J147" s="45" t="s">
        <v>1034</v>
      </c>
      <c r="K147" s="45" t="s">
        <v>1030</v>
      </c>
      <c r="L147" s="45" t="s">
        <v>907</v>
      </c>
      <c r="M147" s="45" t="s">
        <v>1539</v>
      </c>
      <c r="N147" s="45" t="s">
        <v>840</v>
      </c>
      <c r="O147" s="45" t="s">
        <v>1540</v>
      </c>
      <c r="P147" s="45">
        <v>2</v>
      </c>
      <c r="Q147" s="45">
        <v>0</v>
      </c>
      <c r="R147" s="45">
        <v>0</v>
      </c>
      <c r="S147" s="45">
        <v>0</v>
      </c>
      <c r="T147" s="45">
        <v>0</v>
      </c>
      <c r="U147" s="45">
        <v>4</v>
      </c>
      <c r="V147" s="46">
        <f t="shared" si="2"/>
        <v>100</v>
      </c>
      <c r="W147" s="45" t="s">
        <v>1033</v>
      </c>
      <c r="X147" s="45" t="s">
        <v>899</v>
      </c>
      <c r="Y147" s="45" t="s">
        <v>1027</v>
      </c>
    </row>
    <row r="148" spans="1:25" x14ac:dyDescent="0.15">
      <c r="A148" s="45">
        <v>109354</v>
      </c>
      <c r="B148" s="45" t="s">
        <v>674</v>
      </c>
      <c r="C148" s="45" t="s">
        <v>1541</v>
      </c>
      <c r="D148" s="45" t="s">
        <v>675</v>
      </c>
      <c r="E148" s="45"/>
      <c r="F148" s="45"/>
      <c r="G148" s="45"/>
      <c r="H148" s="45" t="s">
        <v>898</v>
      </c>
      <c r="I148" s="45" t="s">
        <v>1043</v>
      </c>
      <c r="J148" s="45" t="s">
        <v>908</v>
      </c>
      <c r="K148" s="45" t="s">
        <v>1035</v>
      </c>
      <c r="L148" s="45" t="s">
        <v>908</v>
      </c>
      <c r="M148" s="45" t="s">
        <v>1542</v>
      </c>
      <c r="N148" s="45" t="s">
        <v>673</v>
      </c>
      <c r="O148" s="45" t="s">
        <v>1543</v>
      </c>
      <c r="P148" s="45">
        <v>5</v>
      </c>
      <c r="Q148" s="45">
        <v>3</v>
      </c>
      <c r="R148" s="45">
        <v>0</v>
      </c>
      <c r="S148" s="45">
        <v>3</v>
      </c>
      <c r="T148" s="45">
        <v>3</v>
      </c>
      <c r="U148" s="45">
        <v>5</v>
      </c>
      <c r="V148" s="46">
        <f t="shared" si="2"/>
        <v>125</v>
      </c>
      <c r="W148" s="45" t="s">
        <v>1038</v>
      </c>
      <c r="X148" s="45" t="s">
        <v>899</v>
      </c>
      <c r="Y148" s="45" t="s">
        <v>1027</v>
      </c>
    </row>
    <row r="149" spans="1:25" x14ac:dyDescent="0.15">
      <c r="A149" s="45">
        <v>110126</v>
      </c>
      <c r="B149" s="45" t="s">
        <v>906</v>
      </c>
      <c r="C149" s="45" t="s">
        <v>1544</v>
      </c>
      <c r="D149" s="45" t="s">
        <v>685</v>
      </c>
      <c r="E149" s="45"/>
      <c r="F149" s="45"/>
      <c r="G149" s="45"/>
      <c r="H149" s="45" t="s">
        <v>898</v>
      </c>
      <c r="I149" s="45" t="s">
        <v>1043</v>
      </c>
      <c r="J149" s="45" t="s">
        <v>909</v>
      </c>
      <c r="K149" s="45" t="s">
        <v>1035</v>
      </c>
      <c r="L149" s="45" t="s">
        <v>909</v>
      </c>
      <c r="M149" s="45" t="s">
        <v>1545</v>
      </c>
      <c r="N149" s="45" t="s">
        <v>840</v>
      </c>
      <c r="O149" s="45" t="s">
        <v>1546</v>
      </c>
      <c r="P149" s="45">
        <v>2</v>
      </c>
      <c r="Q149" s="45">
        <v>1</v>
      </c>
      <c r="R149" s="45">
        <v>0</v>
      </c>
      <c r="S149" s="45">
        <v>1</v>
      </c>
      <c r="T149" s="45">
        <v>1</v>
      </c>
      <c r="U149" s="45">
        <v>3</v>
      </c>
      <c r="V149" s="46">
        <f t="shared" si="2"/>
        <v>75</v>
      </c>
      <c r="W149" s="45" t="s">
        <v>1038</v>
      </c>
      <c r="X149" s="45" t="s">
        <v>899</v>
      </c>
      <c r="Y149" s="45" t="s">
        <v>1027</v>
      </c>
    </row>
    <row r="150" spans="1:25" x14ac:dyDescent="0.15">
      <c r="A150" s="45">
        <v>105851</v>
      </c>
      <c r="B150" s="45" t="s">
        <v>768</v>
      </c>
      <c r="C150" s="45" t="s">
        <v>1547</v>
      </c>
      <c r="D150" s="45" t="s">
        <v>675</v>
      </c>
      <c r="E150" s="45"/>
      <c r="F150" s="45"/>
      <c r="G150" s="45"/>
      <c r="H150" s="45" t="s">
        <v>910</v>
      </c>
      <c r="I150" s="45" t="s">
        <v>1021</v>
      </c>
      <c r="J150" s="45" t="s">
        <v>1129</v>
      </c>
      <c r="K150" s="45" t="s">
        <v>1030</v>
      </c>
      <c r="L150" s="45" t="s">
        <v>912</v>
      </c>
      <c r="M150" s="45" t="s">
        <v>1548</v>
      </c>
      <c r="N150" s="45" t="s">
        <v>661</v>
      </c>
      <c r="O150" s="45" t="s">
        <v>1549</v>
      </c>
      <c r="P150" s="45">
        <v>2</v>
      </c>
      <c r="Q150" s="45">
        <v>0</v>
      </c>
      <c r="R150" s="45">
        <v>0</v>
      </c>
      <c r="S150" s="45">
        <v>0</v>
      </c>
      <c r="T150" s="45">
        <v>0</v>
      </c>
      <c r="U150" s="45">
        <v>4</v>
      </c>
      <c r="V150" s="46">
        <f t="shared" si="2"/>
        <v>100</v>
      </c>
      <c r="W150" s="45" t="s">
        <v>1033</v>
      </c>
      <c r="X150" s="45" t="s">
        <v>911</v>
      </c>
      <c r="Y150" s="45" t="s">
        <v>1027</v>
      </c>
    </row>
    <row r="151" spans="1:25" x14ac:dyDescent="0.15">
      <c r="A151" s="45">
        <v>108479</v>
      </c>
      <c r="B151" s="45" t="s">
        <v>806</v>
      </c>
      <c r="C151" s="45" t="s">
        <v>1550</v>
      </c>
      <c r="D151" s="45" t="s">
        <v>685</v>
      </c>
      <c r="E151" s="45"/>
      <c r="F151" s="45"/>
      <c r="G151" s="45"/>
      <c r="H151" s="45" t="s">
        <v>910</v>
      </c>
      <c r="I151" s="45" t="s">
        <v>1021</v>
      </c>
      <c r="J151" s="45" t="s">
        <v>1075</v>
      </c>
      <c r="K151" s="45" t="s">
        <v>1030</v>
      </c>
      <c r="L151" s="45" t="s">
        <v>913</v>
      </c>
      <c r="M151" s="45" t="s">
        <v>1551</v>
      </c>
      <c r="N151" s="45" t="s">
        <v>661</v>
      </c>
      <c r="O151" s="45" t="s">
        <v>1552</v>
      </c>
      <c r="P151" s="45">
        <v>5</v>
      </c>
      <c r="Q151" s="45">
        <v>0</v>
      </c>
      <c r="R151" s="45">
        <v>0</v>
      </c>
      <c r="S151" s="45">
        <v>0</v>
      </c>
      <c r="T151" s="45">
        <v>0</v>
      </c>
      <c r="U151" s="45">
        <v>0</v>
      </c>
      <c r="V151" s="46">
        <f t="shared" si="2"/>
        <v>0</v>
      </c>
      <c r="W151" s="45" t="s">
        <v>1033</v>
      </c>
      <c r="X151" s="45" t="s">
        <v>911</v>
      </c>
      <c r="Y151" s="45" t="s">
        <v>1027</v>
      </c>
    </row>
    <row r="152" spans="1:25" x14ac:dyDescent="0.15">
      <c r="A152" s="45">
        <v>105849</v>
      </c>
      <c r="B152" s="45" t="s">
        <v>768</v>
      </c>
      <c r="C152" s="45" t="s">
        <v>1553</v>
      </c>
      <c r="D152" s="45" t="s">
        <v>675</v>
      </c>
      <c r="E152" s="45"/>
      <c r="F152" s="45"/>
      <c r="G152" s="45"/>
      <c r="H152" s="45" t="s">
        <v>914</v>
      </c>
      <c r="I152" s="45" t="s">
        <v>1021</v>
      </c>
      <c r="J152" s="45" t="s">
        <v>1129</v>
      </c>
      <c r="K152" s="45" t="s">
        <v>1030</v>
      </c>
      <c r="L152" s="45" t="s">
        <v>916</v>
      </c>
      <c r="M152" s="45" t="s">
        <v>1554</v>
      </c>
      <c r="N152" s="45" t="s">
        <v>661</v>
      </c>
      <c r="O152" s="45" t="s">
        <v>1555</v>
      </c>
      <c r="P152" s="45">
        <v>2</v>
      </c>
      <c r="Q152" s="45">
        <v>0</v>
      </c>
      <c r="R152" s="45">
        <v>0</v>
      </c>
      <c r="S152" s="45">
        <v>0</v>
      </c>
      <c r="T152" s="45">
        <v>0</v>
      </c>
      <c r="U152" s="45">
        <v>0</v>
      </c>
      <c r="V152" s="46">
        <f t="shared" si="2"/>
        <v>0</v>
      </c>
      <c r="W152" s="45" t="s">
        <v>1033</v>
      </c>
      <c r="X152" s="45" t="s">
        <v>915</v>
      </c>
      <c r="Y152" s="45" t="s">
        <v>1027</v>
      </c>
    </row>
    <row r="153" spans="1:25" x14ac:dyDescent="0.15">
      <c r="A153" s="45">
        <v>108751</v>
      </c>
      <c r="B153" s="45" t="s">
        <v>698</v>
      </c>
      <c r="C153" s="45" t="s">
        <v>1556</v>
      </c>
      <c r="D153" s="45" t="s">
        <v>675</v>
      </c>
      <c r="E153" s="45"/>
      <c r="F153" s="45"/>
      <c r="G153" s="45"/>
      <c r="H153" s="45" t="s">
        <v>914</v>
      </c>
      <c r="I153" s="45" t="s">
        <v>1021</v>
      </c>
      <c r="J153" s="45" t="s">
        <v>1053</v>
      </c>
      <c r="K153" s="45" t="s">
        <v>1030</v>
      </c>
      <c r="L153" s="45" t="s">
        <v>917</v>
      </c>
      <c r="M153" s="45" t="s">
        <v>1557</v>
      </c>
      <c r="N153" s="45" t="s">
        <v>661</v>
      </c>
      <c r="O153" s="45" t="s">
        <v>1558</v>
      </c>
      <c r="P153" s="45">
        <v>2</v>
      </c>
      <c r="Q153" s="45">
        <v>0</v>
      </c>
      <c r="R153" s="45">
        <v>0</v>
      </c>
      <c r="S153" s="45">
        <v>0</v>
      </c>
      <c r="T153" s="45">
        <v>0</v>
      </c>
      <c r="U153" s="45">
        <v>0</v>
      </c>
      <c r="V153" s="46">
        <f t="shared" si="2"/>
        <v>0</v>
      </c>
      <c r="W153" s="45" t="s">
        <v>1033</v>
      </c>
      <c r="X153" s="45" t="s">
        <v>915</v>
      </c>
      <c r="Y153" s="45" t="s">
        <v>1027</v>
      </c>
    </row>
    <row r="154" spans="1:25" x14ac:dyDescent="0.15">
      <c r="A154" s="45">
        <v>107321</v>
      </c>
      <c r="B154" s="45" t="s">
        <v>687</v>
      </c>
      <c r="C154" s="45" t="s">
        <v>1559</v>
      </c>
      <c r="D154" s="45" t="s">
        <v>663</v>
      </c>
      <c r="E154" s="45"/>
      <c r="F154" s="45"/>
      <c r="G154" s="45"/>
      <c r="H154" s="45" t="s">
        <v>918</v>
      </c>
      <c r="I154" s="45" t="s">
        <v>1021</v>
      </c>
      <c r="J154" s="45" t="s">
        <v>1029</v>
      </c>
      <c r="K154" s="45" t="s">
        <v>1030</v>
      </c>
      <c r="L154" s="45" t="s">
        <v>920</v>
      </c>
      <c r="M154" s="45" t="s">
        <v>1560</v>
      </c>
      <c r="N154" s="45" t="s">
        <v>661</v>
      </c>
      <c r="O154" s="45" t="s">
        <v>1561</v>
      </c>
      <c r="P154" s="45">
        <v>2</v>
      </c>
      <c r="Q154" s="45">
        <v>0</v>
      </c>
      <c r="R154" s="45">
        <v>0</v>
      </c>
      <c r="S154" s="45">
        <v>0</v>
      </c>
      <c r="T154" s="45">
        <v>0</v>
      </c>
      <c r="U154" s="45">
        <v>0</v>
      </c>
      <c r="V154" s="46">
        <f t="shared" si="2"/>
        <v>0</v>
      </c>
      <c r="W154" s="45" t="s">
        <v>1033</v>
      </c>
      <c r="X154" s="45" t="s">
        <v>919</v>
      </c>
      <c r="Y154" s="45" t="s">
        <v>1027</v>
      </c>
    </row>
    <row r="155" spans="1:25" x14ac:dyDescent="0.15">
      <c r="A155" s="45">
        <v>106959</v>
      </c>
      <c r="B155" s="45" t="s">
        <v>768</v>
      </c>
      <c r="C155" s="45" t="s">
        <v>1562</v>
      </c>
      <c r="D155" s="45" t="s">
        <v>675</v>
      </c>
      <c r="E155" s="45"/>
      <c r="F155" s="45"/>
      <c r="G155" s="45"/>
      <c r="H155" s="45" t="s">
        <v>921</v>
      </c>
      <c r="I155" s="45" t="s">
        <v>1021</v>
      </c>
      <c r="J155" s="45" t="s">
        <v>1022</v>
      </c>
      <c r="K155" s="45" t="s">
        <v>1030</v>
      </c>
      <c r="L155" s="45" t="s">
        <v>923</v>
      </c>
      <c r="M155" s="45" t="s">
        <v>1563</v>
      </c>
      <c r="N155" s="45" t="s">
        <v>661</v>
      </c>
      <c r="O155" s="45" t="s">
        <v>1564</v>
      </c>
      <c r="P155" s="45">
        <v>2</v>
      </c>
      <c r="Q155" s="45">
        <v>0</v>
      </c>
      <c r="R155" s="45">
        <v>0</v>
      </c>
      <c r="S155" s="45">
        <v>0</v>
      </c>
      <c r="T155" s="45">
        <v>0</v>
      </c>
      <c r="U155" s="45">
        <v>0</v>
      </c>
      <c r="V155" s="46">
        <f t="shared" si="2"/>
        <v>0</v>
      </c>
      <c r="W155" s="45" t="s">
        <v>1033</v>
      </c>
      <c r="X155" s="45" t="s">
        <v>922</v>
      </c>
      <c r="Y155" s="45" t="s">
        <v>1027</v>
      </c>
    </row>
    <row r="156" spans="1:25" x14ac:dyDescent="0.15">
      <c r="A156" s="45">
        <v>108543</v>
      </c>
      <c r="B156" s="45" t="s">
        <v>700</v>
      </c>
      <c r="C156" s="45" t="s">
        <v>1565</v>
      </c>
      <c r="D156" s="45" t="s">
        <v>663</v>
      </c>
      <c r="E156" s="45"/>
      <c r="F156" s="45"/>
      <c r="G156" s="45"/>
      <c r="H156" s="45" t="s">
        <v>924</v>
      </c>
      <c r="I156" s="45" t="s">
        <v>1021</v>
      </c>
      <c r="J156" s="45" t="s">
        <v>1075</v>
      </c>
      <c r="K156" s="45" t="s">
        <v>1030</v>
      </c>
      <c r="L156" s="45" t="s">
        <v>926</v>
      </c>
      <c r="M156" s="45" t="s">
        <v>1566</v>
      </c>
      <c r="N156" s="45" t="s">
        <v>661</v>
      </c>
      <c r="O156" s="45" t="s">
        <v>1567</v>
      </c>
      <c r="P156" s="45">
        <v>2</v>
      </c>
      <c r="Q156" s="45">
        <v>0</v>
      </c>
      <c r="R156" s="45">
        <v>0</v>
      </c>
      <c r="S156" s="45">
        <v>0</v>
      </c>
      <c r="T156" s="45">
        <v>0</v>
      </c>
      <c r="U156" s="45">
        <v>0</v>
      </c>
      <c r="V156" s="46">
        <f t="shared" si="2"/>
        <v>0</v>
      </c>
      <c r="W156" s="45" t="s">
        <v>1033</v>
      </c>
      <c r="X156" s="45" t="s">
        <v>925</v>
      </c>
      <c r="Y156" s="45" t="s">
        <v>1027</v>
      </c>
    </row>
    <row r="157" spans="1:25" x14ac:dyDescent="0.15">
      <c r="A157" s="45">
        <v>105683</v>
      </c>
      <c r="B157" s="45" t="s">
        <v>662</v>
      </c>
      <c r="C157" s="45" t="s">
        <v>1568</v>
      </c>
      <c r="D157" s="45" t="s">
        <v>663</v>
      </c>
      <c r="E157" s="45"/>
      <c r="F157" s="45"/>
      <c r="G157" s="45"/>
      <c r="H157" s="45" t="s">
        <v>927</v>
      </c>
      <c r="I157" s="45" t="s">
        <v>1021</v>
      </c>
      <c r="J157" s="45" t="s">
        <v>1185</v>
      </c>
      <c r="K157" s="45" t="s">
        <v>1030</v>
      </c>
      <c r="L157" s="45" t="s">
        <v>929</v>
      </c>
      <c r="M157" s="45" t="s">
        <v>1569</v>
      </c>
      <c r="N157" s="45" t="s">
        <v>661</v>
      </c>
      <c r="O157" s="45" t="s">
        <v>1570</v>
      </c>
      <c r="P157" s="45">
        <v>2</v>
      </c>
      <c r="Q157" s="45">
        <v>0</v>
      </c>
      <c r="R157" s="45">
        <v>0</v>
      </c>
      <c r="S157" s="45">
        <v>0</v>
      </c>
      <c r="T157" s="45">
        <v>0</v>
      </c>
      <c r="U157" s="45">
        <v>5</v>
      </c>
      <c r="V157" s="46">
        <f t="shared" si="2"/>
        <v>125</v>
      </c>
      <c r="W157" s="45" t="s">
        <v>1033</v>
      </c>
      <c r="X157" s="45" t="s">
        <v>928</v>
      </c>
      <c r="Y157" s="45" t="s">
        <v>1027</v>
      </c>
    </row>
    <row r="158" spans="1:25" x14ac:dyDescent="0.15">
      <c r="A158" s="45">
        <v>106334</v>
      </c>
      <c r="B158" s="45" t="s">
        <v>662</v>
      </c>
      <c r="C158" s="45" t="s">
        <v>1571</v>
      </c>
      <c r="D158" s="45" t="s">
        <v>663</v>
      </c>
      <c r="E158" s="45"/>
      <c r="F158" s="45"/>
      <c r="G158" s="45"/>
      <c r="H158" s="45" t="s">
        <v>927</v>
      </c>
      <c r="I158" s="45" t="s">
        <v>1021</v>
      </c>
      <c r="J158" s="45" t="s">
        <v>1572</v>
      </c>
      <c r="K158" s="45" t="s">
        <v>1041</v>
      </c>
      <c r="L158" s="45" t="s">
        <v>930</v>
      </c>
      <c r="M158" s="45" t="s">
        <v>1573</v>
      </c>
      <c r="N158" s="45" t="s">
        <v>661</v>
      </c>
      <c r="O158" s="45" t="s">
        <v>1574</v>
      </c>
      <c r="P158" s="45">
        <v>3</v>
      </c>
      <c r="Q158" s="45">
        <v>0</v>
      </c>
      <c r="R158" s="45">
        <v>0</v>
      </c>
      <c r="S158" s="45">
        <v>0</v>
      </c>
      <c r="T158" s="45">
        <v>1</v>
      </c>
      <c r="U158" s="45">
        <v>4</v>
      </c>
      <c r="V158" s="46">
        <f t="shared" si="2"/>
        <v>100</v>
      </c>
      <c r="W158" s="45" t="s">
        <v>1097</v>
      </c>
      <c r="X158" s="45" t="s">
        <v>928</v>
      </c>
      <c r="Y158" s="45" t="s">
        <v>1027</v>
      </c>
    </row>
    <row r="159" spans="1:25" x14ac:dyDescent="0.15">
      <c r="A159" s="45">
        <v>106970</v>
      </c>
      <c r="B159" s="45" t="s">
        <v>662</v>
      </c>
      <c r="C159" s="45" t="s">
        <v>1575</v>
      </c>
      <c r="D159" s="45" t="s">
        <v>663</v>
      </c>
      <c r="E159" s="45"/>
      <c r="F159" s="45"/>
      <c r="G159" s="45"/>
      <c r="H159" s="45" t="s">
        <v>927</v>
      </c>
      <c r="I159" s="45" t="s">
        <v>1021</v>
      </c>
      <c r="J159" s="45" t="s">
        <v>1103</v>
      </c>
      <c r="K159" s="45" t="s">
        <v>1023</v>
      </c>
      <c r="L159" s="45" t="s">
        <v>931</v>
      </c>
      <c r="M159" s="45" t="s">
        <v>1576</v>
      </c>
      <c r="N159" s="45" t="s">
        <v>661</v>
      </c>
      <c r="O159" s="45" t="s">
        <v>1577</v>
      </c>
      <c r="P159" s="45">
        <v>3</v>
      </c>
      <c r="Q159" s="45">
        <v>0</v>
      </c>
      <c r="R159" s="45">
        <v>0</v>
      </c>
      <c r="S159" s="45">
        <v>0</v>
      </c>
      <c r="T159" s="45">
        <v>0</v>
      </c>
      <c r="U159" s="45">
        <v>6</v>
      </c>
      <c r="V159" s="46">
        <f t="shared" si="2"/>
        <v>150</v>
      </c>
      <c r="W159" s="45" t="s">
        <v>1033</v>
      </c>
      <c r="X159" s="45" t="s">
        <v>928</v>
      </c>
      <c r="Y159" s="45" t="s">
        <v>1027</v>
      </c>
    </row>
    <row r="160" spans="1:25" x14ac:dyDescent="0.15">
      <c r="A160" s="45">
        <v>108259</v>
      </c>
      <c r="B160" s="45" t="s">
        <v>662</v>
      </c>
      <c r="C160" s="45" t="s">
        <v>1578</v>
      </c>
      <c r="D160" s="45" t="s">
        <v>663</v>
      </c>
      <c r="E160" s="45"/>
      <c r="F160" s="45"/>
      <c r="G160" s="45"/>
      <c r="H160" s="45" t="s">
        <v>927</v>
      </c>
      <c r="I160" s="45" t="s">
        <v>1021</v>
      </c>
      <c r="J160" s="45" t="s">
        <v>1114</v>
      </c>
      <c r="K160" s="45" t="s">
        <v>1035</v>
      </c>
      <c r="L160" s="45" t="s">
        <v>932</v>
      </c>
      <c r="M160" s="45" t="s">
        <v>1579</v>
      </c>
      <c r="N160" s="45" t="s">
        <v>661</v>
      </c>
      <c r="O160" s="45" t="s">
        <v>1580</v>
      </c>
      <c r="P160" s="45">
        <v>1</v>
      </c>
      <c r="Q160" s="45">
        <v>1</v>
      </c>
      <c r="R160" s="45">
        <v>0</v>
      </c>
      <c r="S160" s="45">
        <v>1</v>
      </c>
      <c r="T160" s="45">
        <v>1</v>
      </c>
      <c r="U160" s="45">
        <v>3</v>
      </c>
      <c r="V160" s="46">
        <f t="shared" si="2"/>
        <v>75</v>
      </c>
      <c r="W160" s="45" t="s">
        <v>1038</v>
      </c>
      <c r="X160" s="45" t="s">
        <v>928</v>
      </c>
      <c r="Y160" s="45" t="s">
        <v>1027</v>
      </c>
    </row>
    <row r="161" spans="1:25" x14ac:dyDescent="0.15">
      <c r="A161" s="45">
        <v>108925</v>
      </c>
      <c r="B161" s="45" t="s">
        <v>721</v>
      </c>
      <c r="C161" s="45" t="s">
        <v>1581</v>
      </c>
      <c r="D161" s="45" t="s">
        <v>663</v>
      </c>
      <c r="E161" s="45"/>
      <c r="F161" s="45"/>
      <c r="G161" s="45"/>
      <c r="H161" s="45" t="s">
        <v>927</v>
      </c>
      <c r="I161" s="45" t="s">
        <v>1021</v>
      </c>
      <c r="J161" s="45" t="s">
        <v>1119</v>
      </c>
      <c r="K161" s="45" t="s">
        <v>1035</v>
      </c>
      <c r="L161" s="45" t="s">
        <v>933</v>
      </c>
      <c r="M161" s="45" t="s">
        <v>1582</v>
      </c>
      <c r="N161" s="45" t="s">
        <v>661</v>
      </c>
      <c r="O161" s="45" t="s">
        <v>1583</v>
      </c>
      <c r="P161" s="45">
        <v>2</v>
      </c>
      <c r="Q161" s="45">
        <v>1</v>
      </c>
      <c r="R161" s="45">
        <v>0</v>
      </c>
      <c r="S161" s="45">
        <v>1</v>
      </c>
      <c r="T161" s="45">
        <v>1</v>
      </c>
      <c r="U161" s="45">
        <v>3</v>
      </c>
      <c r="V161" s="46">
        <f t="shared" si="2"/>
        <v>75</v>
      </c>
      <c r="W161" s="45" t="s">
        <v>1038</v>
      </c>
      <c r="X161" s="45" t="s">
        <v>928</v>
      </c>
      <c r="Y161" s="45" t="s">
        <v>1027</v>
      </c>
    </row>
    <row r="162" spans="1:25" x14ac:dyDescent="0.15">
      <c r="A162" s="45">
        <v>109953</v>
      </c>
      <c r="B162" s="45" t="s">
        <v>662</v>
      </c>
      <c r="C162" s="45" t="s">
        <v>1584</v>
      </c>
      <c r="D162" s="45" t="s">
        <v>663</v>
      </c>
      <c r="E162" s="45"/>
      <c r="F162" s="45"/>
      <c r="G162" s="45"/>
      <c r="H162" s="45" t="s">
        <v>927</v>
      </c>
      <c r="I162" s="45" t="s">
        <v>1043</v>
      </c>
      <c r="J162" s="45" t="s">
        <v>934</v>
      </c>
      <c r="K162" s="45" t="s">
        <v>1023</v>
      </c>
      <c r="L162" s="45" t="s">
        <v>934</v>
      </c>
      <c r="M162" s="45" t="s">
        <v>1585</v>
      </c>
      <c r="N162" s="45" t="s">
        <v>661</v>
      </c>
      <c r="O162" s="45" t="s">
        <v>1586</v>
      </c>
      <c r="P162" s="45">
        <v>1</v>
      </c>
      <c r="Q162" s="45">
        <v>0</v>
      </c>
      <c r="R162" s="45">
        <v>0</v>
      </c>
      <c r="S162" s="45">
        <v>0</v>
      </c>
      <c r="T162" s="45">
        <v>0</v>
      </c>
      <c r="U162" s="45">
        <v>3</v>
      </c>
      <c r="V162" s="46">
        <f t="shared" si="2"/>
        <v>75</v>
      </c>
      <c r="W162" s="45" t="s">
        <v>1033</v>
      </c>
      <c r="X162" s="45" t="s">
        <v>928</v>
      </c>
      <c r="Y162" s="45" t="s">
        <v>1027</v>
      </c>
    </row>
    <row r="163" spans="1:25" x14ac:dyDescent="0.15">
      <c r="A163" s="45">
        <v>110124</v>
      </c>
      <c r="B163" s="45" t="s">
        <v>671</v>
      </c>
      <c r="C163" s="45" t="s">
        <v>1587</v>
      </c>
      <c r="D163" s="45" t="s">
        <v>663</v>
      </c>
      <c r="E163" s="45"/>
      <c r="F163" s="45"/>
      <c r="G163" s="45"/>
      <c r="H163" s="45" t="s">
        <v>927</v>
      </c>
      <c r="I163" s="45" t="s">
        <v>1043</v>
      </c>
      <c r="J163" s="45" t="s">
        <v>935</v>
      </c>
      <c r="K163" s="45" t="s">
        <v>1023</v>
      </c>
      <c r="L163" s="45" t="s">
        <v>935</v>
      </c>
      <c r="M163" s="45" t="s">
        <v>1588</v>
      </c>
      <c r="N163" s="45" t="s">
        <v>661</v>
      </c>
      <c r="O163" s="45" t="s">
        <v>1589</v>
      </c>
      <c r="P163" s="45">
        <v>1</v>
      </c>
      <c r="Q163" s="45">
        <v>0</v>
      </c>
      <c r="R163" s="45">
        <v>0</v>
      </c>
      <c r="S163" s="45">
        <v>2</v>
      </c>
      <c r="T163" s="45">
        <v>0</v>
      </c>
      <c r="U163" s="45">
        <v>3</v>
      </c>
      <c r="V163" s="46">
        <f t="shared" si="2"/>
        <v>75</v>
      </c>
      <c r="W163" s="45" t="s">
        <v>1151</v>
      </c>
      <c r="X163" s="45" t="s">
        <v>928</v>
      </c>
      <c r="Y163" s="45" t="s">
        <v>1027</v>
      </c>
    </row>
    <row r="164" spans="1:25" x14ac:dyDescent="0.15">
      <c r="A164" s="45">
        <v>105989</v>
      </c>
      <c r="B164" s="45" t="s">
        <v>700</v>
      </c>
      <c r="C164" s="45" t="s">
        <v>1590</v>
      </c>
      <c r="D164" s="45" t="s">
        <v>663</v>
      </c>
      <c r="E164" s="45"/>
      <c r="F164" s="45"/>
      <c r="G164" s="45"/>
      <c r="H164" s="45" t="s">
        <v>936</v>
      </c>
      <c r="I164" s="45" t="s">
        <v>1021</v>
      </c>
      <c r="J164" s="45" t="s">
        <v>1129</v>
      </c>
      <c r="K164" s="45" t="s">
        <v>1030</v>
      </c>
      <c r="L164" s="45" t="s">
        <v>938</v>
      </c>
      <c r="M164" s="45" t="s">
        <v>1591</v>
      </c>
      <c r="N164" s="45" t="s">
        <v>840</v>
      </c>
      <c r="O164" s="45" t="s">
        <v>1592</v>
      </c>
      <c r="P164" s="45">
        <v>2</v>
      </c>
      <c r="Q164" s="45">
        <v>0</v>
      </c>
      <c r="R164" s="45">
        <v>0</v>
      </c>
      <c r="S164" s="45">
        <v>0</v>
      </c>
      <c r="T164" s="45">
        <v>0</v>
      </c>
      <c r="U164" s="45">
        <v>0</v>
      </c>
      <c r="V164" s="46">
        <f t="shared" si="2"/>
        <v>0</v>
      </c>
      <c r="W164" s="45" t="s">
        <v>1033</v>
      </c>
      <c r="X164" s="45" t="s">
        <v>937</v>
      </c>
      <c r="Y164" s="45" t="s">
        <v>1027</v>
      </c>
    </row>
    <row r="165" spans="1:25" x14ac:dyDescent="0.15">
      <c r="A165" s="45">
        <v>106054</v>
      </c>
      <c r="B165" s="45" t="s">
        <v>700</v>
      </c>
      <c r="C165" s="45" t="s">
        <v>1593</v>
      </c>
      <c r="D165" s="45" t="s">
        <v>663</v>
      </c>
      <c r="E165" s="45" t="s">
        <v>1594</v>
      </c>
      <c r="F165" s="45" t="s">
        <v>1035</v>
      </c>
      <c r="G165" s="45" t="s">
        <v>1595</v>
      </c>
      <c r="H165" s="45" t="s">
        <v>936</v>
      </c>
      <c r="I165" s="45" t="s">
        <v>1021</v>
      </c>
      <c r="J165" s="45" t="s">
        <v>1129</v>
      </c>
      <c r="K165" s="45" t="s">
        <v>1035</v>
      </c>
      <c r="L165" s="45" t="s">
        <v>939</v>
      </c>
      <c r="M165" s="45" t="s">
        <v>1594</v>
      </c>
      <c r="N165" s="45" t="s">
        <v>840</v>
      </c>
      <c r="O165" s="45" t="s">
        <v>1596</v>
      </c>
      <c r="P165" s="45">
        <v>5</v>
      </c>
      <c r="Q165" s="45">
        <v>0</v>
      </c>
      <c r="R165" s="45">
        <v>0</v>
      </c>
      <c r="S165" s="45">
        <v>0</v>
      </c>
      <c r="T165" s="45">
        <v>1</v>
      </c>
      <c r="U165" s="45">
        <v>3</v>
      </c>
      <c r="V165" s="46">
        <f t="shared" si="2"/>
        <v>75</v>
      </c>
      <c r="W165" s="45" t="s">
        <v>1097</v>
      </c>
      <c r="X165" s="45" t="s">
        <v>937</v>
      </c>
      <c r="Y165" s="45" t="s">
        <v>1027</v>
      </c>
    </row>
    <row r="166" spans="1:25" x14ac:dyDescent="0.15">
      <c r="A166" s="45">
        <v>106949</v>
      </c>
      <c r="B166" s="45" t="s">
        <v>940</v>
      </c>
      <c r="C166" s="45" t="s">
        <v>1597</v>
      </c>
      <c r="D166" s="45" t="s">
        <v>663</v>
      </c>
      <c r="E166" s="45" t="s">
        <v>1598</v>
      </c>
      <c r="F166" s="45" t="s">
        <v>1599</v>
      </c>
      <c r="G166" s="45" t="s">
        <v>1600</v>
      </c>
      <c r="H166" s="45" t="s">
        <v>936</v>
      </c>
      <c r="I166" s="45" t="s">
        <v>1021</v>
      </c>
      <c r="J166" s="45" t="s">
        <v>1099</v>
      </c>
      <c r="K166" s="45" t="s">
        <v>1035</v>
      </c>
      <c r="L166" s="45" t="s">
        <v>941</v>
      </c>
      <c r="M166" s="45" t="s">
        <v>1601</v>
      </c>
      <c r="N166" s="45" t="s">
        <v>840</v>
      </c>
      <c r="O166" s="45" t="s">
        <v>1602</v>
      </c>
      <c r="P166" s="45">
        <v>2</v>
      </c>
      <c r="Q166" s="45">
        <v>0</v>
      </c>
      <c r="R166" s="45">
        <v>0</v>
      </c>
      <c r="S166" s="45">
        <v>0</v>
      </c>
      <c r="T166" s="45">
        <v>0</v>
      </c>
      <c r="U166" s="45">
        <v>3</v>
      </c>
      <c r="V166" s="46">
        <f t="shared" si="2"/>
        <v>75</v>
      </c>
      <c r="W166" s="45" t="s">
        <v>1033</v>
      </c>
      <c r="X166" s="45" t="s">
        <v>937</v>
      </c>
      <c r="Y166" s="45" t="s">
        <v>1027</v>
      </c>
    </row>
    <row r="167" spans="1:25" x14ac:dyDescent="0.15">
      <c r="A167" s="45">
        <v>107081</v>
      </c>
      <c r="B167" s="45" t="s">
        <v>674</v>
      </c>
      <c r="C167" s="45" t="s">
        <v>1603</v>
      </c>
      <c r="D167" s="45" t="s">
        <v>675</v>
      </c>
      <c r="E167" s="45"/>
      <c r="F167" s="45"/>
      <c r="G167" s="45"/>
      <c r="H167" s="45" t="s">
        <v>936</v>
      </c>
      <c r="I167" s="45" t="s">
        <v>1021</v>
      </c>
      <c r="J167" s="45" t="s">
        <v>1022</v>
      </c>
      <c r="K167" s="45" t="s">
        <v>1030</v>
      </c>
      <c r="L167" s="45" t="s">
        <v>942</v>
      </c>
      <c r="M167" s="45" t="s">
        <v>1604</v>
      </c>
      <c r="N167" s="45" t="s">
        <v>673</v>
      </c>
      <c r="O167" s="45" t="s">
        <v>1605</v>
      </c>
      <c r="P167" s="45">
        <v>2</v>
      </c>
      <c r="Q167" s="45">
        <v>0</v>
      </c>
      <c r="R167" s="45">
        <v>0</v>
      </c>
      <c r="S167" s="45">
        <v>0</v>
      </c>
      <c r="T167" s="45">
        <v>0</v>
      </c>
      <c r="U167" s="45">
        <v>2</v>
      </c>
      <c r="V167" s="46">
        <f t="shared" si="2"/>
        <v>50</v>
      </c>
      <c r="W167" s="45" t="s">
        <v>1033</v>
      </c>
      <c r="X167" s="45" t="s">
        <v>937</v>
      </c>
      <c r="Y167" s="45" t="s">
        <v>1027</v>
      </c>
    </row>
    <row r="168" spans="1:25" x14ac:dyDescent="0.15">
      <c r="A168" s="45">
        <v>107086</v>
      </c>
      <c r="B168" s="45" t="s">
        <v>674</v>
      </c>
      <c r="C168" s="45" t="s">
        <v>1606</v>
      </c>
      <c r="D168" s="45" t="s">
        <v>675</v>
      </c>
      <c r="E168" s="45"/>
      <c r="F168" s="45"/>
      <c r="G168" s="45"/>
      <c r="H168" s="45" t="s">
        <v>936</v>
      </c>
      <c r="I168" s="45" t="s">
        <v>1021</v>
      </c>
      <c r="J168" s="45" t="s">
        <v>1022</v>
      </c>
      <c r="K168" s="45" t="s">
        <v>1030</v>
      </c>
      <c r="L168" s="45" t="s">
        <v>943</v>
      </c>
      <c r="M168" s="45" t="s">
        <v>1607</v>
      </c>
      <c r="N168" s="45" t="s">
        <v>673</v>
      </c>
      <c r="O168" s="45" t="s">
        <v>1608</v>
      </c>
      <c r="P168" s="45">
        <v>2</v>
      </c>
      <c r="Q168" s="45">
        <v>0</v>
      </c>
      <c r="R168" s="45">
        <v>0</v>
      </c>
      <c r="S168" s="45">
        <v>0</v>
      </c>
      <c r="T168" s="45">
        <v>0</v>
      </c>
      <c r="U168" s="45">
        <v>0</v>
      </c>
      <c r="V168" s="46">
        <f t="shared" si="2"/>
        <v>0</v>
      </c>
      <c r="W168" s="45" t="s">
        <v>1305</v>
      </c>
      <c r="X168" s="45" t="s">
        <v>937</v>
      </c>
      <c r="Y168" s="45" t="s">
        <v>1027</v>
      </c>
    </row>
    <row r="169" spans="1:25" x14ac:dyDescent="0.15">
      <c r="A169" s="45">
        <v>106207</v>
      </c>
      <c r="B169" s="45" t="s">
        <v>698</v>
      </c>
      <c r="C169" s="45" t="s">
        <v>1322</v>
      </c>
      <c r="D169" s="45" t="s">
        <v>675</v>
      </c>
      <c r="E169" s="45"/>
      <c r="F169" s="45"/>
      <c r="G169" s="45"/>
      <c r="H169" s="45" t="s">
        <v>944</v>
      </c>
      <c r="I169" s="45" t="s">
        <v>1021</v>
      </c>
      <c r="J169" s="45" t="s">
        <v>1206</v>
      </c>
      <c r="K169" s="45" t="s">
        <v>1035</v>
      </c>
      <c r="L169" s="45" t="s">
        <v>946</v>
      </c>
      <c r="M169" s="45" t="s">
        <v>1609</v>
      </c>
      <c r="N169" s="45" t="s">
        <v>661</v>
      </c>
      <c r="O169" s="45" t="s">
        <v>1610</v>
      </c>
      <c r="P169" s="45">
        <v>2</v>
      </c>
      <c r="Q169" s="45">
        <v>0</v>
      </c>
      <c r="R169" s="45">
        <v>0</v>
      </c>
      <c r="S169" s="45">
        <v>0</v>
      </c>
      <c r="T169" s="45">
        <v>2</v>
      </c>
      <c r="U169" s="45">
        <v>4</v>
      </c>
      <c r="V169" s="46">
        <f t="shared" si="2"/>
        <v>100</v>
      </c>
      <c r="W169" s="45" t="s">
        <v>1097</v>
      </c>
      <c r="X169" s="45" t="s">
        <v>945</v>
      </c>
      <c r="Y169" s="45" t="s">
        <v>1027</v>
      </c>
    </row>
    <row r="170" spans="1:25" x14ac:dyDescent="0.15">
      <c r="A170" s="45">
        <v>108338</v>
      </c>
      <c r="B170" s="45" t="s">
        <v>684</v>
      </c>
      <c r="C170" s="45"/>
      <c r="D170" s="45" t="s">
        <v>685</v>
      </c>
      <c r="E170" s="45"/>
      <c r="F170" s="45"/>
      <c r="G170" s="45"/>
      <c r="H170" s="45" t="s">
        <v>944</v>
      </c>
      <c r="I170" s="45" t="s">
        <v>1021</v>
      </c>
      <c r="J170" s="45" t="s">
        <v>1166</v>
      </c>
      <c r="K170" s="45" t="s">
        <v>1035</v>
      </c>
      <c r="L170" s="45" t="s">
        <v>947</v>
      </c>
      <c r="M170" s="45" t="s">
        <v>1611</v>
      </c>
      <c r="N170" s="45" t="s">
        <v>661</v>
      </c>
      <c r="O170" s="45" t="s">
        <v>1612</v>
      </c>
      <c r="P170" s="45">
        <v>2</v>
      </c>
      <c r="Q170" s="45">
        <v>1</v>
      </c>
      <c r="R170" s="45">
        <v>0</v>
      </c>
      <c r="S170" s="45">
        <v>1</v>
      </c>
      <c r="T170" s="45">
        <v>1</v>
      </c>
      <c r="U170" s="45">
        <v>3</v>
      </c>
      <c r="V170" s="46">
        <f t="shared" si="2"/>
        <v>75</v>
      </c>
      <c r="W170" s="45" t="s">
        <v>1038</v>
      </c>
      <c r="X170" s="45" t="s">
        <v>945</v>
      </c>
      <c r="Y170" s="45" t="s">
        <v>1027</v>
      </c>
    </row>
    <row r="171" spans="1:25" x14ac:dyDescent="0.15">
      <c r="A171" s="45">
        <v>108339</v>
      </c>
      <c r="B171" s="45" t="s">
        <v>684</v>
      </c>
      <c r="C171" s="45"/>
      <c r="D171" s="45" t="s">
        <v>685</v>
      </c>
      <c r="E171" s="45"/>
      <c r="F171" s="45"/>
      <c r="G171" s="45"/>
      <c r="H171" s="45" t="s">
        <v>944</v>
      </c>
      <c r="I171" s="45" t="s">
        <v>1021</v>
      </c>
      <c r="J171" s="45" t="s">
        <v>1166</v>
      </c>
      <c r="K171" s="45" t="s">
        <v>1030</v>
      </c>
      <c r="L171" s="45" t="s">
        <v>948</v>
      </c>
      <c r="M171" s="45" t="s">
        <v>1613</v>
      </c>
      <c r="N171" s="45" t="s">
        <v>661</v>
      </c>
      <c r="O171" s="45" t="s">
        <v>1614</v>
      </c>
      <c r="P171" s="45">
        <v>2</v>
      </c>
      <c r="Q171" s="45">
        <v>0</v>
      </c>
      <c r="R171" s="45">
        <v>0</v>
      </c>
      <c r="S171" s="45">
        <v>0</v>
      </c>
      <c r="T171" s="45">
        <v>0</v>
      </c>
      <c r="U171" s="45">
        <v>0</v>
      </c>
      <c r="V171" s="46">
        <f t="shared" si="2"/>
        <v>0</v>
      </c>
      <c r="W171" s="45" t="s">
        <v>1305</v>
      </c>
      <c r="X171" s="45" t="s">
        <v>945</v>
      </c>
      <c r="Y171" s="45" t="s">
        <v>1027</v>
      </c>
    </row>
    <row r="172" spans="1:25" x14ac:dyDescent="0.15">
      <c r="A172" s="45">
        <v>108340</v>
      </c>
      <c r="B172" s="45" t="s">
        <v>700</v>
      </c>
      <c r="C172" s="45" t="s">
        <v>1615</v>
      </c>
      <c r="D172" s="45" t="s">
        <v>663</v>
      </c>
      <c r="E172" s="45"/>
      <c r="F172" s="45"/>
      <c r="G172" s="45"/>
      <c r="H172" s="45" t="s">
        <v>944</v>
      </c>
      <c r="I172" s="45" t="s">
        <v>1021</v>
      </c>
      <c r="J172" s="45" t="s">
        <v>1166</v>
      </c>
      <c r="K172" s="45" t="s">
        <v>1030</v>
      </c>
      <c r="L172" s="45" t="s">
        <v>949</v>
      </c>
      <c r="M172" s="45" t="s">
        <v>1613</v>
      </c>
      <c r="N172" s="45" t="s">
        <v>661</v>
      </c>
      <c r="O172" s="45" t="s">
        <v>1616</v>
      </c>
      <c r="P172" s="45">
        <v>2</v>
      </c>
      <c r="Q172" s="45">
        <v>0</v>
      </c>
      <c r="R172" s="45">
        <v>0</v>
      </c>
      <c r="S172" s="45">
        <v>0</v>
      </c>
      <c r="T172" s="45">
        <v>0</v>
      </c>
      <c r="U172" s="45">
        <v>0</v>
      </c>
      <c r="V172" s="46">
        <f t="shared" si="2"/>
        <v>0</v>
      </c>
      <c r="W172" s="45" t="s">
        <v>1305</v>
      </c>
      <c r="X172" s="45" t="s">
        <v>945</v>
      </c>
      <c r="Y172" s="45" t="s">
        <v>1027</v>
      </c>
    </row>
    <row r="173" spans="1:25" x14ac:dyDescent="0.15">
      <c r="A173" s="45">
        <v>108991</v>
      </c>
      <c r="B173" s="45" t="s">
        <v>674</v>
      </c>
      <c r="C173" s="45" t="s">
        <v>1617</v>
      </c>
      <c r="D173" s="45" t="s">
        <v>675</v>
      </c>
      <c r="E173" s="45"/>
      <c r="F173" s="45"/>
      <c r="G173" s="45"/>
      <c r="H173" s="45" t="s">
        <v>944</v>
      </c>
      <c r="I173" s="45" t="s">
        <v>1021</v>
      </c>
      <c r="J173" s="45" t="s">
        <v>1083</v>
      </c>
      <c r="K173" s="45" t="s">
        <v>1035</v>
      </c>
      <c r="L173" s="45" t="s">
        <v>950</v>
      </c>
      <c r="M173" s="45" t="s">
        <v>1618</v>
      </c>
      <c r="N173" s="45" t="s">
        <v>673</v>
      </c>
      <c r="O173" s="45" t="s">
        <v>1619</v>
      </c>
      <c r="P173" s="45">
        <v>3</v>
      </c>
      <c r="Q173" s="45">
        <v>2</v>
      </c>
      <c r="R173" s="45">
        <v>0</v>
      </c>
      <c r="S173" s="45">
        <v>2</v>
      </c>
      <c r="T173" s="45">
        <v>2</v>
      </c>
      <c r="U173" s="45">
        <v>4</v>
      </c>
      <c r="V173" s="46">
        <f t="shared" si="2"/>
        <v>100</v>
      </c>
      <c r="W173" s="45" t="s">
        <v>1038</v>
      </c>
      <c r="X173" s="45" t="s">
        <v>945</v>
      </c>
      <c r="Y173" s="45" t="s">
        <v>1027</v>
      </c>
    </row>
    <row r="174" spans="1:25" x14ac:dyDescent="0.15">
      <c r="A174" s="45">
        <v>108992</v>
      </c>
      <c r="B174" s="45" t="s">
        <v>674</v>
      </c>
      <c r="C174" s="45" t="s">
        <v>1620</v>
      </c>
      <c r="D174" s="45" t="s">
        <v>675</v>
      </c>
      <c r="E174" s="45"/>
      <c r="F174" s="45"/>
      <c r="G174" s="45"/>
      <c r="H174" s="45" t="s">
        <v>944</v>
      </c>
      <c r="I174" s="45" t="s">
        <v>1021</v>
      </c>
      <c r="J174" s="45" t="s">
        <v>1083</v>
      </c>
      <c r="K174" s="45" t="s">
        <v>1035</v>
      </c>
      <c r="L174" s="45" t="s">
        <v>951</v>
      </c>
      <c r="M174" s="45" t="s">
        <v>1621</v>
      </c>
      <c r="N174" s="45" t="s">
        <v>673</v>
      </c>
      <c r="O174" s="45" t="s">
        <v>1622</v>
      </c>
      <c r="P174" s="45">
        <v>2</v>
      </c>
      <c r="Q174" s="45">
        <v>1</v>
      </c>
      <c r="R174" s="45">
        <v>0</v>
      </c>
      <c r="S174" s="45">
        <v>1</v>
      </c>
      <c r="T174" s="45">
        <v>1</v>
      </c>
      <c r="U174" s="45">
        <v>3</v>
      </c>
      <c r="V174" s="46">
        <f t="shared" si="2"/>
        <v>75</v>
      </c>
      <c r="W174" s="45" t="s">
        <v>1038</v>
      </c>
      <c r="X174" s="45" t="s">
        <v>945</v>
      </c>
      <c r="Y174" s="45" t="s">
        <v>1027</v>
      </c>
    </row>
    <row r="175" spans="1:25" x14ac:dyDescent="0.15">
      <c r="A175" s="45">
        <v>106681</v>
      </c>
      <c r="B175" s="45" t="s">
        <v>719</v>
      </c>
      <c r="C175" s="45"/>
      <c r="D175" s="45" t="s">
        <v>663</v>
      </c>
      <c r="E175" s="45"/>
      <c r="F175" s="45"/>
      <c r="G175" s="45"/>
      <c r="H175" s="45" t="s">
        <v>952</v>
      </c>
      <c r="I175" s="45" t="s">
        <v>1021</v>
      </c>
      <c r="J175" s="45" t="s">
        <v>1310</v>
      </c>
      <c r="K175" s="45" t="s">
        <v>1030</v>
      </c>
      <c r="L175" s="45" t="s">
        <v>954</v>
      </c>
      <c r="M175" s="45" t="s">
        <v>1623</v>
      </c>
      <c r="N175" s="45" t="s">
        <v>661</v>
      </c>
      <c r="O175" s="45" t="s">
        <v>1624</v>
      </c>
      <c r="P175" s="45">
        <v>2</v>
      </c>
      <c r="Q175" s="45">
        <v>0</v>
      </c>
      <c r="R175" s="45">
        <v>0</v>
      </c>
      <c r="S175" s="45">
        <v>0</v>
      </c>
      <c r="T175" s="45">
        <v>0</v>
      </c>
      <c r="U175" s="45">
        <v>0</v>
      </c>
      <c r="V175" s="46">
        <f t="shared" si="2"/>
        <v>0</v>
      </c>
      <c r="W175" s="45" t="s">
        <v>1033</v>
      </c>
      <c r="X175" s="45" t="s">
        <v>953</v>
      </c>
      <c r="Y175" s="45" t="s">
        <v>1027</v>
      </c>
    </row>
    <row r="176" spans="1:25" x14ac:dyDescent="0.15">
      <c r="A176" s="45">
        <v>106685</v>
      </c>
      <c r="B176" s="45" t="s">
        <v>719</v>
      </c>
      <c r="C176" s="45" t="s">
        <v>1625</v>
      </c>
      <c r="D176" s="45" t="s">
        <v>663</v>
      </c>
      <c r="E176" s="45"/>
      <c r="F176" s="45"/>
      <c r="G176" s="45"/>
      <c r="H176" s="45" t="s">
        <v>952</v>
      </c>
      <c r="I176" s="45" t="s">
        <v>1021</v>
      </c>
      <c r="J176" s="45" t="s">
        <v>1310</v>
      </c>
      <c r="K176" s="45" t="s">
        <v>1030</v>
      </c>
      <c r="L176" s="45" t="s">
        <v>955</v>
      </c>
      <c r="M176" s="45" t="s">
        <v>1623</v>
      </c>
      <c r="N176" s="45" t="s">
        <v>661</v>
      </c>
      <c r="O176" s="45" t="s">
        <v>1626</v>
      </c>
      <c r="P176" s="45">
        <v>2</v>
      </c>
      <c r="Q176" s="45">
        <v>0</v>
      </c>
      <c r="R176" s="45">
        <v>0</v>
      </c>
      <c r="S176" s="45">
        <v>0</v>
      </c>
      <c r="T176" s="45">
        <v>0</v>
      </c>
      <c r="U176" s="45">
        <v>2</v>
      </c>
      <c r="V176" s="46">
        <f t="shared" si="2"/>
        <v>50</v>
      </c>
      <c r="W176" s="45" t="s">
        <v>1033</v>
      </c>
      <c r="X176" s="45" t="s">
        <v>953</v>
      </c>
      <c r="Y176" s="45" t="s">
        <v>1027</v>
      </c>
    </row>
    <row r="177" spans="1:25" x14ac:dyDescent="0.15">
      <c r="A177" s="45">
        <v>106690</v>
      </c>
      <c r="B177" s="45" t="s">
        <v>719</v>
      </c>
      <c r="C177" s="45" t="s">
        <v>1627</v>
      </c>
      <c r="D177" s="45" t="s">
        <v>663</v>
      </c>
      <c r="E177" s="45" t="s">
        <v>1628</v>
      </c>
      <c r="F177" s="45" t="s">
        <v>1041</v>
      </c>
      <c r="G177" s="45" t="s">
        <v>1629</v>
      </c>
      <c r="H177" s="45" t="s">
        <v>952</v>
      </c>
      <c r="I177" s="45" t="s">
        <v>1021</v>
      </c>
      <c r="J177" s="45" t="s">
        <v>1099</v>
      </c>
      <c r="K177" s="45" t="s">
        <v>1041</v>
      </c>
      <c r="L177" s="45" t="s">
        <v>956</v>
      </c>
      <c r="M177" s="45" t="s">
        <v>1630</v>
      </c>
      <c r="N177" s="45" t="s">
        <v>661</v>
      </c>
      <c r="O177" s="45" t="s">
        <v>1631</v>
      </c>
      <c r="P177" s="45">
        <v>2</v>
      </c>
      <c r="Q177" s="45">
        <v>0</v>
      </c>
      <c r="R177" s="45">
        <v>0</v>
      </c>
      <c r="S177" s="45">
        <v>0</v>
      </c>
      <c r="T177" s="45">
        <v>3</v>
      </c>
      <c r="U177" s="45">
        <v>6</v>
      </c>
      <c r="V177" s="46">
        <f t="shared" si="2"/>
        <v>150</v>
      </c>
      <c r="W177" s="45" t="s">
        <v>1097</v>
      </c>
      <c r="X177" s="45" t="s">
        <v>953</v>
      </c>
      <c r="Y177" s="45" t="s">
        <v>1027</v>
      </c>
    </row>
    <row r="178" spans="1:25" x14ac:dyDescent="0.15">
      <c r="A178" s="45">
        <v>107335</v>
      </c>
      <c r="B178" s="45" t="s">
        <v>662</v>
      </c>
      <c r="C178" s="45"/>
      <c r="D178" s="45" t="s">
        <v>663</v>
      </c>
      <c r="E178" s="45" t="s">
        <v>1632</v>
      </c>
      <c r="F178" s="45" t="s">
        <v>1633</v>
      </c>
      <c r="G178" s="45" t="s">
        <v>1634</v>
      </c>
      <c r="H178" s="45" t="s">
        <v>957</v>
      </c>
      <c r="I178" s="45" t="s">
        <v>1021</v>
      </c>
      <c r="J178" s="45" t="s">
        <v>1251</v>
      </c>
      <c r="K178" s="45" t="s">
        <v>1035</v>
      </c>
      <c r="L178" s="45" t="s">
        <v>959</v>
      </c>
      <c r="M178" s="45" t="s">
        <v>1635</v>
      </c>
      <c r="N178" s="45" t="s">
        <v>661</v>
      </c>
      <c r="O178" s="45" t="s">
        <v>1636</v>
      </c>
      <c r="P178" s="45">
        <v>2</v>
      </c>
      <c r="Q178" s="45">
        <v>1</v>
      </c>
      <c r="R178" s="45">
        <v>0</v>
      </c>
      <c r="S178" s="45">
        <v>0</v>
      </c>
      <c r="T178" s="45">
        <v>1</v>
      </c>
      <c r="U178" s="45">
        <v>3</v>
      </c>
      <c r="V178" s="46">
        <f t="shared" si="2"/>
        <v>75</v>
      </c>
      <c r="W178" s="45" t="s">
        <v>1091</v>
      </c>
      <c r="X178" s="45" t="s">
        <v>958</v>
      </c>
      <c r="Y178" s="45" t="s">
        <v>1027</v>
      </c>
    </row>
    <row r="179" spans="1:25" x14ac:dyDescent="0.15">
      <c r="A179" s="45">
        <v>107397</v>
      </c>
      <c r="B179" s="45" t="s">
        <v>674</v>
      </c>
      <c r="C179" s="45" t="s">
        <v>1637</v>
      </c>
      <c r="D179" s="45" t="s">
        <v>675</v>
      </c>
      <c r="E179" s="45"/>
      <c r="F179" s="45"/>
      <c r="G179" s="45"/>
      <c r="H179" s="45" t="s">
        <v>957</v>
      </c>
      <c r="I179" s="45" t="s">
        <v>1021</v>
      </c>
      <c r="J179" s="45" t="s">
        <v>1067</v>
      </c>
      <c r="K179" s="45" t="s">
        <v>1030</v>
      </c>
      <c r="L179" s="45" t="s">
        <v>960</v>
      </c>
      <c r="M179" s="45" t="s">
        <v>1638</v>
      </c>
      <c r="N179" s="45" t="s">
        <v>673</v>
      </c>
      <c r="O179" s="45" t="s">
        <v>1639</v>
      </c>
      <c r="P179" s="45">
        <v>2</v>
      </c>
      <c r="Q179" s="45">
        <v>0</v>
      </c>
      <c r="R179" s="45">
        <v>0</v>
      </c>
      <c r="S179" s="45">
        <v>0</v>
      </c>
      <c r="T179" s="45">
        <v>0</v>
      </c>
      <c r="U179" s="45">
        <v>4</v>
      </c>
      <c r="V179" s="46">
        <f t="shared" si="2"/>
        <v>100</v>
      </c>
      <c r="W179" s="45" t="s">
        <v>1033</v>
      </c>
      <c r="X179" s="45" t="s">
        <v>958</v>
      </c>
      <c r="Y179" s="45" t="s">
        <v>1027</v>
      </c>
    </row>
    <row r="180" spans="1:25" x14ac:dyDescent="0.15">
      <c r="A180" s="45">
        <v>107151</v>
      </c>
      <c r="B180" s="45" t="s">
        <v>662</v>
      </c>
      <c r="C180" s="45" t="s">
        <v>1640</v>
      </c>
      <c r="D180" s="45" t="s">
        <v>663</v>
      </c>
      <c r="E180" s="45"/>
      <c r="F180" s="45"/>
      <c r="G180" s="45"/>
      <c r="H180" s="45" t="s">
        <v>961</v>
      </c>
      <c r="I180" s="45" t="s">
        <v>1021</v>
      </c>
      <c r="J180" s="45" t="s">
        <v>1029</v>
      </c>
      <c r="K180" s="45" t="s">
        <v>1035</v>
      </c>
      <c r="L180" s="45" t="s">
        <v>963</v>
      </c>
      <c r="M180" s="45" t="s">
        <v>1641</v>
      </c>
      <c r="N180" s="45" t="s">
        <v>661</v>
      </c>
      <c r="O180" s="45" t="s">
        <v>1642</v>
      </c>
      <c r="P180" s="45">
        <v>3</v>
      </c>
      <c r="Q180" s="45">
        <v>1</v>
      </c>
      <c r="R180" s="45">
        <v>0</v>
      </c>
      <c r="S180" s="45">
        <v>0</v>
      </c>
      <c r="T180" s="45">
        <v>1</v>
      </c>
      <c r="U180" s="45">
        <v>3</v>
      </c>
      <c r="V180" s="46">
        <f t="shared" si="2"/>
        <v>75</v>
      </c>
      <c r="W180" s="45" t="s">
        <v>1091</v>
      </c>
      <c r="X180" s="45" t="s">
        <v>962</v>
      </c>
      <c r="Y180" s="45" t="s">
        <v>1027</v>
      </c>
    </row>
    <row r="181" spans="1:25" x14ac:dyDescent="0.15">
      <c r="A181" s="45">
        <v>108786</v>
      </c>
      <c r="B181" s="45" t="s">
        <v>662</v>
      </c>
      <c r="C181" s="45" t="s">
        <v>1643</v>
      </c>
      <c r="D181" s="45" t="s">
        <v>663</v>
      </c>
      <c r="E181" s="45"/>
      <c r="F181" s="45"/>
      <c r="G181" s="45"/>
      <c r="H181" s="45" t="s">
        <v>964</v>
      </c>
      <c r="I181" s="45" t="s">
        <v>1021</v>
      </c>
      <c r="J181" s="45" t="s">
        <v>1119</v>
      </c>
      <c r="K181" s="45" t="s">
        <v>1035</v>
      </c>
      <c r="L181" s="45" t="s">
        <v>966</v>
      </c>
      <c r="M181" s="45" t="s">
        <v>1644</v>
      </c>
      <c r="N181" s="45" t="s">
        <v>661</v>
      </c>
      <c r="O181" s="45" t="s">
        <v>1645</v>
      </c>
      <c r="P181" s="45">
        <v>5</v>
      </c>
      <c r="Q181" s="45">
        <v>0</v>
      </c>
      <c r="R181" s="45">
        <v>0</v>
      </c>
      <c r="S181" s="45">
        <v>2</v>
      </c>
      <c r="T181" s="45">
        <v>2</v>
      </c>
      <c r="U181" s="45">
        <v>4</v>
      </c>
      <c r="V181" s="46">
        <f t="shared" si="2"/>
        <v>100</v>
      </c>
      <c r="W181" s="45" t="s">
        <v>1046</v>
      </c>
      <c r="X181" s="45" t="s">
        <v>965</v>
      </c>
      <c r="Y181" s="45" t="s">
        <v>1027</v>
      </c>
    </row>
    <row r="182" spans="1:25" x14ac:dyDescent="0.15">
      <c r="A182" s="45">
        <v>108201</v>
      </c>
      <c r="B182" s="45" t="s">
        <v>662</v>
      </c>
      <c r="C182" s="45" t="s">
        <v>1646</v>
      </c>
      <c r="D182" s="45" t="s">
        <v>663</v>
      </c>
      <c r="E182" s="45"/>
      <c r="F182" s="45"/>
      <c r="G182" s="45"/>
      <c r="H182" s="45" t="s">
        <v>967</v>
      </c>
      <c r="I182" s="45" t="s">
        <v>1021</v>
      </c>
      <c r="J182" s="45" t="s">
        <v>1114</v>
      </c>
      <c r="K182" s="45" t="s">
        <v>1035</v>
      </c>
      <c r="L182" s="45" t="s">
        <v>969</v>
      </c>
      <c r="M182" s="45" t="s">
        <v>1647</v>
      </c>
      <c r="N182" s="45" t="s">
        <v>661</v>
      </c>
      <c r="O182" s="45" t="s">
        <v>1648</v>
      </c>
      <c r="P182" s="45">
        <v>2</v>
      </c>
      <c r="Q182" s="45">
        <v>1</v>
      </c>
      <c r="R182" s="45">
        <v>0</v>
      </c>
      <c r="S182" s="45">
        <v>1</v>
      </c>
      <c r="T182" s="45">
        <v>1</v>
      </c>
      <c r="U182" s="45">
        <v>3</v>
      </c>
      <c r="V182" s="46">
        <f t="shared" si="2"/>
        <v>75</v>
      </c>
      <c r="W182" s="45" t="s">
        <v>1038</v>
      </c>
      <c r="X182" s="45" t="s">
        <v>968</v>
      </c>
      <c r="Y182" s="45" t="s">
        <v>1027</v>
      </c>
    </row>
    <row r="183" spans="1:25" x14ac:dyDescent="0.15">
      <c r="A183" s="45">
        <v>106926</v>
      </c>
      <c r="B183" s="45" t="s">
        <v>662</v>
      </c>
      <c r="C183" s="45" t="s">
        <v>1649</v>
      </c>
      <c r="D183" s="45" t="s">
        <v>663</v>
      </c>
      <c r="E183" s="45" t="s">
        <v>1650</v>
      </c>
      <c r="F183" s="45" t="s">
        <v>1041</v>
      </c>
      <c r="G183" s="45" t="s">
        <v>1651</v>
      </c>
      <c r="H183" s="45" t="s">
        <v>970</v>
      </c>
      <c r="I183" s="45" t="s">
        <v>1021</v>
      </c>
      <c r="J183" s="45" t="s">
        <v>1099</v>
      </c>
      <c r="K183" s="45" t="s">
        <v>1041</v>
      </c>
      <c r="L183" s="45" t="s">
        <v>972</v>
      </c>
      <c r="M183" s="45" t="s">
        <v>1652</v>
      </c>
      <c r="N183" s="45" t="s">
        <v>661</v>
      </c>
      <c r="O183" s="45" t="s">
        <v>1653</v>
      </c>
      <c r="P183" s="45">
        <v>2</v>
      </c>
      <c r="Q183" s="45">
        <v>0</v>
      </c>
      <c r="R183" s="45">
        <v>0</v>
      </c>
      <c r="S183" s="45">
        <v>0</v>
      </c>
      <c r="T183" s="45">
        <v>1</v>
      </c>
      <c r="U183" s="45">
        <v>4</v>
      </c>
      <c r="V183" s="46">
        <f t="shared" si="2"/>
        <v>100</v>
      </c>
      <c r="W183" s="45" t="s">
        <v>1097</v>
      </c>
      <c r="X183" s="45" t="s">
        <v>971</v>
      </c>
      <c r="Y183" s="45" t="s">
        <v>1027</v>
      </c>
    </row>
    <row r="184" spans="1:25" x14ac:dyDescent="0.15">
      <c r="A184" s="45">
        <v>108329</v>
      </c>
      <c r="B184" s="45" t="s">
        <v>671</v>
      </c>
      <c r="C184" s="45" t="s">
        <v>1654</v>
      </c>
      <c r="D184" s="45" t="s">
        <v>663</v>
      </c>
      <c r="E184" s="45"/>
      <c r="F184" s="45"/>
      <c r="G184" s="45"/>
      <c r="H184" s="45" t="s">
        <v>970</v>
      </c>
      <c r="I184" s="45" t="s">
        <v>1021</v>
      </c>
      <c r="J184" s="45" t="s">
        <v>1114</v>
      </c>
      <c r="K184" s="45" t="s">
        <v>1035</v>
      </c>
      <c r="L184" s="45" t="s">
        <v>973</v>
      </c>
      <c r="M184" s="45" t="s">
        <v>1655</v>
      </c>
      <c r="N184" s="45" t="s">
        <v>661</v>
      </c>
      <c r="O184" s="45" t="s">
        <v>1656</v>
      </c>
      <c r="P184" s="45">
        <v>2</v>
      </c>
      <c r="Q184" s="45">
        <v>0</v>
      </c>
      <c r="R184" s="45">
        <v>0</v>
      </c>
      <c r="S184" s="45">
        <v>1</v>
      </c>
      <c r="T184" s="45">
        <v>1</v>
      </c>
      <c r="U184" s="45">
        <v>3</v>
      </c>
      <c r="V184" s="46">
        <f t="shared" si="2"/>
        <v>75</v>
      </c>
      <c r="W184" s="45" t="s">
        <v>1046</v>
      </c>
      <c r="X184" s="45" t="s">
        <v>971</v>
      </c>
      <c r="Y184" s="45" t="s">
        <v>1027</v>
      </c>
    </row>
    <row r="185" spans="1:25" x14ac:dyDescent="0.15">
      <c r="A185" s="45">
        <v>105863</v>
      </c>
      <c r="B185" s="45" t="s">
        <v>662</v>
      </c>
      <c r="C185" s="45" t="s">
        <v>1657</v>
      </c>
      <c r="D185" s="45" t="s">
        <v>663</v>
      </c>
      <c r="E185" s="45" t="s">
        <v>1658</v>
      </c>
      <c r="F185" s="45" t="s">
        <v>1659</v>
      </c>
      <c r="G185" s="45" t="s">
        <v>1660</v>
      </c>
      <c r="H185" s="45" t="s">
        <v>974</v>
      </c>
      <c r="I185" s="45" t="s">
        <v>1021</v>
      </c>
      <c r="J185" s="45" t="s">
        <v>1089</v>
      </c>
      <c r="K185" s="45" t="s">
        <v>1041</v>
      </c>
      <c r="L185" s="45" t="s">
        <v>976</v>
      </c>
      <c r="M185" s="45" t="s">
        <v>1661</v>
      </c>
      <c r="N185" s="45" t="s">
        <v>661</v>
      </c>
      <c r="O185" s="45" t="s">
        <v>1662</v>
      </c>
      <c r="P185" s="45">
        <v>6</v>
      </c>
      <c r="Q185" s="45">
        <v>0</v>
      </c>
      <c r="R185" s="45">
        <v>0</v>
      </c>
      <c r="S185" s="45">
        <v>0</v>
      </c>
      <c r="T185" s="45">
        <v>1</v>
      </c>
      <c r="U185" s="45">
        <v>3</v>
      </c>
      <c r="V185" s="46">
        <f t="shared" si="2"/>
        <v>75</v>
      </c>
      <c r="W185" s="45" t="s">
        <v>1097</v>
      </c>
      <c r="X185" s="45" t="s">
        <v>975</v>
      </c>
      <c r="Y185" s="45" t="s">
        <v>1027</v>
      </c>
    </row>
    <row r="186" spans="1:25" x14ac:dyDescent="0.15">
      <c r="A186" s="45">
        <v>106041</v>
      </c>
      <c r="B186" s="45" t="s">
        <v>700</v>
      </c>
      <c r="C186" s="45" t="s">
        <v>1663</v>
      </c>
      <c r="D186" s="45" t="s">
        <v>663</v>
      </c>
      <c r="E186" s="45"/>
      <c r="F186" s="45"/>
      <c r="G186" s="45"/>
      <c r="H186" s="45" t="s">
        <v>974</v>
      </c>
      <c r="I186" s="45" t="s">
        <v>1021</v>
      </c>
      <c r="J186" s="45" t="s">
        <v>1129</v>
      </c>
      <c r="K186" s="45" t="s">
        <v>1030</v>
      </c>
      <c r="L186" s="45" t="s">
        <v>977</v>
      </c>
      <c r="M186" s="45" t="s">
        <v>1664</v>
      </c>
      <c r="N186" s="45" t="s">
        <v>661</v>
      </c>
      <c r="O186" s="45" t="s">
        <v>1665</v>
      </c>
      <c r="P186" s="45">
        <v>2</v>
      </c>
      <c r="Q186" s="45">
        <v>0</v>
      </c>
      <c r="R186" s="45">
        <v>0</v>
      </c>
      <c r="S186" s="45">
        <v>0</v>
      </c>
      <c r="T186" s="45">
        <v>0</v>
      </c>
      <c r="U186" s="45">
        <v>4</v>
      </c>
      <c r="V186" s="46">
        <f t="shared" si="2"/>
        <v>100</v>
      </c>
      <c r="W186" s="45" t="s">
        <v>1033</v>
      </c>
      <c r="X186" s="45" t="s">
        <v>975</v>
      </c>
      <c r="Y186" s="45" t="s">
        <v>1027</v>
      </c>
    </row>
    <row r="187" spans="1:25" x14ac:dyDescent="0.15">
      <c r="A187" s="45">
        <v>107109</v>
      </c>
      <c r="B187" s="45" t="s">
        <v>662</v>
      </c>
      <c r="C187" s="45" t="s">
        <v>1666</v>
      </c>
      <c r="D187" s="45" t="s">
        <v>663</v>
      </c>
      <c r="E187" s="45"/>
      <c r="F187" s="45"/>
      <c r="G187" s="45"/>
      <c r="H187" s="45" t="s">
        <v>978</v>
      </c>
      <c r="I187" s="45" t="s">
        <v>1021</v>
      </c>
      <c r="J187" s="45" t="s">
        <v>1022</v>
      </c>
      <c r="K187" s="45" t="s">
        <v>1035</v>
      </c>
      <c r="L187" s="45" t="s">
        <v>980</v>
      </c>
      <c r="M187" s="45" t="s">
        <v>1667</v>
      </c>
      <c r="N187" s="45" t="s">
        <v>661</v>
      </c>
      <c r="O187" s="45" t="s">
        <v>1668</v>
      </c>
      <c r="P187" s="45">
        <v>2</v>
      </c>
      <c r="Q187" s="45">
        <v>0</v>
      </c>
      <c r="R187" s="45">
        <v>0</v>
      </c>
      <c r="S187" s="45">
        <v>0</v>
      </c>
      <c r="T187" s="45">
        <v>2</v>
      </c>
      <c r="U187" s="45">
        <v>4</v>
      </c>
      <c r="V187" s="46">
        <f t="shared" si="2"/>
        <v>100</v>
      </c>
      <c r="W187" s="45" t="s">
        <v>1097</v>
      </c>
      <c r="X187" s="45" t="s">
        <v>979</v>
      </c>
      <c r="Y187" s="45" t="s">
        <v>1027</v>
      </c>
    </row>
    <row r="188" spans="1:25" x14ac:dyDescent="0.15">
      <c r="A188" s="45">
        <v>109811</v>
      </c>
      <c r="B188" s="45" t="s">
        <v>684</v>
      </c>
      <c r="C188" s="45" t="s">
        <v>1669</v>
      </c>
      <c r="D188" s="45" t="s">
        <v>685</v>
      </c>
      <c r="E188" s="45"/>
      <c r="F188" s="45"/>
      <c r="G188" s="45"/>
      <c r="H188" s="45" t="s">
        <v>978</v>
      </c>
      <c r="I188" s="45" t="s">
        <v>1043</v>
      </c>
      <c r="J188" s="45" t="s">
        <v>981</v>
      </c>
      <c r="K188" s="45" t="s">
        <v>1030</v>
      </c>
      <c r="L188" s="45" t="s">
        <v>981</v>
      </c>
      <c r="M188" s="45" t="s">
        <v>1670</v>
      </c>
      <c r="N188" s="45" t="s">
        <v>661</v>
      </c>
      <c r="O188" s="45" t="s">
        <v>1671</v>
      </c>
      <c r="P188" s="45">
        <v>2</v>
      </c>
      <c r="Q188" s="45">
        <v>0</v>
      </c>
      <c r="R188" s="45">
        <v>0</v>
      </c>
      <c r="S188" s="45">
        <v>0</v>
      </c>
      <c r="T188" s="45">
        <v>0</v>
      </c>
      <c r="U188" s="45">
        <v>4</v>
      </c>
      <c r="V188" s="46">
        <f t="shared" si="2"/>
        <v>100</v>
      </c>
      <c r="W188" s="45" t="s">
        <v>1033</v>
      </c>
      <c r="X188" s="45" t="s">
        <v>979</v>
      </c>
      <c r="Y188" s="45" t="s">
        <v>1027</v>
      </c>
    </row>
    <row r="189" spans="1:25" x14ac:dyDescent="0.15">
      <c r="A189" s="45">
        <v>94194</v>
      </c>
      <c r="B189" s="45" t="s">
        <v>901</v>
      </c>
      <c r="C189" s="45" t="s">
        <v>1672</v>
      </c>
      <c r="D189" s="45" t="s">
        <v>663</v>
      </c>
      <c r="E189" s="45"/>
      <c r="F189" s="45"/>
      <c r="G189" s="45"/>
      <c r="H189" s="45" t="s">
        <v>982</v>
      </c>
      <c r="I189" s="45" t="s">
        <v>1021</v>
      </c>
      <c r="J189" s="45" t="s">
        <v>1095</v>
      </c>
      <c r="K189" s="45" t="s">
        <v>1030</v>
      </c>
      <c r="L189" s="45" t="s">
        <v>984</v>
      </c>
      <c r="M189" s="45" t="s">
        <v>1673</v>
      </c>
      <c r="N189" s="45" t="s">
        <v>840</v>
      </c>
      <c r="O189" s="45" t="s">
        <v>1674</v>
      </c>
      <c r="P189" s="45">
        <v>2</v>
      </c>
      <c r="Q189" s="45">
        <v>0</v>
      </c>
      <c r="R189" s="45">
        <v>0</v>
      </c>
      <c r="S189" s="45">
        <v>0</v>
      </c>
      <c r="T189" s="45">
        <v>0</v>
      </c>
      <c r="U189" s="45">
        <v>0</v>
      </c>
      <c r="V189" s="46">
        <f t="shared" si="2"/>
        <v>0</v>
      </c>
      <c r="W189" s="45" t="s">
        <v>1033</v>
      </c>
      <c r="X189" s="45" t="s">
        <v>983</v>
      </c>
      <c r="Y189" s="45" t="s">
        <v>1027</v>
      </c>
    </row>
    <row r="190" spans="1:25" x14ac:dyDescent="0.15">
      <c r="A190" s="45">
        <v>97055</v>
      </c>
      <c r="B190" s="45" t="s">
        <v>841</v>
      </c>
      <c r="C190" s="45" t="s">
        <v>1675</v>
      </c>
      <c r="D190" s="45" t="s">
        <v>663</v>
      </c>
      <c r="E190" s="45"/>
      <c r="F190" s="45"/>
      <c r="G190" s="45"/>
      <c r="H190" s="45" t="s">
        <v>982</v>
      </c>
      <c r="I190" s="45" t="s">
        <v>1021</v>
      </c>
      <c r="J190" s="45" t="s">
        <v>1095</v>
      </c>
      <c r="K190" s="45" t="s">
        <v>1030</v>
      </c>
      <c r="L190" s="45" t="s">
        <v>985</v>
      </c>
      <c r="M190" s="45" t="s">
        <v>1673</v>
      </c>
      <c r="N190" s="45" t="s">
        <v>840</v>
      </c>
      <c r="O190" s="45" t="s">
        <v>1676</v>
      </c>
      <c r="P190" s="45">
        <v>2</v>
      </c>
      <c r="Q190" s="45">
        <v>0</v>
      </c>
      <c r="R190" s="45">
        <v>0</v>
      </c>
      <c r="S190" s="45">
        <v>0</v>
      </c>
      <c r="T190" s="45">
        <v>0</v>
      </c>
      <c r="U190" s="45">
        <v>0</v>
      </c>
      <c r="V190" s="46">
        <f t="shared" si="2"/>
        <v>0</v>
      </c>
      <c r="W190" s="45" t="s">
        <v>1033</v>
      </c>
      <c r="X190" s="45" t="s">
        <v>983</v>
      </c>
      <c r="Y190" s="45" t="s">
        <v>1027</v>
      </c>
    </row>
    <row r="191" spans="1:25" x14ac:dyDescent="0.15">
      <c r="A191" s="45">
        <v>103892</v>
      </c>
      <c r="B191" s="45" t="s">
        <v>940</v>
      </c>
      <c r="C191" s="45" t="s">
        <v>1677</v>
      </c>
      <c r="D191" s="45" t="s">
        <v>663</v>
      </c>
      <c r="E191" s="45"/>
      <c r="F191" s="45"/>
      <c r="G191" s="45"/>
      <c r="H191" s="45" t="s">
        <v>982</v>
      </c>
      <c r="I191" s="45" t="s">
        <v>1021</v>
      </c>
      <c r="J191" s="45" t="s">
        <v>1095</v>
      </c>
      <c r="K191" s="45" t="s">
        <v>1030</v>
      </c>
      <c r="L191" s="45" t="s">
        <v>986</v>
      </c>
      <c r="M191" s="45" t="s">
        <v>1673</v>
      </c>
      <c r="N191" s="45" t="s">
        <v>840</v>
      </c>
      <c r="O191" s="45" t="s">
        <v>1678</v>
      </c>
      <c r="P191" s="45">
        <v>2</v>
      </c>
      <c r="Q191" s="45">
        <v>0</v>
      </c>
      <c r="R191" s="45">
        <v>0</v>
      </c>
      <c r="S191" s="45">
        <v>0</v>
      </c>
      <c r="T191" s="45">
        <v>0</v>
      </c>
      <c r="U191" s="45">
        <v>0</v>
      </c>
      <c r="V191" s="46">
        <f t="shared" si="2"/>
        <v>0</v>
      </c>
      <c r="W191" s="45" t="s">
        <v>1033</v>
      </c>
      <c r="X191" s="45" t="s">
        <v>983</v>
      </c>
      <c r="Y191" s="45" t="s">
        <v>1027</v>
      </c>
    </row>
    <row r="192" spans="1:25" ht="15" x14ac:dyDescent="0.15">
      <c r="A192" s="56" t="s">
        <v>1679</v>
      </c>
      <c r="B192" s="56"/>
      <c r="C192" s="56"/>
      <c r="D192" s="56"/>
      <c r="E192" s="56"/>
      <c r="F192" s="56"/>
      <c r="G192" s="56"/>
      <c r="H192" s="56"/>
      <c r="I192" s="56"/>
      <c r="J192" s="56"/>
      <c r="K192" s="56"/>
      <c r="L192" s="56"/>
      <c r="M192" s="56"/>
      <c r="N192" s="56"/>
      <c r="O192" s="56"/>
      <c r="P192" s="56"/>
      <c r="Q192" s="56"/>
      <c r="R192" s="56"/>
      <c r="S192" s="56"/>
      <c r="T192" s="56"/>
      <c r="U192" s="56">
        <f>SUMIF($Y$2:$Y$191, "X", U2:U191)</f>
        <v>484</v>
      </c>
      <c r="V192" s="57">
        <f>SUMIF($Y$2:$Y$191, "X", V2:V191)</f>
        <v>12100</v>
      </c>
      <c r="W192" s="56"/>
      <c r="X192" s="56"/>
      <c r="Y192" s="56"/>
    </row>
    <row r="193" spans="1:25" ht="15" x14ac:dyDescent="0.2">
      <c r="U193" s="58">
        <f>U192</f>
        <v>484</v>
      </c>
      <c r="V193" s="59">
        <f>V192</f>
        <v>12100</v>
      </c>
    </row>
    <row r="194" spans="1:25" ht="15" x14ac:dyDescent="0.15">
      <c r="A194" s="48"/>
      <c r="B194" s="48"/>
      <c r="C194" s="48"/>
      <c r="D194" s="48"/>
      <c r="E194" s="48"/>
      <c r="F194" s="48"/>
      <c r="G194" s="48"/>
      <c r="H194" s="48"/>
      <c r="I194" s="48"/>
      <c r="J194" s="48"/>
      <c r="K194" s="48"/>
      <c r="L194" s="48"/>
      <c r="M194" s="45" t="s">
        <v>987</v>
      </c>
      <c r="N194" s="48"/>
      <c r="O194" s="48"/>
      <c r="P194" s="48"/>
      <c r="Q194" s="48"/>
      <c r="R194" s="48"/>
      <c r="S194" s="48"/>
      <c r="T194" s="60">
        <v>25</v>
      </c>
      <c r="U194" s="45">
        <v>40</v>
      </c>
      <c r="V194" s="49">
        <f>U194*T194</f>
        <v>1000</v>
      </c>
      <c r="W194" s="48"/>
      <c r="X194" s="45" t="s">
        <v>988</v>
      </c>
      <c r="Y194" s="47" t="s">
        <v>1027</v>
      </c>
    </row>
    <row r="195" spans="1:25" x14ac:dyDescent="0.15">
      <c r="A195" s="48"/>
      <c r="B195" s="48"/>
      <c r="C195" s="48"/>
      <c r="D195" s="48"/>
      <c r="E195" s="48"/>
      <c r="F195" s="48"/>
      <c r="G195" s="48"/>
      <c r="H195" s="47" t="s">
        <v>730</v>
      </c>
      <c r="I195" s="48"/>
      <c r="J195" s="48"/>
      <c r="K195" s="48"/>
      <c r="L195" s="48"/>
      <c r="M195" s="45" t="s">
        <v>987</v>
      </c>
      <c r="N195" s="48"/>
      <c r="O195" s="48"/>
      <c r="P195" s="48"/>
      <c r="Q195" s="48"/>
      <c r="R195" s="48"/>
      <c r="S195" s="48"/>
      <c r="T195" s="48"/>
      <c r="U195" s="45">
        <v>20</v>
      </c>
      <c r="V195" s="49">
        <f>U195*T194</f>
        <v>500</v>
      </c>
      <c r="W195" s="48"/>
      <c r="X195" s="45" t="s">
        <v>731</v>
      </c>
      <c r="Y195" s="47" t="s">
        <v>1027</v>
      </c>
    </row>
    <row r="196" spans="1:25" ht="15" x14ac:dyDescent="0.2">
      <c r="A196" s="61"/>
      <c r="B196" s="61"/>
      <c r="C196" s="61"/>
      <c r="D196" s="61"/>
      <c r="E196" s="61"/>
      <c r="F196" s="61"/>
      <c r="G196" s="61"/>
      <c r="H196" s="61"/>
      <c r="I196" s="61"/>
      <c r="J196" s="61"/>
      <c r="K196" s="61"/>
      <c r="L196" s="61"/>
      <c r="M196" s="61"/>
      <c r="N196" s="61"/>
      <c r="O196" s="61"/>
      <c r="P196" s="61"/>
      <c r="Q196" s="61"/>
      <c r="R196" s="61"/>
      <c r="S196" s="61"/>
      <c r="T196" s="61"/>
      <c r="U196" s="62">
        <f>SUM(U193:U195)</f>
        <v>544</v>
      </c>
      <c r="V196" s="63">
        <f>SUM(V193:V195)</f>
        <v>13600</v>
      </c>
      <c r="W196" s="61"/>
      <c r="X196" s="61"/>
      <c r="Y196" s="61"/>
    </row>
    <row r="197" spans="1:25" ht="14" thickBot="1" x14ac:dyDescent="0.2"/>
    <row r="198" spans="1:25" ht="17" thickBot="1" x14ac:dyDescent="0.25">
      <c r="T198" s="64" t="s">
        <v>1680</v>
      </c>
      <c r="U198" s="65">
        <f>U196</f>
        <v>544</v>
      </c>
    </row>
    <row r="199" spans="1:25" ht="14" thickBot="1" x14ac:dyDescent="0.2">
      <c r="U199" s="42"/>
    </row>
    <row r="200" spans="1:25" ht="20" thickBot="1" x14ac:dyDescent="0.3">
      <c r="T200" s="66" t="s">
        <v>1681</v>
      </c>
      <c r="U200" s="67" t="s">
        <v>660</v>
      </c>
      <c r="V200" s="68">
        <f>V196</f>
        <v>13600</v>
      </c>
    </row>
  </sheetData>
  <conditionalFormatting sqref="A2:Y191 T194 M194:M195 U194:U195 X194:X195">
    <cfRule type="expression" dxfId="0" priority="1">
      <formula>$Y2="X"</formula>
    </cfRule>
  </conditionalFormatting>
  <dataValidations count="374">
    <dataValidation type="custom" allowBlank="1" showInputMessage="1" promptTitle="Detalle: Mensaje de Resolución" prompt="Se cierra tk" sqref="M189:M191" xr:uid="{3A27E3DA-A3E0-A242-A8A0-0F97F4DDF328}">
      <formula1>TRUE</formula1>
    </dataValidation>
    <dataValidation type="custom" allowBlank="1" showInputMessage="1" promptTitle="Detalle: Mensaje de Resolución" prompt="Estimados,_x000a__x000a_Se paso por el local y se calibro equipo_x000a__x000a_Saludos." sqref="M188" xr:uid="{D4A4305C-0940-CC43-960E-B214E2832B26}">
      <formula1>TRUE</formula1>
    </dataValidation>
    <dataValidation type="custom" allowBlank="1" showInputMessage="1" promptTitle="Detalle: Mensaje de Resolución" prompt="LOCAL: Wilde (2 horas de trabajo)_x000a_Ticket #107109_x000a_Cimbali 2095738_x000a_Equipo con muelas trabadas, se abrió, limpio, se realizó puesta cero y calibración de café ,se regulo espuma" sqref="M187" xr:uid="{45E34A02-C8FE-9E42-92F4-6127AEBC630A}">
      <formula1>TRUE</formula1>
    </dataValidation>
    <dataValidation type="custom" allowBlank="1" showInputMessage="1" promptTitle="Detalle: Mensaje de Resolución" prompt="Duración de trabajo 1:30hs_x000a_Tecnico a cargo: Mauro Husak_x000a_Se reinician térmicos de caldera y se limpia grupo, se revisa perdida de agua de tetera queda operando correctamente_x000a__x000a_Saludos." sqref="M186" xr:uid="{01636C5D-8386-134C-91A7-7D11DA4EB7B0}">
      <formula1>TRUE</formula1>
    </dataValidation>
    <dataValidation type="custom" allowBlank="1" showInputMessage="1" promptTitle="Detalle: Mensaje de Resolución" prompt="Cafetera villa del parque _x000a_N*de ticket:105863_x000a_N*serie:2095734_x000a_Horas realizadas:1h_x000a__x000a_Se encontró en la mm1 y mm2 pedazos de madera y plástico _x000a_Se sustrajeron. Se realizó puesta a cero y calibración de las mismas_x000a__x000a_Se recomienda que si pasaron todas las " sqref="M185" xr:uid="{C346F66D-9BDE-4D41-B8E9-2F6B870D58D7}">
      <formula1>TRUE</formula1>
    </dataValidation>
    <dataValidation type="custom" allowBlank="1" showInputMessage="1" promptTitle="Detalle: Mensaje de Resolución" prompt="Cafetera Urquiza (1 hora  de trabajo)_x000a_Cimbali 1843850_x000a_Tiket #108329_x000a_Se limpio todo el circuito de leche encontrando la bomba de leche tapada con un freno de café impidiendo q circule la leche, de destapó se volvió a armar todo el circuito completo, s" sqref="M184" xr:uid="{B878BA92-794D-3749-973E-B38EC8BA15D6}">
      <formula1>TRUE</formula1>
    </dataValidation>
    <dataValidation type="custom" allowBlank="1" showInputMessage="1" promptTitle="Detalle: Mensaje de Resolución" prompt="Cafetera villa Urquiza _x000a_N de ticket:106926_x000a_N de serie: 1857847/1843850_x000a_Tiempo en servicio 1h:30m_x000a__x000a_Se encontró con las 2 cafeteras no estaban molienda la mm2_x000a_Se realizó una puesta 0 y se calibraron moliendas._x000a_Se destapó Desagote ya que estaba tapado c" sqref="M183" xr:uid="{260FF8F2-6492-9D4F-B0C7-91EA09B40A92}">
      <formula1>TRUE</formula1>
    </dataValidation>
    <dataValidation type="custom" allowBlank="1" showInputMessage="1" promptTitle="Detalle: Mensaje de Resolución" prompt="Cafetera San Telmo (1 hora de trabajo)_x000a_Cimbali 1850073_x000a_Tiket# 108201_x000a_Molienda mm1 trabada con rama y empastadas con café húmedo, se abrieron ambas mueras y se realizo puesta cero y calibración, se recomienda cambio de muelas ya q las mismas se encuen" sqref="M182" xr:uid="{77E2645F-553B-3A4E-B45F-2AE22DBC5EAC}">
      <formula1>TRUE</formula1>
    </dataValidation>
    <dataValidation type="custom" allowBlank="1" showInputMessage="1" promptTitle="Detalle: Mensaje de Resolución" prompt="Cafetera san Miguel auto (2 horas de trabajo)_x000a_Cimbali 2036154_x000a_Tiket #108786_x000a_Se realizó puesta cero y calibración por gramaje, muelas con café húmedo y empastado, se encontró con grupo soltando la pastilla muy mojada debido al desgaste de orings tanto" sqref="M181" xr:uid="{E059FEC4-3175-1647-AECD-92EB6955BFC2}">
      <formula1>TRUE</formula1>
    </dataValidation>
    <dataValidation type="custom" allowBlank="1" showInputMessage="1" promptTitle="Detalle: Mensaje de Resolución" prompt="Cafetera san Miguel 3(1 hora de trabajo)_x000a_Cimbali 2096509_x000a_Tiket#107151_x000a_Molienda mm1 trabada con madera, se destrabó, se abrieron ambas muelas,puesta cero y calibración, equipo operando con normalidad,se reviso lote q se estaba usando y se encontraron " sqref="M180" xr:uid="{FDFDE8BE-8C28-2343-801F-99F52A46C3BD}">
      <formula1>TRUE</formula1>
    </dataValidation>
    <dataValidation type="custom" allowBlank="1" showInputMessage="1" promptTitle="Detalle: Mensaje de Resolución" prompt="Estimados,_x000a__x000a_Se reemplaza fusible de equipo y se deja el mismo operando._x000a__x000a_Saludos." sqref="M179" xr:uid="{F8CA52E3-05D5-3748-888B-05E05F96F609}">
      <formula1>TRUE</formula1>
    </dataValidation>
    <dataValidation type="custom" allowBlank="1" showInputMessage="1" promptTitle="Detalle: Mensaje de Resolución" prompt="Cafetera san Martín peatonal (1 hora de trabajo)_x000a_Cimbali: 2107577_x000a_Tiket#107335_x000a_El local destrabó las moliendas pero no se le realizó puesta cero ni calibración al equipo lo q hacia q no pase el café, se abrió y se realizó puesta cero y calibración, e" sqref="M178" xr:uid="{C9848A18-FBED-8549-8B83-8540231371A3}">
      <formula1>TRUE</formula1>
    </dataValidation>
    <dataValidation type="custom" allowBlank="1" showInputMessage="1" promptTitle="Detalle: Mensaje de Resolución" prompt="Cafetera San Martín auto_x000a_N de ticket:106690_x000a_N de serie:1978013/1970909_x000a_Tiempo en servicio :3h 30m_x000a__x000a_Se encontró con que la cafetera le faltaba suministro de agua (error 66)_x000a_se sustrajo la bomba limpiándole el filtro de agua (lleno de caucho)._x000a_Se sacó " sqref="M177" xr:uid="{98A2A7AD-2311-534B-9095-8D62359A39F5}">
      <formula1>TRUE</formula1>
    </dataValidation>
    <dataValidation type="custom" allowBlank="1" showInputMessage="1" promptTitle="Detalle: Mensaje de Resolución" prompt="Estimados, _x000a__x000a_Se cierra tk ya que se generaron 3 por el mismo incidente._x000a__x000a_Saludos." sqref="M175:M176" xr:uid="{05461313-7A50-5E45-BC45-90D8D2699595}">
      <formula1>TRUE</formula1>
    </dataValidation>
    <dataValidation type="custom" allowBlank="1" showInputMessage="1" promptTitle="Detalle: Mensaje de Resolución" prompt="Paninera san justo (1 hora de trabajo)_x000a_Tiket#108992_x000a_Se acomodo resorte de la paninera y se realizó preventiva ,equipo operando" sqref="M174" xr:uid="{2364C42D-5937-684A-B944-0A5F5E3424AC}">
      <formula1>TRUE</formula1>
    </dataValidation>
    <dataValidation type="custom" allowBlank="1" showInputMessage="1" promptTitle="Detalle: Mensaje de Resolución" prompt="Freidora san justo pestonal (2 horas de trabajo)_x000a_Tiket#108991_x000a_Se realizó limpieza de picos de gas, quemadores, piloto, pico del piloto, Termópilas y caño de piloto, con desengrasante, se ensamblo todo en su lugar y quedó operando sin explosión, se re" sqref="M173" xr:uid="{4ABDABE7-A9F5-E145-ABC9-B0C67D3B5455}">
      <formula1>TRUE</formula1>
    </dataValidation>
    <dataValidation type="custom" allowBlank="1" showInputMessage="1" promptTitle="Detalle: Mensaje de Resolución" prompt="Estimados,_x000a__x000a_Se cierra el tk ya que el mismo se encuentra triplicado. Se continua por el otro._x000a__x000a_Saludos." sqref="M171:M172" xr:uid="{9AE63CDD-B8D5-E14B-A61D-E093754F2C61}">
      <formula1>TRUE</formula1>
    </dataValidation>
    <dataValidation type="custom" allowBlank="1" showInputMessage="1" promptTitle="Detalle: Mensaje de Resolución" prompt="Cafetera san justo peatonal (1 hora de trabajo)_x000a_Cimbali 1840208_x000a_Tiket#108338_x000a_Se realizó puesta cero y calibración de muelas, se calibro espuma, falta filtro de leche _x000a_Repuestos: filtro de leche" sqref="M170" xr:uid="{3AF46AD4-6993-454F-B488-9EF684BCEC9F}">
      <formula1>TRUE</formula1>
    </dataValidation>
    <dataValidation type="custom" allowBlank="1" showInputMessage="1" promptTitle="Detalle: Mensaje de Resolución" prompt="Cafetera san justo peatonal (2 horas de trabajo)_x000a_Tiket: #106207_x000a_Serial:1840208_x000a_Se encontró moliendas trabadas con ramas en ambas, se destrabó, se realizó puesta cero y calibración de las mismas, el equipo quedó operando con normalidad_x000a_Observaciones:n" sqref="M169" xr:uid="{016AC326-0162-8C49-85C6-F8F9DE89A650}">
      <formula1>TRUE</formula1>
    </dataValidation>
    <dataValidation type="custom" allowBlank="1" showInputMessage="1" promptTitle="Detalle: Mensaje de Resolución" prompt="Estimados,_x000a__x000a_Se cierra tk repetido. Ya se crearon 3 tk por lo mismo._x000a__x000a_Saludos." sqref="M168" xr:uid="{0D3F8322-9862-D34E-9514-98DD0A9F41F5}">
      <formula1>TRUE</formula1>
    </dataValidation>
    <dataValidation type="custom" allowBlank="1" showInputMessage="1" promptTitle="Detalle: Mensaje de Resolución" prompt="Se revisa horno por completo y no se encuentra desperfecto . Se chequea la tensión de entrada y por el momento es la adecuada. En caso de que vuelva a suceder, deberíamos de ver la posibilidad de instalar un elevador de tension_x000a__x000a_Saludos" sqref="M167" xr:uid="{96245F82-1B12-2244-8670-F12CD05368F0}">
      <formula1>TRUE</formula1>
    </dataValidation>
    <dataValidation type="custom" allowBlank="1" showInputMessage="1" promptTitle="Detalle: Mensaje de Resolución" prompt="San isidro (1hora)_x000a_Melita_x000a_Tiket:106949_x000a_Equipo con molienda una trabada se destrabó y quedó operando con normalidad, el equipo se calibrar solo" sqref="M166" xr:uid="{332EA406-E031-0146-8749-024B320C19B1}">
      <formula1>TRUE</formula1>
    </dataValidation>
    <dataValidation type="custom" allowBlank="1" showInputMessage="1" promptTitle="Detalle: Mensaje de Resolución" prompt="San isidro franquicia (1 hora de trabajo)_x000a_Tiket: 106054_x000a_Frezzer de carnes no llega a temperatura se reviso y tenía el forzador con elige doblada y clavada impidiendo ventilar el condensador del equipo,se enderezó y se realizó un preventivo del conden" sqref="M165" xr:uid="{65EB392F-8BC0-1049-A1E9-0138A6C4766D}">
      <formula1>TRUE</formula1>
    </dataValidation>
    <dataValidation type="custom" allowBlank="1" showInputMessage="1" promptTitle="Detalle: Mensaje de Resolución" prompt="Estimados,_x000a__x000a_Se revisa la heladera bajo mesada. Se denota un fuerte sonido en el compresor lo cual da indicio de un desgaste prematuro._x000a_Por favor, ver con deposito la garantia del mismo._x000a__x000a_Gracias." sqref="M164" xr:uid="{3B17E157-56E1-4147-A688-D22C89AC6910}">
      <formula1>TRUE</formula1>
    </dataValidation>
    <dataValidation type="custom" allowBlank="1" showInputMessage="1" promptTitle="Detalle: Mensaje de Resolución" prompt="Tiempo de servicio: 1:30hrs_x000a__x000a_Se le cambio la bomba de leche averiada por la nueva y ya logra absorber bien la leche desde dentro del bajomesada, se tuvo que cortar parte de la manguera ya que tenía un corte y perdía por ahí. También se necesita el ac" sqref="M163" xr:uid="{7F081A10-41A2-1445-A0A8-8DD5F7DE04AD}">
      <formula1>TRUE</formula1>
    </dataValidation>
    <dataValidation type="custom" allowBlank="1" showInputMessage="1" promptTitle="Detalle: Mensaje de Resolución" prompt="Tiempo de servicio: 1:30 hr_x000a_Se destrabo, limpio y calibro ambas moliendas, también se les realizó puesta a 0. Se observo  qla bomba de leche tiene poca fuerza lo que indica que le queda poca vida útil ya que  estando en el bajomesada no logra subir l" sqref="M162" xr:uid="{30DECFF2-460C-0844-AA8E-0534D0A5317C}">
      <formula1>TRUE</formula1>
    </dataValidation>
    <dataValidation type="custom" allowBlank="1" showInputMessage="1" promptTitle="Detalle: Mensaje de Resolución" prompt="Cafetera san Fernando (1 hora de trabajo)_x000a_Cimbali 1851676_x000a_Tiket#108925_x000a_Se desarmo y limpio bomba de leche observando q los ejes presentan mucho desgaste causando q la misma  pierda potencia de succión, a si vez la lechera se encuentra a desnivel de l" sqref="M161" xr:uid="{A6F32250-68B4-B545-B4CA-CF641C531D80}">
      <formula1>TRUE</formula1>
    </dataValidation>
    <dataValidation type="custom" allowBlank="1" showInputMessage="1" promptTitle="Detalle: Mensaje de Resolución" prompt="Cafetera San Fernando (1 hora de trabajo)_x000a_Cimbali 1851676_x000a_Tiket# 108259_x000a_Molienda mm1 trabada con café empastado en la muela, se abrieron ambas muelas, se realizó puesta cero y calibración, bolsa nueva de café y quedó operando, se regulo espuma y caud" sqref="M160" xr:uid="{CA978C19-806F-B944-9919-AA1F5F000773}">
      <formula1>TRUE</formula1>
    </dataValidation>
    <dataValidation type="custom" allowBlank="1" showInputMessage="1" promptTitle="Detalle: Mensaje de Resolución" prompt="En la visita se realizo una limpieza de moliendas en la que se encontró trozos de madera la cual no permitían moler el cafe y trababa las muelas, también se limpio el pico de café, se calibraron moliendas y se realizo puesta a 0_x000a_Tiempo de servicio: 4" sqref="M159" xr:uid="{7D9D44E5-E32C-424C-9C0E-84C2EC7E435F}">
      <formula1>TRUE</formula1>
    </dataValidation>
    <dataValidation type="custom" allowBlank="1" showInputMessage="1" promptTitle="Detalle: Mensaje de Resolución" prompt="Cafetera San Fernando _x000a_Ticket n*106334_x000a_Serie n*1851676_x000a_Horas realizadas:1h:30m_x000a__x000a_Se encontró mm2 sin funcionar, se encontró un pedazo de madera._x000a_Se hizo puesta cero y se calibro  dicha molienda._x000a__x000a_Se recomienda que consigan filtro de leche y poner hela" sqref="M158" xr:uid="{1A02EFAE-BE80-9544-9736-628E783E59D3}">
      <formula1>TRUE</formula1>
    </dataValidation>
    <dataValidation type="custom" allowBlank="1" showInputMessage="1" promptTitle="Detalle: Mensaje de Resolución" prompt="Estimados,_x000a__x000a_Se hace una puesta a cero, se limpian las moliendas y se calibran las mismas._x000a__x000a_Saludos" sqref="M157" xr:uid="{68F06139-1F26-624A-8FDE-286737602AEB}">
      <formula1>TRUE</formula1>
    </dataValidation>
    <dataValidation type="custom" allowBlank="1" showInputMessage="1" promptTitle="Detalle: Mensaje de Resolución" prompt="Estimados,_x000a__x000a_Se hablo con Fabrizio Bollero. Se cierra tk_x000a__x000a_Saludos." sqref="M156" xr:uid="{FB029839-ECEB-BC42-84C6-DDBD2B0B69C4}">
      <formula1>TRUE</formula1>
    </dataValidation>
    <dataValidation type="custom" allowBlank="1" showInputMessage="1" promptTitle="Detalle: Mensaje de Resolución" prompt="Estimados, buenos dias._x000a__x000a_Los repuestos de solicitan por mail al deposito, poniendo en copia a Cmerlo@mostazaweb.com.ar_x000a__x000a_Luego cuando les lleguen los repuestos, nos realizan el tk_x000a__x000a_Saludos." sqref="M155" xr:uid="{EC12B47F-F619-C549-B2B4-1E27B38725D6}">
      <formula1>TRUE</formula1>
    </dataValidation>
    <dataValidation type="custom" allowBlank="1" showInputMessage="1" promptTitle="Detalle: Mensaje de Resolución" prompt="Estimados,_x000a__x000a_Deben solicitar a depósito las chapas adicionales para su adaptación. A su vez, hacer el tk en la categoría otros y no en cafeteras. La prioridad debería ser baja, no urgente._x000a__x000a_Saludos" sqref="M154" xr:uid="{6ACDD356-6415-4C49-894A-EBFD180761C8}">
      <formula1>TRUE</formula1>
    </dataValidation>
    <dataValidation type="custom" allowBlank="1" showInputMessage="1" promptTitle="Detalle: Mensaje de Resolución" prompt="Estimados,_x000a__x000a_Se cierra tk, ya que hay dos por el mismo tema._x000a__x000a_Saludos." sqref="M153" xr:uid="{559E4B1F-8A89-2342-9732-89443D35EAD6}">
      <formula1>TRUE</formula1>
    </dataValidation>
    <dataValidation type="custom" allowBlank="1" showInputMessage="1" promptTitle="Detalle: Mensaje de Resolución" prompt="Estimados,_x000a__x000a_Paso Francisco y comento que la bomba de leche no tiene el rendimiento adecuado. Por favor, realicen el recambio con el depósito y cuando llegue la nueva bomba de leche, la instalamos._x000a__x000a_Gracias" sqref="M152" xr:uid="{0D24E318-3D27-0C4B-B663-DAB5229005A0}">
      <formula1>TRUE</formula1>
    </dataValidation>
    <dataValidation type="custom" allowBlank="1" showInputMessage="1" promptTitle="Detalle: Mensaje de Resolución" prompt="Estimados,_x000a__x000a_Se enviua presupuesto por sensor de temperatura. Por favor, una vez que cuenten con dicho repuesto, generen nuevamente el tk para que vayamos a instalar_x000a__x000a_Saludos." sqref="M151" xr:uid="{F66CC568-153B-4E4B-B1AD-300A58BE49D2}">
      <formula1>TRUE</formula1>
    </dataValidation>
    <dataValidation type="custom" allowBlank="1" showInputMessage="1" promptTitle="Detalle: Mensaje de Resolución" prompt="Estimados, _x000a__x000a_Se reemplaza la bomba de leche. Queda el equipo operativo. Se realiza calibracion de gramaje _x000a__x000a_Saludos." sqref="M150" xr:uid="{51D0875A-8E29-7041-8629-36EC3D0EC6A7}">
      <formula1>TRUE</formula1>
    </dataValidation>
    <dataValidation type="custom" allowBlank="1" showInputMessage="1" promptTitle="Detalle: Mensaje de Resolución" prompt="Cafetera ramos (1 hora de trabajo)_x000a_Tiket#110126_x000a_Melita _x000a_Se realizó calibración automática del equipo molienda mm1 y mm2, equipo operando" sqref="M149" xr:uid="{286C3379-E4E9-6142-8822-82C90CC75F63}">
      <formula1>TRUE</formula1>
    </dataValidation>
    <dataValidation type="custom" allowBlank="1" showInputMessage="1" promptTitle="Detalle: Mensaje de Resolución" prompt="Ramos (3 horas de trabajo)_x000a_Freidora locatelli _x000a_Tiket#109354_x000a_El equipo una vez llegado a temperatura y quedar en piloto de pasaba de temperatura, el problema era q la llama del piloto era demasiado grande sumándole a eso el poco uso del equipo gradual" sqref="M148" xr:uid="{62EC7DA6-A5E2-4843-A0AB-D97374B1DA6C}">
      <formula1>TRUE</formula1>
    </dataValidation>
    <dataValidation type="custom" allowBlank="1" showInputMessage="1" promptTitle="Detalle: Mensaje de Resolución" prompt="Estimados,_x000a__x000a_Esto fue resuelto por Leyes Bruno_x000a__x000a_Saludos." sqref="M147" xr:uid="{6A004227-611A-B543-A7A1-F8CB58B47B32}">
      <formula1>TRUE</formula1>
    </dataValidation>
    <dataValidation type="custom" allowBlank="1" showInputMessage="1" promptTitle="Detalle: Mensaje de Resolución" prompt="Se compenso el faltante de temperatura abriéndo la presión de salida de gas de del piloto" sqref="M146" xr:uid="{7F350D8C-7F60-9F48-9BBB-8AD597330705}">
      <formula1>TRUE</formula1>
    </dataValidation>
    <dataValidation type="custom" allowBlank="1" showInputMessage="1" promptTitle="Detalle: Mensaje de Resolución" prompt="Estimados,_x000a__x000a_Se destraba tostadora. En caso de que vuelva a suceder por favor solicitar cambio de bandas siliconadas _x000a_._x000a__x000a_Saludos" sqref="M143" xr:uid="{9EB55841-D4DE-9B42-A63D-4B8562907C17}">
      <formula1>TRUE</formula1>
    </dataValidation>
    <dataValidation type="custom" allowBlank="1" showInputMessage="1" promptTitle="Detalle: Mensaje de Resolución" prompt="Mostaza ramos;_x000a_N de ticket;_x000a_Tiempo de servicio: 30m_x000a__x000a_Se encontró con las freidoras no encendían piloto ni quemadores así mismo tiraban falla._x000a_la válvula de entrada de gas estaba cerrada, se abrió y se encendieron piloto y quemadores correctamente _x000a__x000a_E" sqref="M142" xr:uid="{93497083-2662-1740-9C51-94B245E7EDDE}">
      <formula1>TRUE</formula1>
    </dataValidation>
    <dataValidation type="custom" allowBlank="1" showInputMessage="1" promptTitle="Detalle: Mensaje de Resolución" prompt="Estimados_x000a__x000a_Esto fue resuelto por Francisco_x000a__x000a_Saludos." sqref="M141" xr:uid="{7CE89CFA-7B7F-C84E-AD80-A581A5FCE657}">
      <formula1>TRUE</formula1>
    </dataValidation>
    <dataValidation type="custom" allowBlank="1" showInputMessage="1" promptTitle="Detalle: Mensaje de Resolución" prompt="Estimados,_x000a__x000a_Esto fue resuelto por Francisco Rametta. Se reiniciaron los protectores tecnicos y se realiza lavado, dejando el equipo operativo_x000a__x000a_Saludos." sqref="M140" xr:uid="{41FD29AB-136E-E842-8B73-00B95B36C89B}">
      <formula1>TRUE</formula1>
    </dataValidation>
    <dataValidation type="custom" allowBlank="1" showInputMessage="1" promptTitle="Detalle: Mensaje de Resolución" prompt="Estimados,_x000a__x000a_Se instalaron los carteles._x000a__x000a_Saludos." sqref="M139" xr:uid="{0C9A9D85-AAA7-804A-BF25-8988C28250BF}">
      <formula1>TRUE</formula1>
    </dataValidation>
    <dataValidation type="custom" allowBlank="1" showInputMessage="1" promptTitle="Detalle: Mensaje de Resolución" prompt="Estimados, _x000a__x000a_Se hablo con Rocio y esto no se estara realizando._x000a__x000a_Saludos." sqref="M138" xr:uid="{CE154573-BA9F-AD48-866B-5CE164CCCFFA}">
      <formula1>TRUE</formula1>
    </dataValidation>
    <dataValidation type="custom" allowBlank="1" showInputMessage="1" promptTitle="Detalle: Mensaje de Resolución" prompt="Estimados, _x000a__x000a_Se hablo con Rocio y esto no se estara realizando. Ella solicito un equipo nuevo ya que este no tiene reparacion y si la tiene, no va a durar_x000a__x000a_Saludos." sqref="M137" xr:uid="{1DF89D63-4C84-5443-8EA5-2392C0728C9F}">
      <formula1>TRUE</formula1>
    </dataValidation>
    <dataValidation type="custom" allowBlank="1" showInputMessage="1"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 sqref="M136" xr:uid="{7CF7776C-8B2B-9F49-BCFA-C448B3271725}">
      <formula1>TRUE</formula1>
    </dataValidation>
    <dataValidation type="custom" allowBlank="1" showInputMessage="1" promptTitle="Detalle: Mensaje de Resolución" prompt="Estimados_x000a__x000a_Se destraba molienda por obstrucción con un trozo de madera. Se deja el equipo operativo_x000a__x000a_Saludos" sqref="M135" xr:uid="{1E8D0D80-BB51-B44E-A856-BE1FF67F31F1}">
      <formula1>TRUE</formula1>
    </dataValidation>
    <dataValidation type="custom" allowBlank="1" showInputMessage="1" promptTitle="Detalle: Mensaje de Resolución" prompt="Moliendas calibradas, los cafés salen correctamente" sqref="M134" xr:uid="{CEFBBFA0-FABE-F541-80D3-7B05972E3D58}">
      <formula1>TRUE</formula1>
    </dataValidation>
    <dataValidation type="custom" allowBlank="1" showInputMessage="1" promptTitle="Detalle: Mensaje de Resolución" prompt="Se encontró pedazo de madera dentro de molienda la cual causó q se trabe la misma, se limpio, calibro y realizo puesta a 0, también se limpio filtro de lanza de agua ya que no permitía q salga la cantidad de agua correspondiente_x000a_Tiempo de servicio : " sqref="M133" xr:uid="{26889B0C-47C8-CD46-BAFD-CB952552D39A}">
      <formula1>TRUE</formula1>
    </dataValidation>
    <dataValidation type="custom" allowBlank="1" showInputMessage="1" promptTitle="Detalle: Mensaje de Resolución" prompt="Estimados,_x000a__x000a_Se reemplaza válvula de carga por una nueva y se destetaba válvula de descarga. Se deja el equipo operativo _x000a__x000a_Saludos" sqref="M132" xr:uid="{1D785A66-ED60-5844-A892-151F3B332226}">
      <formula1>TRUE</formula1>
    </dataValidation>
    <dataValidation type="custom" allowBlank="1" showInputMessage="1" promptTitle="Detalle: Mensaje de Resolución" prompt="Hora de trabajo 30m_x000a_Problema con la manguera de leche,queda operando correctamente" sqref="M131" xr:uid="{6A2F9CA2-0DBB-2245-9328-4D02801A4A6C}">
      <formula1>TRUE</formula1>
    </dataValidation>
    <dataValidation type="custom" allowBlank="1" showInputMessage="1" promptTitle="Detalle: Mensaje de Resolución" prompt="Estimados_x000a__x000a_Esto fue resuelto por Bruno Leyes. Se destrabaron las moliendas y se calibro el equipo. Saludos." sqref="M130" xr:uid="{27F488F7-4578-4D4B-A183-848894E6B69C}">
      <formula1>TRUE</formula1>
    </dataValidation>
    <dataValidation type="custom" allowBlank="1" showInputMessage="1" promptTitle="Detalle: Mensaje de Resolución" prompt="Estimados,_x000a__x000a_Se paso por el local y se reviso el equipo junto a Raul. El equipo no presenta problemas tecnicos, el problema esta en la suba y baja de tension en la zona. por favor ver de no dejar la puerta abierta del horno para evitar caidas de tempe" sqref="M129" xr:uid="{20D4ADC9-CAF7-B842-8831-F37CC1209F81}">
      <formula1>TRUE</formula1>
    </dataValidation>
    <dataValidation type="custom" allowBlank="1" showInputMessage="1" promptTitle="Detalle: Mensaje de Resolución" prompt="Estimados,_x000a__x000a_Esto fue resuelto por Francisco._x000a__x000a_Saludos." sqref="M127:M128" xr:uid="{67030690-4064-B348-AA5E-8111C0CFF8AA}">
      <formula1>TRUE</formula1>
    </dataValidation>
    <dataValidation type="custom" allowBlank="1" showInputMessage="1" promptTitle="Detalle: Mensaje de Resolución" prompt="Estimados,_x000a__x000a_Se conversa con Francisco Rametta y comenta que esto ya quedo resuelto. Solo queda pendiente cargar las imagenes de las recetas, las cuales tiene que hacer el gerente de Zona, ya que ellos tienen las recetas _x000a__x000a_Saludos." sqref="M126" xr:uid="{8BA5AE7B-7C6D-F847-9452-B2A62971D1C7}">
      <formula1>TRUE</formula1>
    </dataValidation>
    <dataValidation type="custom" allowBlank="1" showInputMessage="1" promptTitle="Detalle: Mensaje de Resolución" prompt="solucionado por Francisco, envio mail con el detalle de los realizado." sqref="M125" xr:uid="{30E11FD0-B6B5-1149-955A-69A4DE28FAFF}">
      <formula1>TRUE</formula1>
    </dataValidation>
    <dataValidation type="custom" allowBlank="1" showInputMessage="1" promptTitle="Detalle: Mensaje de Resolución" prompt="Trabajo realizado por Francisco, se envio detalle y confirmacion via mail. Equipo queda operativo._x000a__x000a_Saludos," sqref="M124" xr:uid="{23BEE974-C14C-2F4E-A77B-A2F1B52E3E60}">
      <formula1>TRUE</formula1>
    </dataValidation>
    <dataValidation type="custom" allowBlank="1" showInputMessage="1" promptTitle="Detalle: Mensaje de Resolución" prompt="Estimados, _x000a__x000a_Paso el tecnico Francisco y recomienda realizar un cambio de orring de grupo, cambio de muelas y puesta a cero del equipo._x000a_Por favor solicitar dichos repuestos al deposito y una vez que estan ahi mismo, pasamos a cambiar los repuestos._x000a__x000a_" sqref="M123" xr:uid="{8A3C61EC-EB5C-0748-BE84-AC72CF28CF0B}">
      <formula1>TRUE</formula1>
    </dataValidation>
    <dataValidation type="custom" allowBlank="1" showInputMessage="1" promptTitle="Detalle: Mensaje de Resolución" prompt="Estimados, _x000a__x000a_Se realiza puesta a cero de moliendas, se calibra equipo dejándolo en los tiempos de erogación correspondientes._x000a__x000a_Saludos" sqref="M122" xr:uid="{EAFC4AF2-ADDA-B64E-B227-15B4DC1A81DE}">
      <formula1>TRUE</formula1>
    </dataValidation>
    <dataValidation type="custom" allowBlank="1" showInputMessage="1" promptTitle="Detalle: Mensaje de Resolución" prompt="Estimados,_x000a__x000a_Se calibra moliendas, se limpia circuito de leche y grupo de cafe._x000a__x000a_Equipo queda operativo_x000a__x000a_Saludos." sqref="M120" xr:uid="{B06DB214-CB74-7843-B186-7B3F4E647014}">
      <formula1>TRUE</formula1>
    </dataValidation>
    <dataValidation type="custom" allowBlank="1" showInputMessage="1" promptTitle="Detalle: Mensaje de Resolución" prompt="Resuelto tiket repetido" sqref="M119" xr:uid="{2185749E-B25C-5B4E-9B76-DD3CC2E58979}">
      <formula1>TRUE</formula1>
    </dataValidation>
    <dataValidation type="custom" allowBlank="1" showInputMessage="1" promptTitle="Detalle: Mensaje de Resolución" prompt="Cafetera parque Chacabuco (1 hora de trabajo)_x000a_Cimbali1977237_x000a_Tiket#109994_x000a_Equipo sin suministro de agua se encontró arrojando error 59 por falta de la misma, tenía la llave del ablandador cerrada , se abrió se reviso q el flexible no esté tapado, se " sqref="M118" xr:uid="{912604D8-4C14-F445-B95F-A4DE8C84B65F}">
      <formula1>TRUE</formula1>
    </dataValidation>
    <dataValidation type="custom" allowBlank="1" showInputMessage="1" promptTitle="Detalle: Mensaje de Resolución" prompt="Tiempo de servicio:25 minutos_x000a__x000a_La cafetere se encontraba inoperativa ya que tenía problemas con el caudal del agua y el motor estaba en constante funcionamiento, se reviso sistema de ósmosis la cual se encontraba sucia, vacía y con el paso de entrada" sqref="M117" xr:uid="{FD3BEA00-EF18-FA42-AAE7-0B0FF4BF8F50}">
      <formula1>TRUE</formula1>
    </dataValidation>
    <dataValidation type="custom" allowBlank="1" showInputMessage="1" promptTitle="Detalle: Mensaje de Resolución" prompt="Se encontró en corto la resistencia del grupo por lo que provoca error 55 y corto en la cafetera. Se dejó desconectada por el momento y se solicita repuesto de la misma para dejarla en condiciones" sqref="M116" xr:uid="{D532B4E5-CDDF-DE43-BB37-FDF14BFA3778}">
      <formula1>TRUE</formula1>
    </dataValidation>
    <dataValidation type="custom" allowBlank="1" showInputMessage="1" promptTitle="Detalle: Mensaje de Resolución" prompt="Ya se cambio bomba de leche y se soluciono pérdida en el desgote de la leche. Se recomienda cambiar manguera ya que la que tiene es corta y al mover minimamente la cafetera de sale o queda tirante_x000a_Tiempo de servicio: 40 minutos" sqref="M115" xr:uid="{6AC27C77-CD10-E340-9421-500D7ED22283}">
      <formula1>TRUE</formula1>
    </dataValidation>
    <dataValidation type="custom" allowBlank="1" showInputMessage="1" promptTitle="Detalle: Mensaje de Resolución" prompt="Estimados,_x000a__x000a_Se cierra tk ya que se encuentra duplicado._x000a__x000a_Se continua por el otro _x000a__x000a_Gracias," sqref="M114" xr:uid="{298FA021-47E7-DB41-BC83-48CF07F58F32}">
      <formula1>TRUE</formula1>
    </dataValidation>
    <dataValidation type="custom" allowBlank="1" showInputMessage="1"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sqref="M113" xr:uid="{BC06B18E-939D-344A-A544-205307AA79D2}">
      <formula1>TRUE</formula1>
    </dataValidation>
    <dataValidation type="custom" allowBlank="1" showInputMessage="1"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sqref="M112" xr:uid="{86507E17-5750-384A-801A-B73B32FFBB33}">
      <formula1>TRUE</formula1>
    </dataValidation>
    <dataValidation type="custom" allowBlank="1" showInputMessage="1" promptTitle="Detalle: Mensaje de Resolución" prompt="Cafetera palmas de pilar_x000a_N*de ticket:105898_x000a_N*de serie 1842014_x000a_Horas realizadas: 2h_x000a__x000a_Se llegó con la cafetera no salía café y leche fría._x000a_Se encontró que una de las tolvas no estaba correctamente colocada._x000a_Se hizo una puesta 0 y se calibro dicha moli" sqref="M111" xr:uid="{5A0B4344-5C99-734B-AF13-A7E2964A6034}">
      <formula1>TRUE</formula1>
    </dataValidation>
    <dataValidation type="custom" allowBlank="1" showInputMessage="1" promptTitle="Detalle: Mensaje de Resolución" prompt="Se limpio moliendas, se hizo puesta a 0 y se calibraron _x000a_Se calibro espuma de leche. Se conecto elf3 puenteado y se limpio esm (se encontraba clavada con sarro y leche condensada y no permitía activar la valvula)_x000a_Se observo tolvas en mal estado, los " sqref="M110" xr:uid="{6EE5D172-DA76-8849-B8BB-AAE2550E6976}">
      <formula1>TRUE</formula1>
    </dataValidation>
    <dataValidation type="custom" allowBlank="1" showInputMessage="1" promptTitle="Detalle: Mensaje de Resolución" prompt="Estimados,_x000a__x000a_Se limpio moliendas, se hizo puesta a 0 y se calibraron _x000a_Se calibro espuma de leche. Se conecto elf3 puenteado y se limpio esm (se encontraba clavada con sarro y leche condensada y no permitía activar la valvula_x000a_Se observo tolvas en mal e" sqref="M108:M109" xr:uid="{8BA20719-91F1-E741-9868-4D2D8CE63D17}">
      <formula1>TRUE</formula1>
    </dataValidation>
    <dataValidation type="custom" allowBlank="1" showInputMessage="1" promptTitle="Detalle: Mensaje de Resolución" prompt="Se reparo el equipo Cimbali. El local queda operando. Mañana se retira el equipo melitta para reparación en taller. Se sigue via mail." sqref="M106" xr:uid="{1D37D063-1CCD-CE4E-908E-C95CA8328DCF}">
      <formula1>TRUE</formula1>
    </dataValidation>
    <dataValidation type="custom" allowBlank="1" showInputMessage="1" promptTitle="Detalle: Mensaje de Resolución" prompt="Mostaza once_x000a_N de ticket:106675_x000a_Tiempo de servicio:30m_x000a__x000a_Se encontró la melitta salía leche fría , se le hizo un lavado completo con el ácido._x000a__x000a_Observaciones: no optaban con el equipo de limpieza correspondiente.(lo perdieron)_x000a__x000a_Equipo operativo." sqref="M105" xr:uid="{BE50D9B0-B271-B140-A975-F9EEF31567EA}">
      <formula1>TRUE</formula1>
    </dataValidation>
    <dataValidation type="custom" allowBlank="1" showInputMessage="1" promptTitle="Detalle: Mensaje de Resolución" prompt="Estimados,_x000a__x000a_Se pasa presupuesto por repuestos a Melisa. Por favor aprobar los mismos, retirarlos y una vez que esten en el local, realizan el tk para que vayamos a instalar._x000a__x000a_Gracias." sqref="M104" xr:uid="{E71223A2-0F7F-C84F-91D5-D76DEABA1E11}">
      <formula1>TRUE</formula1>
    </dataValidation>
    <dataValidation type="custom" allowBlank="1" showInputMessage="1" promptTitle="Detalle: Mensaje de Resolución" prompt="Cafetera moreno( 1 hora de trabajo)_x000a_Cimbali 2033458_x000a_Tiket#107804_x000a_Se regulo moliendas en cuanto a gramaje, antes de regular se reviso el café en tolvas y encontramos grando de café viejos y duros, se limpio circuito de leche y se regulo espuma, máquin" sqref="M103" xr:uid="{6C9201C4-9F89-BB4F-A49B-2302ECF97768}">
      <formula1>TRUE</formula1>
    </dataValidation>
    <dataValidation type="custom" allowBlank="1" showInputMessage="1" promptTitle="Detalle: Mensaje de Resolución" prompt="Cafetera moreno (1 hora de trabajo)_x000a_Cimbali 1838967_x000a_Tiket#107699_x000a_Se realizó puesta cero y calibro por gramaje, se encontró con muelas muy desgastadas, y quita de oring de grupo  empezando a vencercer haciendo q cada vez salga más aguada la pastilla a" sqref="M102" xr:uid="{B92666D4-4B90-F34D-9467-F02C04F19BAA}">
      <formula1>TRUE</formula1>
    </dataValidation>
    <dataValidation type="custom" allowBlank="1" showInputMessage="1" promptTitle="Detalle: Mensaje de Resolución" prompt="Cafetera moreno (2 horas de trabajo)_x000a_Tiket#107343_x000a_Cimbali2033458_x000a_Cafetera perdía agua al momento de realizar lavado ya q el decantador del macha se encontraba tapado con granos de café , a su vez el desagüe de la válvula g se encontraba obstruida, se" sqref="M101" xr:uid="{FE92B515-8987-5A44-8C1E-AA8EFB443B8C}">
      <formula1>TRUE</formula1>
    </dataValidation>
    <dataValidation type="custom" allowBlank="1" showInputMessage="1" promptTitle="Detalle: Mensaje de Resolución" prompt="Cafetera moreno_x000a_Ticket n*106588_x000a_Serie n*2033458/1838967_x000a_Horas realizadas 50m_x000a__x000a_Se encontró la cafetera sin ninguna pérdida de agua y con todos los cafés con espuma correctamente._x000a_Se hizo una revisión en las 2 cafeteras y se encontró una pequeña fuga d" sqref="M100" xr:uid="{B1C74546-F3FD-D74C-8B00-F4F9A59C59D5}">
      <formula1>TRUE</formula1>
    </dataValidation>
    <dataValidation type="custom" allowBlank="1" showInputMessage="1" promptTitle="Detalle: Mensaje de Resolución" prompt="Cafetera moreno _x000a_N* de ticket:105896_x000a_N*de serie:2033458_x000a_Horas realizadas:1h30m_x000a__x000a_Se reinició protector térmico de la caldera, se veía todo en funcionamiento y correctamente._x000a_Se encontró rama en la mm2 se hizo puesta cero y se calibro la misma molienda" sqref="M99" xr:uid="{CDB2AB55-63DA-BA49-8966-F6DFB6177701}">
      <formula1>TRUE</formula1>
    </dataValidation>
    <dataValidation type="custom" allowBlank="1" showInputMessage="1" promptTitle="Detalle: Mensaje de Resolución" prompt="Resuelto por el local. Saludos" sqref="M98" xr:uid="{AABE321D-E6A5-1C49-A98B-EBA59581FBE5}">
      <formula1>TRUE</formula1>
    </dataValidation>
    <dataValidation type="custom" allowBlank="1" showInputMessage="1" promptTitle="Detalle: Mensaje de Resolución" prompt="Estimados, _x000a__x000a_Se cierra tk ya que se encuentra creado otro por el mismo tema._x000a__x000a_Se continua por el otro_x000a__x000a_Gracias," sqref="M97" xr:uid="{78D6CD62-4B96-AE41-8D20-6C29C230D5D0}">
      <formula1>TRUE</formula1>
    </dataValidation>
    <dataValidation type="custom" allowBlank="1" showInputMessage="1" promptTitle="Detalle: Mensaje de Resolución" prompt="Me avisaron que quedó okey los 2 equipos y que no hace falta que vaya. Quedo atento igualmente. Cierro tk" sqref="M96" xr:uid="{17EC59E5-5BD5-B444-8895-D61296C0D2C6}">
      <formula1>TRUE</formula1>
    </dataValidation>
    <dataValidation type="custom" allowBlank="1" showInputMessage="1" promptTitle="Detalle: Mensaje de Resolución" prompt="Solucionado por el técnico" sqref="M95" xr:uid="{F7EBE471-67F7-2848-83F1-F3866B1FD5C3}">
      <formula1>TRUE</formula1>
    </dataValidation>
    <dataValidation type="custom" allowBlank="1" showInputMessage="1" promptTitle="Detalle: Mensaje de Resolución" prompt="Estimados. se detraban moliendas._x000a__x000a_Saludos." sqref="M94" xr:uid="{654EC257-F2A4-EE46-B4CD-AD527FD6F9BE}">
      <formula1>TRUE</formula1>
    </dataValidation>
    <dataValidation type="custom" allowBlank="1" showInputMessage="1" promptTitle="Detalle: Mensaje de Resolución" prompt="La feteadora precisa un cambio de buje ya que tiene juego el brazo a la hora de fetear y queda mucho espacio de la misma y la guía. Proveedor moretti" sqref="M93" xr:uid="{69372DA0-3C33-5E44-B6CE-6662A1DDA628}">
      <formula1>TRUE</formula1>
    </dataValidation>
    <dataValidation type="custom" allowBlank="1" showInputMessage="1"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 sqref="M92" xr:uid="{41DF4ECA-2DBA-3342-A4D2-87CA62E22111}">
      <formula1>TRUE</formula1>
    </dataValidation>
    <dataValidation type="custom" allowBlank="1" showInputMessage="1" promptTitle="Detalle: Mensaje de Resolución" prompt="Se reguló las chapas del frente del broiler" sqref="M91" xr:uid="{07F7A105-3B4F-E44A-9F6C-8082F68E65BF}">
      <formula1>TRUE</formula1>
    </dataValidation>
    <dataValidation type="custom" allowBlank="1" showInputMessage="1" promptTitle="Detalle: Mensaje de Resolución" prompt="Cattabriga merlo:_x000a_Ticket n*106596_x000a_Serie n*: código en barra_x000a_Horas realizadas; 1h_x000a__x000a_Se encontró con la máquina de hielo perdía mezcla por el frente._x000a_Se revisó orrings que están en buen estado._x000a_Esto sucedió por el mal armado del frente._x000a_Se sustrajeron t" sqref="M90" xr:uid="{C73F9D3F-20E0-2C4E-8E9D-C647B80906E6}">
      <formula1>TRUE</formula1>
    </dataValidation>
    <dataValidation type="custom" allowBlank="1" showInputMessage="1" promptTitle="Detalle: Mensaje de Resolución" prompt="Cafeteras merlo:_x000a_Ticket n*:106355_x000a_Series*:1969719/1851881_x000a_Horas realizadas: 3h_x000a__x000a_Cafetera 1 lado izquierdo: se encontró con que no salía leche y sin espuma ._x000a_se sustrajo bomba de leche,válvula esm, chickler y se limpiaron._x000a_Se calibró espuma._x000a__x000a_Observac" sqref="M89" xr:uid="{002D8AD0-FE2D-9844-8383-AA3262F92AD9}">
      <formula1>TRUE</formula1>
    </dataValidation>
    <dataValidation type="custom" allowBlank="1" showInputMessage="1" promptTitle="Detalle: Mensaje de Resolución" prompt="Cafetera lujan (2 horas de trabajo)_x000a_Cimbali N/S_x000a_Tiket 107119_x000a_Cafetera descalabrada el local pudo destrabar pero al abrir mucho las moliendas necesita calibración y puesta cero, se regulo la espuma y la leche ya q la misma salía sin espuma se limpio t" sqref="M88" xr:uid="{FEE42CBA-CBE6-9F45-B0DD-5BACAD696407}">
      <formula1>TRUE</formula1>
    </dataValidation>
    <dataValidation type="custom" allowBlank="1" showInputMessage="1" promptTitle="Detalle: Mensaje de Resolución" prompt="Cafetera _x000a_Duración de trabajo 2:30 hs _x000a_Se hizo limpieza de matcha, ya que al estar tapado por delante perdía por detrás de la cafetera, se revisan válvulas de caldera, válvula G no funciona correctamente, ya que no hace bien la descarga de agua y pie" sqref="M87" xr:uid="{DE0A3AED-34B7-0E46-B0D7-D8716734E7A0}">
      <formula1>TRUE</formula1>
    </dataValidation>
    <dataValidation type="custom" allowBlank="1" showInputMessage="1" promptTitle="Detalle: Mensaje de Resolución" prompt="Estimados,_x000a__x000a_Se reemplaza fusible, ya que por el corte de luz el mismo se que quemó. _x000a__x000a_Se deja equipo operativo" sqref="M86" xr:uid="{A5230134-10A4-264D-8357-C7A5EED24DEC}">
      <formula1>TRUE</formula1>
    </dataValidation>
    <dataValidation type="custom" allowBlank="1" showInputMessage="1" promptTitle="Detalle: Mensaje de Resolución" prompt="Cafetera lomas 2_x000a_Cimbali 1856448_x000a_Tiket#108369_x000a_Se encontró el equipo con arandela seguer rota se abrió limpio y volvió a ensamblar, re realizó puesta cero y calibración, se recomienda cambio de muelas ya q las mismas se encuentran muy gastadas, se lim" sqref="M85" xr:uid="{C748FD5E-199B-1C46-91F3-C339333ACA67}">
      <formula1>TRUE</formula1>
    </dataValidation>
    <dataValidation type="custom" allowBlank="1" showInputMessage="1" promptTitle="Detalle: Mensaje de Resolución" prompt="Tiempo de servicio; 1:40 hrs_x000a__x000a_Se destrabo molienda uno y se limpio bomba de leche y esm ya que no estaba saliendo leche a la hora de sacar los cafés. Al terminar se reviso reguladores, los cuales estaban al máximo, al cerrarlos por completos la leche" sqref="M84" xr:uid="{0203653C-7523-4B4D-89E9-9FABF36561FD}">
      <formula1>TRUE</formula1>
    </dataValidation>
    <dataValidation type="custom" allowBlank="1" showInputMessage="1" promptTitle="Detalle: Mensaje de Resolución" prompt="Ya se paso informe del equipo faltan repuestos" sqref="M83" xr:uid="{26042FE8-A57C-5241-AFC1-139C6CAA6167}">
      <formula1>TRUE</formula1>
    </dataValidation>
    <dataValidation type="custom" allowBlank="1" showInputMessage="1" promptTitle="Detalle: Mensaje de Resolución" prompt="Cafetera Liniers 1 hora de trabajo _x000a_Cumbali 1842009_x000a_Tiket#109895_x000a_Se realizó puesta cero y calibración, se volvió a trabar, se realizó cambio de lote y quedó operando, el café estaba un poco húmedo, no se pudo calibrar leche por falta de repuestos,(re" sqref="M82" xr:uid="{10E252E1-B850-0445-B4E4-ECD24DADC463}">
      <formula1>TRUE</formula1>
    </dataValidation>
    <dataValidation type="custom" allowBlank="1" showInputMessage="1" promptTitle="Detalle: Mensaje de Resolución" prompt="Broiler Liniers 1 hora de trabajo _x000a_Nieco jf64_x000a_Tiket#109797_x000a_El equipo estaba todo ok se revisó cableado enchufe y toma, se reviso la linea q compartía con frezzer y freidora de pollos, tomma de frezzer ok, el problema era q estaba conectado el display" sqref="M81" xr:uid="{4BAF7464-45D0-B24F-A7F5-1B423438395A}">
      <formula1>TRUE</formula1>
    </dataValidation>
    <dataValidation type="custom" allowBlank="1" showInputMessage="1" promptTitle="Detalle: Mensaje de Resolución" prompt="Linier (2 horas de trabajo)_x000a_Cimbali 1842009_x000a_Tiket# 107784_x000a_Se realizó cambio de muelas, puesta cero y calibración de las mismas, el equipo quedó operando" sqref="M80" xr:uid="{054186F3-9DB0-8049-9340-C1925CCE12CF}">
      <formula1>TRUE</formula1>
    </dataValidation>
    <dataValidation type="custom" allowBlank="1" showInputMessage="1" promptTitle="Detalle: Mensaje de Resolución" prompt="Estimados,_x000a__x000a_Se realiza modificación en carnes chicas_x000a__x000a_Saludos" sqref="M79" xr:uid="{AEC48F68-5E22-3A44-882F-7B25B49CC384}">
      <formula1>TRUE</formula1>
    </dataValidation>
    <dataValidation type="custom" allowBlank="1" showInputMessage="1" promptTitle="Detalle: Mensaje de Resolución" prompt="Liniers ( 3 horas de trabajo)_x000a_Cimbali 1842009_x000a_Tiket:106950_x000a_Equipo con muelas trabadas se encontró rama en mm1 y café viejo en mm2, se limpio, se hizo puesta cero y calibración, se limpio todo el circuito de leche para optimizar el llenado de los vaso" sqref="M78" xr:uid="{E483BA50-05BD-104F-9BCE-40AA9D3DFE0E}">
      <formula1>TRUE</formula1>
    </dataValidation>
    <dataValidation type="custom" allowBlank="1" showInputMessage="1" promptTitle="Detalle: Mensaje de Resolución" prompt="Estimados:_x000a__x000a_Por favor, no reabrir ticket viejos. El equipo presenta problemas por el cafe y las muelas desgastagas. Por favor no puntuar con 1 estrella nuestro servicio, ya que ambas cosas no dependen de nosotros.Por favor comprar las muelas nuevas a" sqref="M77" xr:uid="{2C0640CA-714F-BD45-9702-96CA36E78A6D}">
      <formula1>TRUE</formula1>
    </dataValidation>
    <dataValidation type="custom" allowBlank="1" showInputMessage="1" promptTitle="Detalle: Mensaje de Resolución" prompt="Se destraban moliendas por madera en el café._x000a_Se recomienda cambiar las muelas_x000a__x000a_Saludos" sqref="M76" xr:uid="{459F8FEE-BDFE-5447-A32F-014DAD91A855}">
      <formula1>TRUE</formula1>
    </dataValidation>
    <dataValidation type="custom" allowBlank="1" showInputMessage="1" promptTitle="Detalle: Mensaje de Resolución" prompt="Se destraban moliendas por madera en los granos de café._x000a_Se recomienda cambiar las muelas_x000a__x000a_Saludos" sqref="M75" xr:uid="{A163FD91-23B1-B043-BB1E-39B1C4C817DF}">
      <formula1>TRUE</formula1>
    </dataValidation>
    <dataValidation type="custom" allowBlank="1" showInputMessage="1" promptTitle="Detalle: Mensaje de Resolución" prompt="Estimados:_x000a_Se reemplazo acople EV para la lanza de te y se destapo el cabezal de la bomba de leche._x000a__x000a_Saludos." sqref="M74" xr:uid="{F1A39E81-9A86-5843-AF04-B28632D955C9}">
      <formula1>TRUE</formula1>
    </dataValidation>
    <dataValidation type="custom" allowBlank="1" showInputMessage="1" promptTitle="Detalle: Mensaje de Resolución" prompt="Tk duplicado" sqref="M73 M121" xr:uid="{F3417119-5769-E848-A94D-8B85D3B4559A}">
      <formula1>TRUE</formula1>
    </dataValidation>
    <dataValidation type="custom" allowBlank="1" showInputMessage="1" promptTitle="Detalle: Mensaje de Resolución" prompt="Cafetera Liniers_x000a_N*de ticket:105657_x000a_N*de serie:1842009_x000a_Horas realizadas: 1h30m_x000a__x000a_Se encontró ramas en la mm1 y mm2._x000a_Se destrabaron moliendas, se hizo puesta a cero y se calibro._x000a__x000a_Se recomienda:_x000a_-cambiar las moliendas_x000a_-no llenar hasta el tope de café (" sqref="M72" xr:uid="{77BB12C7-5F26-5246-A714-92C3407E6505}">
      <formula1>TRUE</formula1>
    </dataValidation>
    <dataValidation type="custom" allowBlank="1" showInputMessage="1" promptTitle="Detalle: Mensaje de Resolución" prompt="Estimados,_x000a__x000a_Esto no corresponde a mantenimiento. Verlo con la supervisora de la zona_x000a__x000a_Saludos" sqref="M71" xr:uid="{29F54478-CCB9-314C-85AB-701C78B654A6}">
      <formula1>TRUE</formula1>
    </dataValidation>
    <dataValidation type="custom" allowBlank="1" showInputMessage="1" promptTitle="Detalle: Mensaje de Resolución" prompt="Tiempo de servicio; 1:10hrs_x000a_Cafetera trabada y con perdida de agua por un costado. Se destrabaron y limpiaron moliendas en las cuales se encontró café húmedo, también un trozo de madera, la perdida de agua se debia al embudo de matcha tapado con peda" sqref="M70" xr:uid="{13892FCA-5ED3-9943-92EB-5732A9602D02}">
      <formula1>TRUE</formula1>
    </dataValidation>
    <dataValidation type="custom" allowBlank="1" showInputMessage="1" promptTitle="Detalle: Mensaje de Resolución" prompt="Cafetera Lanús 2 ( 2 horas de trabajo)_x000a_Tiket #108325_x000a_Se realizó cambio de válvula Ev y acrílico de tolva mm1, y se cargó receta, ya q estaba todo pasado por mm1 las recetas,falta cargar archivo de imágenes , equipo operando" sqref="M69" xr:uid="{859A5044-B175-494D-A003-27F539F7BACE}">
      <formula1>TRUE</formula1>
    </dataValidation>
    <dataValidation type="custom" allowBlank="1" showInputMessage="1" promptTitle="Detalle: Mensaje de Resolución" prompt="Se realiza puesta a cero por obstrucción por madera en el café._x000a__x000a_Saludos" sqref="M68" xr:uid="{53A9FDDC-8C47-AE45-9D42-D6D8F7CF963C}">
      <formula1>TRUE</formula1>
    </dataValidation>
    <dataValidation type="custom" allowBlank="1" showInputMessage="1" promptTitle="Detalle: Mensaje de Resolución" prompt="Estimados, _x000a__x000a_Se acomoda desagote de leche, el cual se encontraba estrangulado. Se realiza calibracion de MM1 y MM2, quedando dentro de los parametros correspondientes._x000a__x000a_Saludos." sqref="M67" xr:uid="{DFD89DCF-6778-9D41-8514-1D7B075C1872}">
      <formula1>TRUE</formula1>
    </dataValidation>
    <dataValidation type="custom" allowBlank="1" showInputMessage="1" promptTitle="Detalle: Mensaje de Resolución" prompt="Cimbali la plata 4 (4 horas de trabajo)_x000a_Tiket#109155_x000a_Se encuentra cimbali operando con gran pérdida de agua de la caldera grande, se recibió y se encontró q tenía floja la puesta tierra haciendo q el equipo tenga 95v de fuga , se desarmo caldera se l" sqref="M66" xr:uid="{E57C7E90-4CC7-5E4A-9079-A306EB7EB6D0}">
      <formula1>TRUE</formula1>
    </dataValidation>
    <dataValidation type="custom" allowBlank="1" showInputMessage="1" promptTitle="Detalle: Mensaje de Resolución" prompt="La plata 2 (3 horas de trabajo)_x000a_Cimbali 1851675_x000a_Tiket: 106753_x000a_Equipo con bomba de leche demasiado percudida ocasionando q la presión de vapor sea mayor q la de leche impidiendo q la misma salga como debería, se limpio todo el circuito de leche ya q e" sqref="M65" xr:uid="{32A4F045-39B0-584D-8F18-41473F829C09}">
      <formula1>TRUE</formula1>
    </dataValidation>
    <dataValidation type="custom" allowBlank="1" showInputMessage="1" promptTitle="Detalle: Mensaje de Resolución" prompt="la plata 2 (dos horas de trabajo)_x000a_Cimbali 2095738_x000a_Tiket:106568_x000a_Equipo descalibrado y con muelas empastadas, se realizó puesta cero y calibración, se calibro espuma de leche ya q no salía equipo quedó operando con normalidad" sqref="M64" xr:uid="{0EF3CEE9-EE5B-1440-9339-54FFFAED6C60}">
      <formula1>TRUE</formula1>
    </dataValidation>
    <dataValidation type="custom" allowBlank="1" showInputMessage="1" promptTitle="Detalle: Mensaje de Resolución" prompt="Estimados,_x000a__x000a_Se cierra tk_x000a__x000a_Saludos." sqref="M63" xr:uid="{6A2F3645-9F00-C149-A483-9DF585E99FEE}">
      <formula1>TRUE</formula1>
    </dataValidation>
    <dataValidation type="custom" allowBlank="1" showInputMessage="1" promptTitle="Detalle: Mensaje de Resolución" prompt="Estimados,_x000a__x000a_Se entrega pieza a Raul Ayala._x000a__x000a_Saludos." sqref="M62" xr:uid="{B26BC24F-95FD-D646-BDCF-EF43B9A533B3}">
      <formula1>TRUE</formula1>
    </dataValidation>
    <dataValidation type="custom" allowBlank="1" showInputMessage="1" promptTitle="Detalle: Mensaje de Resolución" prompt="Estimados, _x000a__x000a_Esto fue resuelto por el local._x000a__x000a_Saludos" sqref="M61" xr:uid="{CA72B118-390D-8B49-940D-F99F9A056A24}">
      <formula1>TRUE</formula1>
    </dataValidation>
    <dataValidation type="custom" allowBlank="1" showInputMessage="1" promptTitle="Detalle: Mensaje de Resolución" prompt="Cafetera José c paz 1 hora de trabajo _x000a_Cimbali 1977240_x000a_Tiket#109744_x000a_Molineda mm1 trabada con madera se realizó limpieza, puesta cero y calibración a ambas moliendas, y se regulo leche y espuma, equipo operando" sqref="M60" xr:uid="{517D8696-DAE0-404B-BB1F-5150E7E09333}">
      <formula1>TRUE</formula1>
    </dataValidation>
    <dataValidation type="custom" allowBlank="1" showInputMessage="1" promptTitle="Detalle: Mensaje de Resolución" prompt="Jose c paz (2 horas de trabajo)_x000a_Cimbali 1977240_x000a_Tiket#107404 _x000a_Se extrajo grupo y se reemplazo tobogán roto, se limpio y armó todo, haciendo lavado completo ya q se decís hace un día debido a lo del tobogán, equipo sigue arrojando error 54 debido al s" sqref="M59" xr:uid="{A5E03982-1BB1-354D-AB3D-408CA07CB81E}">
      <formula1>TRUE</formula1>
    </dataValidation>
    <dataValidation type="custom" allowBlank="1" showInputMessage="1" promptTitle="Detalle: Mensaje de Resolución" prompt="Estimados,_x000a__x000a_Antes de crear el ticket, deben contar con el repuesto. Por favor solicitarlo a deposito o a cmerlo@mostazaweb.com.ar_x000a_Cuando tengan el repuesto en el local, crean el ticket y lo resolvemos._x000a__x000a_Gracias." sqref="M58" xr:uid="{BDE4604B-0850-7D44-BF7C-59A15D48627D}">
      <formula1>TRUE</formula1>
    </dataValidation>
    <dataValidation type="custom" allowBlank="1" showInputMessage="1" promptTitle="Detalle: Mensaje de Resolución" prompt="Estimados,_x000a__x000a_Esto fue resuelto por Nicolas Franco_x000a__x000a_Saludos." sqref="M56:M57" xr:uid="{165ADED8-52EA-2140-A9ED-C64C8E692068}">
      <formula1>TRUE</formula1>
    </dataValidation>
    <dataValidation type="custom" allowBlank="1" showInputMessage="1" promptTitle="Detalle: Mensaje de Resolución" prompt="Estimados, _x000a__x000a_Se cambian repuestos por Tomas Vera._x000a__x000a_Saludos." sqref="M55" xr:uid="{C9E379EE-E290-D642-A708-29D9BD73FCC4}">
      <formula1>TRUE</formula1>
    </dataValidation>
    <dataValidation type="custom" allowBlank="1" showInputMessage="1" promptTitle="Detalle: Mensaje de Resolución" prompt="Estimados,_x000a__x000a_Se cierra tk ya que crearon otro por los repuestos que llegaron. Se continua por el otro ticket._x000a__x000a_Gracias" sqref="M54" xr:uid="{11A05880-1FF5-1948-93D3-F290CFA5A781}">
      <formula1>TRUE</formula1>
    </dataValidation>
    <dataValidation type="custom" allowBlank="1" showInputMessage="1" promptTitle="Detalle: Mensaje de Resolución" prompt="Duración de trabajo 1:30 hs_x000a_Se hace calibración de muelas._x000a_Se necesita hacer mantenimiento de grupo, _x000a_pedir orring de grupo de pistón superior e inferior ya que al hacer cafés estos salen aguados" sqref="M53" xr:uid="{7BC4A1F9-6E97-4A4A-847C-60D4458CFC5D}">
      <formula1>TRUE</formula1>
    </dataValidation>
    <dataValidation type="custom" allowBlank="1" showInputMessage="1" promptTitle="Detalle: Mensaje de Resolución" prompt="Cafetera grand Bourg (4 horas de trabajo)_x000a_Cimbali 1859984_x000a_Tiket#109875_x000a_Se encontró con equipo q saltaba constantemente protectores térmicos debido a exceso de presión en la caldera grande, debido a q al poner el lavado tenía la válvula eac de la lanz" sqref="M52" xr:uid="{3A2DBA27-4237-1143-A2B4-0474664D6783}">
      <formula1>TRUE</formula1>
    </dataValidation>
    <dataValidation type="custom" allowBlank="1" showInputMessage="1"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 sqref="M51" xr:uid="{078A191D-CF59-2042-B367-F3000FC895D5}">
      <formula1>TRUE</formula1>
    </dataValidation>
    <dataValidation type="custom" allowBlank="1" showInputMessage="1" promptTitle="Detalle: Mensaje de Resolución" prompt="Cafetera francisco alvarez_x000a_N*de ticket:106000_x000a_N*de serie:1969718_x000a_Horas realizadas: 30m_x000a__x000a_Se encontró tobogán muy tapado y tolva mm1 mal colocada._x000a_Se destapó tobogán y se colocó correctamente la tolva mm1._x000a_Se explicó a la gerenta del local lo sucedido " sqref="M50" xr:uid="{C6FDEEDA-9D17-B341-B140-2A9B99AC9F88}">
      <formula1>TRUE</formula1>
    </dataValidation>
    <dataValidation type="custom" allowBlank="1" showInputMessage="1" promptTitle="Detalle: Mensaje de Resolución" prompt="Cimbali flores (1 hora de trabajo)_x000a_Tiket#107696_x000a_Molienda mm2 trabada con plástico del café, se destrabó y se realizó puesta cero en ambas moliendas, se calibro espuma_x000a_Observaciones: muelas muy desgastadas en las dos moliendas se recomienda cambio ya " sqref="M49" xr:uid="{E5E317AA-B39B-6348-9A25-F9173C05EFA9}">
      <formula1>TRUE</formula1>
    </dataValidation>
    <dataValidation type="custom" allowBlank="1" showInputMessage="1" promptTitle="Detalle: Mensaje de Resolución" prompt="Cafetera constitución (2horas de trabajo)_x000a_Cimbali_x000a_Tiket#109136_x000a_Cafetera moliendo muy fino y se trababa todo el café en el tobogán, se realizó puesta cero y calibración, por otro lado no realizaba descarga de infusión ya q la cámara del grupo estaba o" sqref="M48" xr:uid="{0F7971C3-8AB8-2A4B-9BE8-2DF2CE711823}">
      <formula1>TRUE</formula1>
    </dataValidation>
    <dataValidation type="custom" allowBlank="1" showInputMessage="1"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 sqref="M47" xr:uid="{780840A9-F767-6F4D-BA15-278A3A777704}">
      <formula1>TRUE</formula1>
    </dataValidation>
    <dataValidation type="custom" allowBlank="1" showInputMessage="1" promptTitle="Detalle: Mensaje de Resolución" prompt="Se limpia pescador de caldera ya que se encontraba tapado. Se analiza agua y se encuentra con alta dureza. Por favor ver de reemplazar los filtros y poner en marcha el ablandador de sales" sqref="M45" xr:uid="{94463A77-FB13-724D-87D5-0ABDEBA6AFFE}">
      <formula1>TRUE</formula1>
    </dataValidation>
    <dataValidation type="custom" allowBlank="1" showInputMessage="1" promptTitle="Detalle: Mensaje de Resolución" prompt="Carrefour Quilmes (1 hora de trabajo)_x000a_Cimbali _x000a_Tiket:106674_x000a_Equipo con molienda mm2 trabada con plástico , se hizo puesta cero de ambas moliendas y calibración, se calibro espuma de la leche ya q no salía con espuma de calidad" sqref="M44" xr:uid="{6E973279-3093-5443-821D-90527D83B9E0}">
      <formula1>TRUE</formula1>
    </dataValidation>
    <dataValidation type="custom" allowBlank="1" showInputMessage="1" promptTitle="Detalle: Mensaje de Resolución" prompt="Estimados,_x000a__x000a_Esto fue resuelto por Tomas Horodeski_x000a__x000a_Saludos." sqref="M43" xr:uid="{2A847B3E-02E7-4549-BA33-672FDE4C55E4}">
      <formula1>TRUE</formula1>
    </dataValidation>
    <dataValidation type="custom" allowBlank="1" showInputMessage="1" promptTitle="Detalle: Mensaje de Resolución" prompt="Estimados, _x000a__x000a_Se reinician termicos de la caldera grande, dejando el equipo operativo._x000a_Solicita al deposito los siguientes repuestos: - manguera de leche- ⁠filtro de leche- ⁠reguladores de aire - ⁠protector térmico superior_x000a__x000a_Saludos." sqref="M42" xr:uid="{284558F9-1BBF-B948-87C9-A4542B193400}">
      <formula1>TRUE</formula1>
    </dataValidation>
    <dataValidation type="custom" allowBlank="1" showInputMessage="1" promptTitle="Detalle: Mensaje de Resolución" prompt="Estimados,_x000a__x000a_Ya se encuentra hecho un tk por el mismo incidente. Por favor, no duplicarlos._x000a__x000a_Muchas gracias." sqref="M41" xr:uid="{94501748-92BD-B949-8289-D062A847CEF0}">
      <formula1>TRUE</formula1>
    </dataValidation>
    <dataValidation type="custom" allowBlank="1" showInputMessage="1"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_x000a_Tiempo de se" sqref="M40" xr:uid="{8E512117-C038-694E-883B-38DFB4A8B2BE}">
      <formula1>TRUE</formula1>
    </dataValidation>
    <dataValidation type="custom" allowBlank="1" showInputMessage="1" promptTitle="Detalle: Mensaje de Resolución" prompt="Cafetera canning _x000a_N de ticket:106692_x000a_N de serie:203305_x000a_Tiempo en servicio: 30m_x000a__x000a_Se encontró la cafetera funcionando correctamente así mismo se le hizo un chequeo general._x000a_Se realizó calibración de las moliendas y limpieza de grupo_x000a__x000a_Observaciones: pas" sqref="M39" xr:uid="{D1C9549C-C8AA-2D47-A244-82A84B97B261}">
      <formula1>TRUE</formula1>
    </dataValidation>
    <dataValidation type="custom" allowBlank="1" showInputMessage="1"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sqref="M38" xr:uid="{02069C8B-5B34-634D-9153-F81A6D495C2F}">
      <formula1>TRUE</formula1>
    </dataValidation>
    <dataValidation type="custom" allowBlank="1" showInputMessage="1" promptTitle="Detalle: Mensaje de Resolución" prompt="Estimados,_x000a__x000a_Se paso presupuesto a Iris Ayala por esto. Por favor aprobar el mismo y realizar el tk cuando cuenten con los repuestos en el local_x000a__x000a_Saldudos." sqref="M37" xr:uid="{4D112D73-4BC2-EE4D-BDA0-3D464696CD4C}">
      <formula1>TRUE</formula1>
    </dataValidation>
    <dataValidation type="custom" allowBlank="1" showInputMessage="1" promptTitle="Detalle: Mensaje de Resolución" prompt="Cafetera cabildo 2 (1 hora de trabajo)_x000a_Cimbali 2032629_x000a_Tiket#108213_x000a_Se encontró equipo con protectores térmicos disparados, se volvieron a activar,se reviso entrada de agua, caudal y activación de circuito completo la, a su vez también el lavado corr" sqref="M36" xr:uid="{B057EF8A-1B9D-174C-9352-9A12E96DE4B5}">
      <formula1>TRUE</formula1>
    </dataValidation>
    <dataValidation type="custom" allowBlank="1" showInputMessage="1" promptTitle="Detalle: Mensaje de Resolución" prompt="Cimbali 2032629_x000a_Tiket#107222_x000a_Equipo con pastillas muy húmedas, tobogán doblado haciendo q el descarte de pastilla se acumule bajo el grupo empastando todo de café, se extrajo grupo de realizó una limpieza ,se enderezó el tobogán,y se volvió a ensambl" sqref="M35" xr:uid="{05407242-E23D-2842-B40E-E4AFAACB41E4}">
      <formula1>TRUE</formula1>
    </dataValidation>
    <dataValidation type="custom" allowBlank="1" showInputMessage="1" promptTitle="Detalle: Mensaje de Resolución" prompt="Tiempo de servicio; 30 min_x000a__x000a_Al llegar Las cafeteras estaban apagadas por que  hacían saltar el disyuntor, al prender una cafetera anduvo bien, la 1er Cafetera al tener la vavula de seguridad abierta el vapor humedece el circuito e hizo corto lo que g" sqref="M33" xr:uid="{121F9003-B3C2-5540-9385-89F03EDEF109}">
      <formula1>TRUE</formula1>
    </dataValidation>
    <dataValidation type="custom" allowBlank="1" showInputMessage="1"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_x000a_Respuestos a " sqref="M32" xr:uid="{BEC72BE6-1E70-5F4F-92BE-6E940139CD7E}">
      <formula1>TRUE</formula1>
    </dataValidation>
    <dataValidation type="custom" allowBlank="1" showInputMessage="1" promptTitle="Detalle: Mensaje de Resolución" prompt="Estimados,_x000a__x000a_Esto fue resuelto por Tomas Vera. Se envia presupuesto por repuestos_x000a__x000a_Saludos." sqref="M31" xr:uid="{FDD0F398-5BE7-8449-A179-C59C5A11ACD1}">
      <formula1>TRUE</formula1>
    </dataValidation>
    <dataValidation type="custom" allowBlank="1" showInputMessage="1" promptTitle="Detalle: Mensaje de Resolución" prompt="Estimados, _x000a__x000a_Se cambia acople racor recto de grupo. Se dejar el equipo operando._x000a__x000a_Saludos." sqref="M30" xr:uid="{09AB55CB-E09E-DC4D-9753-D8A99392874B}">
      <formula1>TRUE</formula1>
    </dataValidation>
    <dataValidation type="custom" allowBlank="1" showInputMessage="1" promptTitle="Detalle: Mensaje de Resolución" prompt="Cafetera cabildo (2 horas de trabajo)_x000a_Tiket #107183_x000a_Cimbali 1840650_x000a_Muelas trabadas con café cielo y duro, se desarmo limpio, se realizó puesta cero y calibración, equipo operando con normalidad" sqref="M29" xr:uid="{8B7D3814-539F-514B-A19D-F8184960D915}">
      <formula1>TRUE</formula1>
    </dataValidation>
    <dataValidation type="custom" allowBlank="1" showInputMessage="1" promptTitle="Detalle: Mensaje de Resolución" prompt="Estimados, _x000a__x000a_Por favor ver de no crear dos tk por lo mismo_x000a__x000a_Muchas gracias" sqref="M28" xr:uid="{914895DE-EEC2-364E-8232-2B024BE64B54}">
      <formula1>TRUE</formula1>
    </dataValidation>
    <dataValidation type="custom" allowBlank="1" showInputMessage="1" promptTitle="Detalle: Mensaje de Resolución" prompt="Se conversa con Iris y comenta que pudieron dejar funcionando una de las cafeteras. Por favor crear un tk nuevo por prioridad media. A la brevedad estaremos pasando a destrabar las moliendas de la otra cafetera._x000a__x000a_Saludos" sqref="M27" xr:uid="{5178A493-9C0C-8341-869D-F0D5B4349F2E}">
      <formula1>TRUE</formula1>
    </dataValidation>
    <dataValidation type="custom" allowBlank="1" showInputMessage="1"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sqref="M26" xr:uid="{A5040447-E9E3-9F4F-9A9A-0476E6830731}">
      <formula1>TRUE</formula1>
    </dataValidation>
    <dataValidation type="custom" allowBlank="1" showInputMessage="1" promptTitle="Detalle: Mensaje de Resolución" prompt="Cafetera cabildo (2 horas de trabajo)_x000a_(No tiene número de serial)_x000a_Tiket #105963_x000a_Se encontró con la cafetera sacando pero comenta la gerente q por momentos se trababa, se realizó puesta cero,se encontró pedazo de plástico trabado en mm1, se calibro po" sqref="M25" xr:uid="{1D62B264-EEBB-6846-AF9C-D86FFA884187}">
      <formula1>TRUE</formula1>
    </dataValidation>
    <dataValidation type="custom" allowBlank="1" showInputMessage="1" promptTitle="Detalle: Mensaje de Resolución" prompt="Cafetera Boedo (1 hora de trabajo)_x000a_Cimbali 1860967_x000a_Tiket#109284_x000a_Se limpio circuito de leche y se encontró chicler obstruido se destapó y calibro leche y espuma, equipo operando" sqref="M24" xr:uid="{A19B603E-AFB8-F94B-A42B-84B23A101835}">
      <formula1>TRUE</formula1>
    </dataValidation>
    <dataValidation type="custom" allowBlank="1" showInputMessage="1" promptTitle="Detalle: Mensaje de Resolución" prompt="Cafetera Boedo(1 hora de trabajo)_x000a_Tiket# 108874_x000a_Mm2 trabada con madera se realizó puesta cero de las dos moliendas y calibración, se regulo espuma, equipo operando" sqref="M23" xr:uid="{78D31E7C-6AFA-6542-95FF-D7C998831B36}">
      <formula1>TRUE</formula1>
    </dataValidation>
    <dataValidation type="custom" allowBlank="1" showInputMessage="1" promptTitle="Detalle: Mensaje de Resolución" prompt="Cafetera Boedo (1 hora de trabajo)_x000a_Cimbali 1860967_x000a_Tiket# 108469_x000a_Desagüe de lavado válvula g tapada con café se limpio y se realizó lavado no volvió a saltar el disyuntor, se calibro leche y espuma ya q salía sin espuma, chicler de bomba tapado y fil" sqref="M22" xr:uid="{B206BE50-9B48-FD44-A481-C44ED9FD34EF}">
      <formula1>TRUE</formula1>
    </dataValidation>
    <dataValidation type="custom" allowBlank="1" showInputMessage="1" promptTitle="Detalle: Mensaje de Resolución" prompt="Estimados,_x000a__x000a_Por favor crear el tk en la categoría que corresponda. _x000a__x000a_Gracias" sqref="M21" xr:uid="{EA65261D-D485-D049-8F25-E06273BBBEC2}">
      <formula1>TRUE</formula1>
    </dataValidation>
    <dataValidation type="custom" allowBlank="1" showInputMessage="1"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 sqref="M20" xr:uid="{C3F12FC0-1D3E-F34D-BBD3-429093B9A76F}">
      <formula1>TRUE</formula1>
    </dataValidation>
    <dataValidation type="custom" allowBlank="1" showInputMessage="1" promptTitle="Detalle: Mensaje de Resolución" prompt="Estimados, buenas tardes. _x000a__x000a_Esto no corresponde a una emergencia. Por favor realizar el tk en la categoría correspondiente._x000a__x000a_Gracias" sqref="M19" xr:uid="{016076F2-BF22-224B-B5FC-3BD874AAC265}">
      <formula1>TRUE</formula1>
    </dataValidation>
    <dataValidation type="custom" allowBlank="1" showInputMessage="1" promptTitle="Detalle: Mensaje de Resolución" prompt="Equipo con poco caudal de agua, el local informo q hoy a la noche realiza colocación de bomba presurizadora para mejorar el caudal." sqref="M18" xr:uid="{B32C19B4-D58D-9D47-AFD9-E93B171FD9B1}">
      <formula1>TRUE</formula1>
    </dataValidation>
    <dataValidation type="custom" allowBlank="1" showInputMessage="1" promptTitle="Detalle: Mensaje de Resolución" prompt="Cimbali Boedo(4 horas de trabajo)_x000a_Serial: 1860967_x000a_Tiket #106295_x000a_Se encontró con equipo q se apagaba a cada rato y saltaba el protector termico de las calderas, se desarmo los laterales y se puso a hacer el lavado para detectar fallas, se encontró aco" sqref="M17" xr:uid="{450F416E-A7B7-F746-9539-B171D57159F7}">
      <formula1>TRUE</formula1>
    </dataValidation>
    <dataValidation type="custom" allowBlank="1" showInputMessage="1" promptTitle="Detalle: Mensaje de Resolución" prompt="Cafetera Boedo(1 hora de trabajo)_x000a_Tiket#105889_x000a_Serial:1860967_x000a_Se encontro con equipo apagado al momento de prender el equipo no levantaba presión de caldera impidiendo utilizar el equipo se midió se revisaron protectores térmicos bomba de agua, válvu" sqref="M16" xr:uid="{906A7464-B1F0-EF4C-A745-246131255435}">
      <formula1>TRUE</formula1>
    </dataValidation>
    <dataValidation type="custom" allowBlank="1" showInputMessage="1" promptTitle="Detalle: Mensaje de Resolución" prompt="Estimados,_x000a__x000a_Se cierra tk ya que el tema lo vio EVETEC._x000a__x000a_Saludos" sqref="M15" xr:uid="{ABBAC7B8-171B-F341-8378-61F58DBF03F6}">
      <formula1>TRUE</formula1>
    </dataValidation>
    <dataValidation type="custom" allowBlank="1" showInputMessage="1" promptTitle="Detalle: Mensaje de Resolución" prompt="Estimados,_x000a__x000a_Se envia presupuesto por la reparacion de la cafetera. Por favor no triplicar los tk, se continua el tema por el otro._x000a__x000a_Saludos." sqref="M13:M14" xr:uid="{60161EED-62E7-AE44-9B96-0616EF094AB1}">
      <formula1>TRUE</formula1>
    </dataValidation>
    <dataValidation type="custom" allowBlank="1" showInputMessage="1" promptTitle="Detalle: Mensaje de Resolución" prompt="Se realiza calibración de equipo, ya que se encontraban las moliendas muy abiertas, generando que el café salga aguado._x000a_Se deja el equipo saliendo en los tiempos de erogación correspondientes_x000a__x000a_Saludos" sqref="M12" xr:uid="{8EE46A8D-B726-DB40-B539-8D541E7FFE1E}">
      <formula1>TRUE</formula1>
    </dataValidation>
    <dataValidation type="custom" allowBlank="1" showInputMessage="1" promptTitle="Detalle: Mensaje de Resolución" prompt="Se destraba molienda MM1 por un tornillo en una de las mismas._x000a__x000a_Se deja el equipo operativo _x000a__x000a_Saludos" sqref="M11" xr:uid="{541B5757-B817-C540-83AA-9958CE4D0D27}">
      <formula1>TRUE</formula1>
    </dataValidation>
    <dataValidation type="custom" allowBlank="1" showInputMessage="1" promptTitle="Detalle: Mensaje de Resolución" prompt="Se regularon bastidores para las carnes, lsw solicito al local pedir los regulables para el segundo broiler ya que tienen los fijos" sqref="M10" xr:uid="{F443832D-397F-BA4D-83D8-731244E3C473}">
      <formula1>TRUE</formula1>
    </dataValidation>
    <dataValidation type="custom" allowBlank="1" showInputMessage="1" promptTitle="Detalle: Mensaje de Resolución" prompt="Cafetera destrabada, molienda clavada por maderas. Ya quedo calibrada y se realizo puesta 0_x000a_Tiemponde servicio: 1hr" sqref="M9" xr:uid="{22F3463D-11F8-2447-9C5E-DE51115315A8}">
      <formula1>TRUE</formula1>
    </dataValidation>
    <dataValidation type="custom" allowBlank="1" showInputMessage="1"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sqref="M8" xr:uid="{9D0FE4CF-C763-7340-BE82-00B791B043E8}">
      <formula1>TRUE</formula1>
    </dataValidation>
    <dataValidation type="custom" allowBlank="1" showInputMessage="1" promptTitle="Detalle: Mensaje de Resolución" prompt="Estimados,_x000a__x000a_Esto fue resuelto por el local_x000a__x000a_Saludos." sqref="M7" xr:uid="{ABA4B76C-C760-C44E-8F6D-CFE897E627A9}">
      <formula1>TRUE</formula1>
    </dataValidation>
    <dataValidation type="custom" allowBlank="1" showInputMessage="1" promptTitle="Detalle: Mensaje de Resolución" prompt="Resuelto por el local _x000a__x000a_Saludos" sqref="M6" xr:uid="{9BE6E468-19D1-BF4A-BAD6-82A6ED76B101}">
      <formula1>TRUE</formula1>
    </dataValidation>
    <dataValidation type="custom" allowBlank="1" showInputMessage="1" promptTitle="Detalle: Mensaje de Resolución" prompt="Cafetera Avellaneda _x000a_Tk n* 110062_x000a_Serie n* 1977238_x000a_Tiempo de servicio: 2h_x000a__x000a_Se encontró el tobogán lleno de café obstruyendo todo._x000a_Se hizo limpieza en profundidad , puesta 0 y calibración de las mismas moliendas._x000a_Se destapó desagote de matcha y se col" sqref="M5" xr:uid="{6DB1DF0A-C94D-C942-BE51-24C7F70B971B}">
      <formula1>TRUE</formula1>
    </dataValidation>
    <dataValidation type="custom" allowBlank="1" showInputMessage="1" promptTitle="Detalle: Mensaje de Resolución" prompt="Cafetera Avellaneda (4 horas de trabajo)_x000a_Cimbali_x000a_Tiket# 109263_x000a_Se encontró cafetera moliendo muy fino y acumulando café tanto en el tobogán de lavado, tobogán de grupo y tobogán de descarte de pastilla, se sacó el grupo se le realizó una preventiva p" sqref="M4" xr:uid="{93A1927E-CBF1-9042-8FE4-A2B98F1D02F3}">
      <formula1>TRUE</formula1>
    </dataValidation>
    <dataValidation type="custom" allowBlank="1" showInputMessage="1" promptTitle="Detalle: Mensaje de Resolución" prompt="Estimados,_x000a__x000a_Se destraba molienda MM1 y se limpia café húmedo._x000a__x000a_Saludos" sqref="M3" xr:uid="{936F2744-9FF1-D940-9370-0FFD83FB5FAB}">
      <formula1>TRUE</formula1>
    </dataValidation>
    <dataValidation type="custom" allowBlank="1" showInputMessage="1" promptTitle="Detalle: Mensaje de Resolución" prompt="Moliendas destrabadas, en el momento de limpiar las moliendas se encontró pedacito de maderas, se calibraron y se hizo puesta a 0. Se recomienda cambio urgente de kit de oring del grupo para mejorar calidad de café._x000a_Tiempo de servicio: 1hr" sqref="M2" xr:uid="{AD9A482D-BF22-CF44-9A2E-F2B556142EAC}">
      <formula1>TRUE</formula1>
    </dataValidation>
    <dataValidation type="custom" allowBlank="1" showInputMessage="1" promptTitle="Detalle: Última Respuesta" prompt="Buenos días necesito que pase un tecnico lo antes posible ya que no funcionan ninguna de las dos moliendas" sqref="E185" xr:uid="{A485A4CC-E0B1-CD44-814E-556B36BF15C0}">
      <formula1>TRUE</formula1>
    </dataValidation>
    <dataValidation type="custom" allowBlank="1" showInputMessage="1" promptTitle="Detalle: Última Respuesta" prompt="Las moliendas hacen un ruido raro, ya la lavamos y limpiamos, revisamos las moliendas y siguen sin dar café" sqref="E178" xr:uid="{F78E80CB-6226-A64A-B318-DDD66CCA3CE0}">
      <formula1>TRUE</formula1>
    </dataValidation>
    <dataValidation type="custom" allowBlank="1" showInputMessage="1" promptTitle="Detalle: Última Respuesta" prompt="Adjunto fotos restantes" sqref="E177" xr:uid="{D3CDF22B-17EE-354C-8424-4824EC406BA8}">
      <formula1>TRUE</formula1>
    </dataValidation>
    <dataValidation type="custom" allowBlank="1" showInputMessage="1" promptTitle="Detalle: Última Respuesta" prompt="Vino el técnico a arreglarla pero volvió a trabarse apenas se retiro" sqref="E166" xr:uid="{6512781D-6508-4E4E-9CD4-FE9143D8BECA}">
      <formula1>TRUE</formula1>
    </dataValidation>
    <dataValidation type="custom" allowBlank="1" showInputMessage="1" promptTitle="Detalle: Última Respuesta" prompt="San isidro franquicia (1 hora de trabajo)_x000a_Tiket: 106054_x000a_Frezzer de carnes no llega a temperatura se reviso y tenía el forzador con elige doblada y clavada impidiendo ventilar el condensador del equipo,se enderezó y se realizó un preventivo del conden" sqref="E165" xr:uid="{F01B612E-928C-7C45-8F99-084B68D7C8A8}">
      <formula1>TRUE</formula1>
    </dataValidation>
    <dataValidation type="custom" allowBlank="1" showInputMessage="1" promptTitle="Detalle: Última Respuesta" prompt="Es la freidora de pollos" sqref="E146" xr:uid="{7C2BD0ED-AF69-E741-9DA7-190F7D5DA8E6}">
      <formula1>TRUE</formula1>
    </dataValidation>
    <dataValidation type="custom" allowBlank="1" showInputMessage="1" promptTitle="Detalle: Última Respuesta" prompt="Estimados, _x000a__x000a_Esto fue resuelto por Bruno Leyes. Se destrabaron las moliendas y se calibro el equipo._x000a__x000a_Saludos." sqref="E130" xr:uid="{4A7E7204-2A73-6943-B8B8-1383476FB8DF}">
      <formula1>TRUE</formula1>
    </dataValidation>
    <dataValidation type="custom" allowBlank="1" showInputMessage="1" promptTitle="Detalle: Última Respuesta" prompt="Se reparo el equipo Cimbali. El local queda operando. Mañana se retira el equipo melitta para reparación en taller. Se sigue via mail." sqref="E106" xr:uid="{064B2588-549C-084D-BF94-12A1B6AE786F}">
      <formula1>TRUE</formula1>
    </dataValidation>
    <dataValidation type="custom" allowBlank="1" showInputMessage="1" promptTitle="Detalle: Última Respuesta" prompt="Cafetera monte grande_x000a_Tk n*110003_x000a_Tiempo de servicio :3hs_x000a__x000a_Se encontró con la cafetera que no levantaba temperatura y pedía lavados constantemente._x000a_Se hicieron descartes para confirmar qué problema tiene el equipo._x000a__x000a_Limpieza de chiclers evc _x000a_Limpieza" sqref="E98" xr:uid="{FF28A793-6ED3-C741-B210-E1C673692E78}">
      <formula1>TRUE</formula1>
    </dataValidation>
    <dataValidation type="custom" allowBlank="1" showInputMessage="1" promptTitle="Detalle: Última Respuesta" prompt="Liniers ( 3 horas de trabajo)_x000a_Cimbali 1842009_x000a_Tiket:106950_x000a_Equipo con muelas trabadas se encontró rama en mm1 y café viejo en mm2, se limpio, se hizo puesta cero y calibración, se limpio todo el circuito de leche para optimizar el llenado de los vaso" sqref="E78" xr:uid="{07F22D65-0B2E-8B41-95A2-058A473B7D37}">
      <formula1>TRUE</formula1>
    </dataValidation>
    <dataValidation type="custom" allowBlank="1" showInputMessage="1" promptTitle="Detalle: Última Respuesta" prompt="Cafetera Liniers (2 horas de trabajo)_x000a_Tiket#105887_x000a_Serial:1842009_x000a_Se encontró con la cafetera trabada de las dos moliendas (mm1,mm2) se abrieron las muelas y encontrando restos de madera y granos de café viejos de tono más claros q son muy duros e im" sqref="E77" xr:uid="{61C2CA33-BD71-BE40-81EF-F4CDC6C3AE48}">
      <formula1>TRUE</formula1>
    </dataValidation>
    <dataValidation type="custom" allowBlank="1" showInputMessage="1" promptTitle="Detalle: Última Respuesta" prompt="Cafetera 1 sale aguado_x000a_Cafetera 2 no sale" sqref="E64" xr:uid="{634C96CE-85FB-8442-A00E-EF387027DC3E}">
      <formula1>TRUE</formula1>
    </dataValidation>
    <dataValidation type="custom" allowBlank="1" showInputMessage="1" promptTitle="Detalle: Última Respuesta" prompt="Estimados,_x000a__x000a_Esto fue resuelto? se encuentra operativo el equipo nuevamente?_x000a__x000a_Gracias" sqref="E63" xr:uid="{C432C671-3CF0-E34B-BBD3-26D8A342FBD1}">
      <formula1>TRUE</formula1>
    </dataValidation>
    <dataValidation type="custom" allowBlank="1" showInputMessage="1" promptTitle="Detalle: Última Respuesta" prompt="Seguimos operando.sin cafetera, no se presento ningún técnico." sqref="E55" xr:uid="{BBACCBBC-E6C0-8345-9D39-5E69ABCE9D24}">
      <formula1>TRUE</formula1>
    </dataValidation>
    <dataValidation type="custom" allowBlank="1" showInputMessage="1" promptTitle="Detalle: Última Respuesta" prompt="Buen día, espero una respuesta lo antes posible,desde ya muchas gracias. _x000a_Saludos, Nahir" sqref="E52" xr:uid="{40D7F243-74AD-4A40-A19A-EB54FF48F29C}">
      <formula1>TRUE</formula1>
    </dataValidation>
    <dataValidation type="custom" allowBlank="1" showInputMessage="1" promptTitle="Detalle: Última Respuesta" prompt="Tecnico en camino_x000a__x000a_Saludos." sqref="E51" xr:uid="{D2624C13-33A2-4E4E-BAB2-95466A0F5E58}">
      <formula1>TRUE</formula1>
    </dataValidation>
    <dataValidation type="custom" allowBlank="1" showInputMessage="1" promptTitle="Detalle: Última Respuesta" prompt="Cafetera constitución _x000a_N*de ticket:105410_x000a_Horas realizadas: 1h:30m_x000a_N*de serie:2095425_x000a__x000a_Se cambiaron las moliendas superior y inferior._x000a_Se hizo puesta a 0 y se calibraron._x000a_Se cambió los dos orring._x000a_Se encontró un pedazo de madera en el tupper hermétic" sqref="E46" xr:uid="{8FAFA0F4-8B66-D947-8002-C37DA92C8B5E}">
      <formula1>TRUE</formula1>
    </dataValidation>
    <dataValidation type="custom" allowBlank="1" showInputMessage="1" promptTitle="Detalle: Última Respuesta" prompt="Estimados,_x000a__x000a_Cual es el error que presenta la cafetera?_x000a_Por favor adjuntar foto._x000a__x000a_Saludos." sqref="E42" xr:uid="{7EAD1D24-99E1-284C-837D-15BDBA6EDDD5}">
      <formula1>TRUE</formula1>
    </dataValidation>
    <dataValidation type="custom" allowBlank="1" showInputMessage="1" promptTitle="Detalle: Última Respuesta" prompt="Hola, se fijaron que el tobogán no este obstruido por café?" sqref="E39" xr:uid="{03BF8BFA-DDEB-A94B-8F78-CED5520A2C44}">
      <formula1>TRUE</formula1>
    </dataValidation>
    <dataValidation type="custom" allowBlank="1" showInputMessage="1" promptTitle="Detalle: Última Respuesta" prompt="Ya esta en funcionamiento" sqref="E34" xr:uid="{ACACC015-CB21-7C4E-996E-88FFF77AAC6C}">
      <formula1>TRUE</formula1>
    </dataValidation>
    <dataValidation type="custom" allowBlank="1" showInputMessage="1" promptTitle="Detalle: Última Respuesta" prompt="Cafetera cabildo (2 horas de trabajo)_x000a_(No tiene número de serial)_x000a_Tiket #105963_x000a_Se encontró con la cafetera sacando pero comenta la gerente q por momentos se trababa, se realizó puesta cero,se encontró pedazo de plástico trabado en mm1, se calibro po" sqref="E25" xr:uid="{97F2FF01-4787-2841-94AD-99BFEF934922}">
      <formula1>TRUE</formula1>
    </dataValidation>
    <dataValidation type="custom" allowBlank="1" showInputMessage="1" promptTitle="Detalle: Última Respuesta" prompt="Cafetera Boedo (1 hora de trabajo)_x000a_Cimbali 1860967_x000a_Tiket#109284_x000a_Se limpio circuito de leche y se encontró chicler obstruido se destapó y calibro leche y espuma, equipo operando" sqref="E24" xr:uid="{49484419-1ACA-D949-B433-05D2E0732DF7}">
      <formula1>TRUE</formula1>
    </dataValidation>
    <dataValidation type="custom" allowBlank="1" showInputMessage="1" promptTitle="Detalle: Última Respuesta" prompt="Cimbali Boedo(4 horas de trabajo)_x000a_Serial: 1860967_x000a_Tiket #106295_x000a_Se encontró con equipo q se apagaba a cada rato y saltaba el protector termico de las calderas, se desarmo los laterales y se puso a hacer el lavado para detectar fallas, se encontró aco" sqref="E17" xr:uid="{28B38057-5513-6E47-9181-2B8191957033}">
      <formula1>TRUE</formula1>
    </dataValidation>
    <dataValidation type="custom" allowBlank="1" showInputMessage="1" promptTitle="Detalle: Última Respuesta" prompt="Cafetera Boedo(1 hora de trabajo)_x000a_Tiket#105889_x000a_Serial:1860967_x000a_Se encontro con equipo apagado al momento de prender el equipo no levantaba presión de caldera impidiendo utilizar el equipo se midió se revisaron protectores térmicos bomba de agua, válvu" sqref="E16" xr:uid="{8488149A-C579-3146-B664-6928826B30EE}">
      <formula1>TRUE</formula1>
    </dataValidation>
    <dataValidation type="custom" allowBlank="1" showInputMessage="1" promptTitle="Detalle: Última Respuesta" prompt="Estimados,_x000a__x000a_Se envia presupuesto por repuestos a Marisa. Por favor aprobar dicho presupuesto para que podamos avanzar con la reparacion._x000a__x000a_Muchas gracias" sqref="E15" xr:uid="{91F55EBB-86C5-8640-964A-3CD6B1AD76DC}">
      <formula1>TRUE</formula1>
    </dataValidation>
    <dataValidation type="custom" allowBlank="1" showInputMessage="1" promptTitle="Detalle: Descripción" prompt="Hola! Molienda 1 no funciona, me figura que está el depósito vacío y sale solo agua" sqref="C191" xr:uid="{6D81F11A-D9A6-A04A-812F-CE54E286F158}">
      <formula1>TRUE</formula1>
    </dataValidation>
    <dataValidation type="custom" allowBlank="1" showInputMessage="1" promptTitle="Detalle: Descripción" prompt="Salta falla critica en equipo y no deja usarla, el café tambien sale mas lento a comparación de cuando estaba recien instalada" sqref="C190" xr:uid="{688A323B-A716-D441-9FE4-24A23A6CEC46}">
      <formula1>TRUE</formula1>
    </dataValidation>
    <dataValidation type="custom" allowBlank="1" showInputMessage="1" promptTitle="Detalle: Descripción" prompt="El equipo arroja error critico y no deja usarla, probamos apagando, dejandola reposar 10 minutos, al encenderla y seleccionar algun café vuelve el mismo error, adjunto foto del error" sqref="C189" xr:uid="{BE34BCFB-C7FE-6946-9B22-89785B07A74A}">
      <formula1>TRUE</formula1>
    </dataValidation>
    <dataValidation type="custom" allowBlank="1" showInputMessage="1" promptTitle="Detalle: Descripción" prompt="Buenos días, el cafe espresso esta saliendo aguado. Porfavor se podria revisar? Desde ya muchas gracias." sqref="C188" xr:uid="{2C745CB5-10C4-9B4A-8EE8-871043A9C9F9}">
      <formula1>TRUE</formula1>
    </dataValidation>
    <dataValidation type="custom" allowBlank="1" showInputMessage="1" promptTitle="Detalle: Descripción" prompt="No sale café de la cafetera" sqref="C187" xr:uid="{B14A5B5D-101F-7247-BA10-CBF389731DB7}">
      <formula1>TRUE</formula1>
    </dataValidation>
    <dataValidation type="custom" allowBlank="1" showInputMessage="1" promptTitle="Detalle: Descripción" prompt="Buenas, la cafetera no deja de gotear agua por el mismo suministro" sqref="C186" xr:uid="{FEFEBFD2-E459-714B-AE71-BC4F26E3052C}">
      <formula1>TRUE</formula1>
    </dataValidation>
    <dataValidation type="custom" allowBlank="1" showInputMessage="1" promptTitle="Detalle: Descripción" prompt="Hola buenas tardes, me comunico ya que tengo un problema con la mm1 ya que no muele los granos de cafe" sqref="C185" xr:uid="{E57245BF-DCEC-7848-BF3C-E744550D41E2}">
      <formula1>TRUE</formula1>
    </dataValidation>
    <dataValidation type="custom" allowBlank="1" showInputMessage="1" promptTitle="Detalle: Descripción" prompt="Buenos dias,_x000a__x000a_Una de las cafeteras no subsiona leche .. sale solo cafe negro. Podrian venir a revisarla ? _x000a__x000a_Estimamos que es la bomba" sqref="C184" xr:uid="{A4F77CD3-764F-FA4F-B051-ED7498F60DD1}">
      <formula1>TRUE</formula1>
    </dataValidation>
    <dataValidation type="custom" allowBlank="1" showInputMessage="1" promptTitle="Detalle: Descripción" prompt="Buenos dias, reabri el ticket 104152, las moliendas de la cafetera 1 y cafetera 2 no funcionan, unicamente esta funcionando una de cada cafetera," sqref="C183" xr:uid="{93FCC4D6-3B8F-E348-9346-3890EBED44B8}">
      <formula1>TRUE</formula1>
    </dataValidation>
    <dataValidation type="custom" allowBlank="1" showInputMessage="1" promptTitle="Detalle: Descripción" prompt="Cuando intentamos hacer un cafe nos sale agua de las dos moliendas, se traban cada 20 minutos" sqref="C182" xr:uid="{A7A7E5AD-58CE-D740-93EC-DC89B84CEE81}">
      <formula1>TRUE</formula1>
    </dataValidation>
    <dataValidation type="custom" allowBlank="1" showInputMessage="1" promptTitle="Detalle: Descripción" prompt="Buenas tardes la cafetera no realiza correctamente molienda de café y su extracción resulta diluida y con olor a quemado. El cafe desechado contiene exceso de agua y traba sus partes removibles. El sabor del cafe es baboso y ácido." sqref="C181" xr:uid="{A90683FB-0B9C-E142-A038-046FB92EF065}">
      <formula1>TRUE</formula1>
    </dataValidation>
    <dataValidation type="custom" allowBlank="1" showInputMessage="1" promptTitle="Detalle: Descripción" prompt="Molienda 1  tiene restos de madera que no logramos sacar, en la imagen muestro los restos que sacamos de la superficie." sqref="C180" xr:uid="{DFBF7783-803F-BE46-B12E-421C01DF1D0D}">
      <formula1>TRUE</formula1>
    </dataValidation>
    <dataValidation type="custom" allowBlank="1" showInputMessage="1"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_x000a_La mis" sqref="C179" xr:uid="{8C84E132-5AF4-9E4C-8581-21CB538660A5}">
      <formula1>TRUE</formula1>
    </dataValidation>
    <dataValidation type="custom" allowBlank="1" showInputMessage="1" promptTitle="Detalle: Descripción" prompt="Buenos dias, la cafetera del lado del transfer tiene el error 066 ,no tiene agua necesito si nos pondrían ayudar porfavor" sqref="C177" xr:uid="{5CA7217F-CED3-574A-A371-73BE11347191}">
      <formula1>TRUE</formula1>
    </dataValidation>
    <dataValidation type="custom" allowBlank="1" showInputMessage="1" promptTitle="Detalle: Descripción" prompt="Buenos días , la cafetera del lado del transfer tiene el error 066 no tiene agua ,porfavor nos podrían ayudar ,por el momento está apagada" sqref="C176" xr:uid="{4AEF9D17-9B03-0F42-AD45-68F3AFCA04AF}">
      <formula1>TRUE</formula1>
    </dataValidation>
    <dataValidation type="custom" allowBlank="1" showInputMessage="1" promptTitle="Detalle: Descripción" prompt="Cambiar resorte paninera ya que se cae" sqref="C174" xr:uid="{6C1E0E27-DFD0-A840-A371-98ABBC7AE78C}">
      <formula1>TRUE</formula1>
    </dataValidation>
    <dataValidation type="custom" allowBlank="1" showInputMessage="1" promptTitle="Detalle: Descripción" prompt="Freidora los quemadores no encienden y cuando la abrís explota" sqref="C173" xr:uid="{327790C4-4EAF-DB4F-B038-80FD3C1FB543}">
      <formula1>TRUE</formula1>
    </dataValidation>
    <dataValidation type="custom" allowBlank="1" showInputMessage="1" promptTitle="Detalle: Descripción" prompt="Calibrar maquina" sqref="C172" xr:uid="{CD76A8B4-CA11-C24B-A77B-5F14150411E9}">
      <formula1>TRUE</formula1>
    </dataValidation>
    <dataValidation type="custom" allowBlank="1" showInputMessage="1" promptTitle="Detalle: Descripción" prompt="Calibrar guías de carnes junior" sqref="C168" xr:uid="{12422BB5-2895-644C-B62D-A9F2058E44D8}">
      <formula1>TRUE</formula1>
    </dataValidation>
    <dataValidation type="custom" allowBlank="1" showInputMessage="1" promptTitle="Detalle: Descripción" prompt="Horno pratica nos arroja un error" sqref="C167" xr:uid="{27C48D53-CF3F-8C46-8A56-297C1752F261}">
      <formula1>TRUE</formula1>
    </dataValidation>
    <dataValidation type="custom" allowBlank="1" showInputMessage="1" promptTitle="Detalle: Descripción" prompt="Molienda 1 no muele café. Se verifica y a simple vista no se ve nada que trabe la molienda" sqref="C166" xr:uid="{F9F03FF7-3D93-FC45-98D1-3DE42AD75726}">
      <formula1>TRUE</formula1>
    </dataValidation>
    <dataValidation type="custom" allowBlank="1" showInputMessage="1" promptTitle="Detalle: Descripción" prompt="Freezzer carnes no llega a temperatura" sqref="C165" xr:uid="{D0424DDA-83B5-0C4C-8F0C-373B9C83519D}">
      <formula1>TRUE</formula1>
    </dataValidation>
    <dataValidation type="custom" allowBlank="1" showInputMessage="1" promptTitle="Detalle: Descripción" prompt="Heladera bajo mesada no llega a temperatura." sqref="C164" xr:uid="{804BF06C-AE93-0B41-8547-D2D31B352838}">
      <formula1>TRUE</formula1>
    </dataValidation>
    <dataValidation type="custom" allowBlank="1" showInputMessage="1" promptTitle="Detalle: Descripción" prompt="Falla en leche, no esta calibrada y sale sin espuma." sqref="C163" xr:uid="{BC11E39D-95EF-3447-8FE1-478124063E24}">
      <formula1>TRUE</formula1>
    </dataValidation>
    <dataValidation type="custom" allowBlank="1" showInputMessage="1" promptTitle="Detalle: Descripción" prompt="Buenas tardes. Las moliendas no muelen" sqref="C162" xr:uid="{3EF1BE5C-21D8-FF4A-9CE4-E16DA992D6EB}">
      <formula1>TRUE</formula1>
    </dataValidation>
    <dataValidation type="custom" allowBlank="1" showInputMessage="1" promptTitle="Detalle: Descripción" prompt="Falla en bomba de leche, no levanta y se corto la manguera por lo que pierde." sqref="C161" xr:uid="{56C87209-968B-4349-A586-B8CE89B02FE6}">
      <formula1>TRUE</formula1>
    </dataValidation>
    <dataValidation type="custom" allowBlank="1" showInputMessage="1" promptTitle="Detalle: Descripción" prompt="Molienda 1 no funciona, no sale cafe ni hace ningún movimiento." sqref="C160" xr:uid="{540958E2-D5B5-8B4B-A687-40AD50ED07BE}">
      <formula1>TRUE</formula1>
    </dataValidation>
    <dataValidation type="custom" allowBlank="1" showInputMessage="1" promptTitle="Detalle: Descripción" prompt="No funciona molienda mm1" sqref="C159" xr:uid="{89DC3BE8-2EB5-BA46-A066-95396D5C146D}">
      <formula1>TRUE</formula1>
    </dataValidation>
    <dataValidation type="custom" allowBlank="1" showInputMessage="1" promptTitle="Detalle: Descripción" prompt="Muy buenos dias!!! Moliendo mm2 sin funcionamiento." sqref="C158" xr:uid="{71F2955E-086E-E640-875E-4192868ED037}">
      <formula1>TRUE</formula1>
    </dataValidation>
    <dataValidation type="custom" allowBlank="1" showInputMessage="1" promptTitle="Detalle: Descripción" prompt="No funciona la molienda 1, no hace movimiento ni ruido del funcionamiento." sqref="C157" xr:uid="{0F983FD6-6425-9143-A1F2-A2DAA49F449A}">
      <formula1>TRUE</formula1>
    </dataValidation>
    <dataValidation type="custom" allowBlank="1" showInputMessage="1" promptTitle="Detalle: Descripción" prompt="Estimado mediante este ticket es para comunicar la falla de los acoples de la caldera grande del servicio, y esto hace salta la térmica." sqref="C156" xr:uid="{28D4A9E9-76F2-324F-ADB7-74706A27E4CC}">
      <formula1>TRUE</formula1>
    </dataValidation>
    <dataValidation type="custom" allowBlank="1" showInputMessage="1" promptTitle="Detalle: Descripción" prompt="Tobogan roto. Se pide repuesto" sqref="C155" xr:uid="{37402F73-4B25-AF4E-879B-0D8515F9627D}">
      <formula1>TRUE</formula1>
    </dataValidation>
    <dataValidation type="custom" allowBlank="1" showInputMessage="1" promptTitle="Detalle: Descripción" prompt="Buenas tardes! Emito tk para realizar la regulación del separador de carnes jr. Tengo broiler chico fijo y el otro si es con regulación." sqref="C154" xr:uid="{1782E1E2-565F-7B44-9EF8-18C4323D1F9D}">
      <formula1>TRUE</formula1>
    </dataValidation>
    <dataValidation type="custom" allowBlank="1" showInputMessage="1" promptTitle="Detalle: Descripción" prompt="buen dia, llego la bomba de respuesto, precisamos que venga a colocarla mantenimiento" sqref="C153" xr:uid="{F7569506-71B9-D248-B6B7-ADD7E836F341}">
      <formula1>TRUE</formula1>
    </dataValidation>
    <dataValidation type="custom" allowBlank="1" showInputMessage="1" promptTitle="Detalle: Descripción" prompt="Buenas tardes, precisamos colocar la bomba de leche." sqref="C152" xr:uid="{403E3719-719A-3D43-B43B-2901AD0BC743}">
      <formula1>TRUE</formula1>
    </dataValidation>
    <dataValidation type="custom" allowBlank="1" showInputMessage="1" promptTitle="Detalle: Descripción" prompt="Error 54. Ademas, café sale aguado, es necesario ver calibración." sqref="C151" xr:uid="{13D622DB-C657-0843-86B1-4D0AEED5FB31}">
      <formula1>TRUE</formula1>
    </dataValidation>
    <dataValidation type="custom" allowBlank="1" showInputMessage="1" promptTitle="Detalle: Descripción" prompt="Precisamos colocar la bomba de leche nueva" sqref="C150" xr:uid="{723E0AA9-7E79-0B47-91C8-FBAD6E56273F}">
      <formula1>TRUE</formula1>
    </dataValidation>
    <dataValidation type="custom" allowBlank="1" showInputMessage="1" promptTitle="Detalle: Descripción" prompt="El café sale sin sabor.  Pareciera que se quema y después sale solo agua . Tengo más de 5 quejas por café. [Y nones la calidad del café, el café siempre fue el mismo, peor ahora SOLO AGUA Y LECHE]" sqref="C149" xr:uid="{595AA489-CC39-9D48-9F7A-83155D325E0F}">
      <formula1>TRUE</formula1>
    </dataValidation>
    <dataValidation type="custom" allowBlank="1" showInputMessage="1" promptTitle="Detalle: Descripción" prompt="La freidora de pollos que ya revisaron en la semana por baja temperatura Ahora no corta. Y sigue subiendo hasta 250 en la perilla mínima. _x000a__x000a_Se puede prender fuego" sqref="C148" xr:uid="{DA655D16-B10A-6E46-8A59-C084FBB4FADA}">
      <formula1>TRUE</formula1>
    </dataValidation>
    <dataValidation type="custom" allowBlank="1" showInputMessage="1" promptTitle="Detalle: Descripción" prompt="Los clientes reclaman café aguado" sqref="C147" xr:uid="{0C4042EF-4F80-7447-A8F1-33AB7585B897}">
      <formula1>TRUE</formula1>
    </dataValidation>
    <dataValidation type="custom" allowBlank="1" showInputMessage="1" promptTitle="Detalle: Descripción" prompt="Hola, tenemos problemas con la freidora no esta llegando a temperatura" sqref="C146" xr:uid="{ADE519E1-75B0-6849-9FFE-C67673362028}">
      <formula1>TRUE</formula1>
    </dataValidation>
    <dataValidation type="custom" allowBlank="1" showInputMessage="1" promptTitle="Detalle: Descripción" prompt="Buenas, tuvimos un corte de luz programado, volvio  la luz y no me prenden los videocall" sqref="C145" xr:uid="{BFFB7749-8C14-5344-8EB5-4C3647A05693}">
      <formula1>TRUE</formula1>
    </dataValidation>
    <dataValidation type="custom" allowBlank="1" showInputMessage="1" promptTitle="Detalle: Descripción" prompt="Hola, de la maquina de helados cattabriga 603bib no nos esta saliendo mezcla de frutilla, anteriormente se nos habia roto el tubo y se lo cambiamos pero aun asi no sale mezcla" sqref="C144" xr:uid="{96332D94-EECC-454B-B884-D5E06250AD5B}">
      <formula1>TRUE</formula1>
    </dataValidation>
    <dataValidation type="custom" allowBlank="1" showInputMessage="1" promptTitle="Detalle: Descripción" prompt="Hola buen dia, tenemos problema con la carameladora no gira" sqref="C143" xr:uid="{5CB34D6E-8E9A-4C47-8406-11D1C07B8450}">
      <formula1>TRUE</formula1>
    </dataValidation>
    <dataValidation type="custom" allowBlank="1" showInputMessage="1" promptTitle="Detalle: Descripción" prompt="Hola buenas, tenemos problemas con la freidora no prense los quemadores" sqref="C142" xr:uid="{C690E0B0-F60B-C143-BEDE-585F2FF72356}">
      <formula1>TRUE</formula1>
    </dataValidation>
    <dataValidation type="custom" allowBlank="1" showInputMessage="1" promptTitle="Detalle: Descripción" prompt="Buenas estimados, estoy teniendo problemas con la cafetera, error 58, me podrían ayudar porfa." sqref="C141" xr:uid="{7E6ADF68-EFAA-E84A-8257-C015A4C52A1A}">
      <formula1>TRUE</formula1>
    </dataValidation>
    <dataValidation type="custom" allowBlank="1" showInputMessage="1" promptTitle="Detalle: Descripción" prompt="Hola estimados, tengo este problema con la cafetera, me podrían ayuda porfa" sqref="C140" xr:uid="{4D3FDAE1-5E0E-1F4A-A06A-F4981D662D04}">
      <formula1>TRUE</formula1>
    </dataValidation>
    <dataValidation type="custom" allowBlank="1" showInputMessage="1" promptTitle="Detalle: Descripción" prompt="Buenos días, necesitamos colocar las pantallas promo. Gracias" sqref="C139" xr:uid="{07D766A6-E717-1C40-94A3-DB3B02176E62}">
      <formula1>TRUE</formula1>
    </dataValidation>
    <dataValidation type="custom" allowBlank="1" showInputMessage="1" promptTitle="Detalle: Descripción" prompt="Buenas, tenemos el ascensor sin funcionar" sqref="C138" xr:uid="{149E9E9A-9AB7-964A-A671-BD8349EA933B}">
      <formula1>TRUE</formula1>
    </dataValidation>
    <dataValidation type="custom" allowBlank="1" showInputMessage="1" promptTitle="Detalle: Descripción" prompt="Tenemos un Freezer de papas sin funcionar" sqref="C137" xr:uid="{07AB9535-D4BB-1F4A-A8DD-57570BCA0B6D}">
      <formula1>TRUE</formula1>
    </dataValidation>
    <dataValidation type="custom" allowBlank="1" showInputMessage="1" promptTitle="Detalle: Descripción" prompt="Buenas, cafetera 1 esta trabada la molienda y no sale cafe." sqref="C136" xr:uid="{AEBD7E63-9E4B-6245-AD42-EF7C8296E70E}">
      <formula1>TRUE</formula1>
    </dataValidation>
    <dataValidation type="custom" allowBlank="1" showInputMessage="1" promptTitle="Detalle: Descripción" prompt="No me sale cafe, no muelen las moliendas de cafetera 1" sqref="C135" xr:uid="{951F6246-9232-ED47-B28F-6472553AF00E}">
      <formula1>TRUE</formula1>
    </dataValidation>
    <dataValidation type="custom" allowBlank="1" showInputMessage="1" promptTitle="Detalle: Descripción" prompt="Tenemos una cafetera que sale el café aguado, ver y calibrar ambas" sqref="C134" xr:uid="{875AA343-952F-DC40-BA84-8D4ACD580C73}">
      <formula1>TRUE</formula1>
    </dataValidation>
    <dataValidation type="custom" allowBlank="1" showInputMessage="1" promptTitle="Detalle: Descripción" prompt="Buenas, cafetera 1 tengo las moliendas trabadas. Podrian venir a verla, gracias." sqref="C133" xr:uid="{92D06AC0-73D4-2F47-A75C-D2D07599B617}">
      <formula1>TRUE</formula1>
    </dataValidation>
    <dataValidation type="custom" allowBlank="1" showInputMessage="1" promptTitle="Detalle: Descripción" prompt="No produce placas de hielo, no funciona" sqref="C132" xr:uid="{142ACDDD-6078-B642-966F-CA9A26CD6147}">
      <formula1>TRUE</formula1>
    </dataValidation>
    <dataValidation type="custom" allowBlank="1" showInputMessage="1" promptTitle="Detalle: Descripción" prompt="Buenas, cafetera 1 estan trabadas las moliendas y no sale cafe. Gracias" sqref="C131" xr:uid="{CAF6423D-538C-1541-8988-813D79DB4F99}">
      <formula1>TRUE</formula1>
    </dataValidation>
    <dataValidation type="custom" allowBlank="1" showInputMessage="1" promptTitle="Detalle: Descripción" prompt="No sale cafe de una de las cafeteras, no muelen cafe" sqref="C130" xr:uid="{A219EDE2-5F9E-E94E-A1DD-31EA76231B95}">
      <formula1>TRUE</formula1>
    </dataValidation>
    <dataValidation type="custom" allowBlank="1" showInputMessage="1" promptTitle="Detalle: Descripción" prompt="Buenas! El horno PRÁCTICA se baja la temperatura solo y no cocina los productos correctamente" sqref="C129" xr:uid="{7B7D9CCE-E6A1-714D-8E8B-98316C8BC852}">
      <formula1>TRUE</formula1>
    </dataValidation>
    <dataValidation type="custom" allowBlank="1" showInputMessage="1" promptTitle="Detalle: Descripción" prompt="No sald cafe" sqref="C128" xr:uid="{F069CB37-A121-E146-B32D-0192DDA63E93}">
      <formula1>TRUE</formula1>
    </dataValidation>
    <dataValidation type="custom" allowBlank="1" showInputMessage="1" promptTitle="Detalle: Descripción" prompt="La maquina no larga cafe" sqref="C127" xr:uid="{7C599D59-70B8-E648-B380-C624FB8AF9B9}">
      <formula1>TRUE</formula1>
    </dataValidation>
    <dataValidation type="custom" allowBlank="1" showInputMessage="1" promptTitle="Detalle: Descripción" prompt="El cafe sale aguado" sqref="C126" xr:uid="{B7A83B18-3BD2-A249-98D3-85D3E3515BE5}">
      <formula1>TRUE</formula1>
    </dataValidation>
    <dataValidation type="custom" allowBlank="1" showInputMessage="1" promptTitle="Detalle: Descripción" prompt="Cafe sale aguaduado _x000a_Al realizar los cafe se detecta el error nro 8_x000a_La pastilla sale humeda" sqref="C125" xr:uid="{FF651C98-3F9B-284B-9D37-0B7C9FF609B4}">
      <formula1>TRUE</formula1>
    </dataValidation>
    <dataValidation type="custom" allowBlank="1" showInputMessage="1" promptTitle="Detalle: Descripción" prompt="Buenas tardes! Ya recibimos el piston y set de orings. Solicitamos la instalación de los mismos." sqref="C124" xr:uid="{130EAF3E-2268-A541-980C-67F626892615}">
      <formula1>TRUE</formula1>
    </dataValidation>
    <dataValidation type="custom" allowBlank="1" showInputMessage="1" promptTitle="Detalle: Descripción" prompt="La cafetera no muele el cafe correctamente, asi q no sale cafe_x000a_Ahora no sale tampoco leche ni agua" sqref="C123" xr:uid="{7D2A6BAB-2CEC-F845-8545-F385EB81E154}">
      <formula1>TRUE</formula1>
    </dataValidation>
    <dataValidation type="custom" allowBlank="1" showInputMessage="1" promptTitle="Detalle: Descripción" prompt="Hola buen día el café no sale y ni sale espuma" sqref="C122" xr:uid="{5F5A059B-FC3A-C848-A212-E8753BD1F6FD}">
      <formula1>TRUE</formula1>
    </dataValidation>
    <dataValidation type="custom" allowBlank="1" showInputMessage="1" promptTitle="Detalle: Descripción" prompt="Hola buen día el café no sale y tampoco sale espuma" sqref="C121" xr:uid="{67CD9691-BF52-2249-8C2B-30F16F62ACFC}">
      <formula1>TRUE</formula1>
    </dataValidation>
    <dataValidation type="custom" allowBlank="1" showInputMessage="1" promptTitle="Detalle: Descripción" prompt="Estan saliendo aguados los cafes, estan llenando mas leche que cafe, me hacen quejas y devoluciones por cafe frios, tiene mucha suciedad por dentro con cafe seco." sqref="C120" xr:uid="{8B5078E0-E13E-A948-90CE-5A7AEC6F9C40}">
      <formula1>TRUE</formula1>
    </dataValidation>
    <dataValidation type="custom" allowBlank="1" showInputMessage="1" promptTitle="Detalle: Descripción" prompt="Buen día necesito un técnico con urgencia la máquina no prende y no larga café entre otros" sqref="C119" xr:uid="{5EC7DE06-30C2-364B-A59F-C7D31BA0BD1F}">
      <formula1>TRUE</formula1>
    </dataValidation>
    <dataValidation type="custom" allowBlank="1" showInputMessage="1" promptTitle="Detalle: Descripción" prompt="La máquina no calienta y me tira error 67" sqref="C118" xr:uid="{AF1B30E0-A301-5644-891C-09807859EFF5}">
      <formula1>TRUE</formula1>
    </dataValidation>
    <dataValidation type="custom" allowBlank="1" showInputMessage="1" promptTitle="Detalle: Descripción" prompt="Buenos dias, nuestra cafetera no está tomando temperatura para poder sacar café. Les solicitamos por favor que puedan revisar este inconveniente. Muchas gracias." sqref="C117" xr:uid="{CD2808E3-87CC-0A42-9D2B-EBA25C234BED}">
      <formula1>TRUE</formula1>
    </dataValidation>
    <dataValidation type="custom" allowBlank="1" showInputMessage="1" promptTitle="Detalle: Descripción" prompt="Buenas tardes. Detectamos un error en la resistencia de grupo de café. La misma fue cambiada el 15/12/25. Solicitamos por favor que puedan revisarla ya que afecta al funcionamiento de la cafetera. Muchas gracias." sqref="C116" xr:uid="{76B7BFB2-46D2-0141-98B6-2E8EEED26B2A}">
      <formula1>TRUE</formula1>
    </dataValidation>
    <dataValidation type="custom" allowBlank="1" showInputMessage="1" promptTitle="Detalle: Descripción" prompt="Hola buenas tardes, ya contamos con el motor para arreglar la cafetera. Necesitamos si podrían venir a arreglarla hoy, muchas gracias." sqref="C115" xr:uid="{CB0B8612-3BB5-3245-979F-3C5D7FDCDD94}">
      <formula1>TRUE</formula1>
    </dataValidation>
    <dataValidation type="custom" allowBlank="1" showInputMessage="1" promptTitle="Detalle: Descripción" prompt="2 Microondas sin calentar" sqref="C114" xr:uid="{DA659EEC-9086-DE45-BF6A-99818C96BD90}">
      <formula1>TRUE</formula1>
    </dataValidation>
    <dataValidation type="custom" allowBlank="1" showInputMessage="1" promptTitle="Detalle: Descripción" prompt="No sale ningun otro cafe que no sea latte y expresso," sqref="C113" xr:uid="{310F1E44-956F-E140-AE36-20BFDC92BABF}">
      <formula1>TRUE</formula1>
    </dataValidation>
    <dataValidation type="custom" allowBlank="1" showInputMessage="1" promptTitle="Detalle: Descripción" prompt="buenas tardes, no esta saliendo cafe de la cafetera, en ninguna opcion, se limpiaron las moliendas pero sigue sin salir cafe, necesitamos una solucion para poder seguir operando correctamente, muchas gracias" sqref="C112" xr:uid="{805046AA-9378-D54C-95A8-696A3A2B2D3B}">
      <formula1>TRUE</formula1>
    </dataValidation>
    <dataValidation type="custom" allowBlank="1" showInputMessage="1" promptTitle="Detalle: Descripción" prompt="No prende cafetera,  las térmicas están bien. Y el enchufe da corriente!" sqref="C106" xr:uid="{C8AA88E7-EECF-DB4C-82DC-24CE0724EECC}">
      <formula1>TRUE</formula1>
    </dataValidation>
    <dataValidation type="custom" allowBlank="1" showInputMessage="1" promptTitle="Detalle: Descripción" prompt="Leche sale fria" sqref="C105" xr:uid="{57246E56-5729-B74D-9E4D-E5B3E2D7667F}">
      <formula1>TRUE</formula1>
    </dataValidation>
    <dataValidation type="custom" allowBlank="1" showInputMessage="1" promptTitle="Detalle: Descripción" prompt="Buenas, el cafe esta saliendo aguado en la lagrima, y expreso." sqref="C104" xr:uid="{CA068D54-256A-BB4F-BA2A-EA23CD589FFD}">
      <formula1>TRUE</formula1>
    </dataValidation>
    <dataValidation type="custom" allowBlank="1" showInputMessage="1" promptTitle="Detalle: Descripción" prompt="Buenas tardes , sale el cafe aguado y se traban las moliendas" sqref="C103" xr:uid="{F58FAE96-0D09-AC49-88F8-EE0117759298}">
      <formula1>TRUE</formula1>
    </dataValidation>
    <dataValidation type="custom" allowBlank="1" showInputMessage="1" promptTitle="Detalle: Descripción" prompt="Buenas sale aguado el cafe de las 2 cafeteras" sqref="C102" xr:uid="{4BFBB852-1DDF-CB4C-8547-E7BAA79B86B5}">
      <formula1>TRUE</formula1>
    </dataValidation>
    <dataValidation type="custom" allowBlank="1" showInputMessage="1" promptTitle="Detalle: Descripción" prompt="Buenas , tenemos la cafetera con perdida de agua y nos sale aguado el cafe , de las 2 cafeteras el cafe negro sale aguado" sqref="C101" xr:uid="{9675BABC-9CF6-A84E-9A3D-ED33FC96CC1E}">
      <formula1>TRUE</formula1>
    </dataValidation>
    <dataValidation type="custom" allowBlank="1" showInputMessage="1" promptTitle="Detalle: Descripción" prompt="Buenas , la cafetera esta perdiendo mucha agua, y saca los cafes sin espuma" sqref="C100" xr:uid="{6CA673D7-48A5-CC4E-AA6C-523746E90D99}">
      <formula1>TRUE</formula1>
    </dataValidation>
    <dataValidation type="custom" allowBlank="1" showInputMessage="1" promptTitle="Detalle: Descripción" prompt="Buenos Días!_x000a_Me comunico por este medio debido a que nuestra cimbali figura como fría, y no toma temperatura." sqref="C99" xr:uid="{6483CB0C-8905-9945-9995-61C57DFBB425}">
      <formula1>TRUE</formula1>
    </dataValidation>
    <dataValidation type="custom" allowBlank="1" showInputMessage="1" promptTitle="Detalle: Descripción" prompt="Hola buen día,hace 2 dias una de nuestras cafeteras no funciona ya que aparece el logo de frio y al parecer no tiene agua,solicito un técnico..muchas gracias" sqref="C98" xr:uid="{09CE36CE-B3EE-3842-BE4C-75BFC91D8027}">
      <formula1>TRUE</formula1>
    </dataValidation>
    <dataValidation type="custom" allowBlank="1" showInputMessage="1" promptTitle="Detalle: Descripción" prompt="Hola, buenas tardes._x000a_Solicito la visita de un técnico para instalar/colgar los carteles luminosos en el local._x000a_Los carteles van en la zona que se observa en la foto adjunta._x000a_Quedo a disposición ante cualquier consulta._x000a__x000a_Gracias." sqref="C97" xr:uid="{1C488357-FA47-1C4C-A9A7-B9C271703878}">
      <formula1>TRUE</formula1>
    </dataValidation>
    <dataValidation type="custom" allowBlank="1" showInputMessage="1" promptTitle="Detalle: Descripción" prompt="Buen día, en el día de ayer recibimos una visita técnica_x000a_El día de hoy ninguna de las dos máquinas funciona,con error en molienda y máquina fria" sqref="C96" xr:uid="{73B7A03A-48EE-C643-8C08-D2283A055C72}">
      <formula1>TRUE</formula1>
    </dataValidation>
    <dataValidation type="custom" allowBlank="1" showInputMessage="1" promptTitle="Detalle: Descripción" prompt="Hola, Buenas tardes. Solicito un técnico por un problema con las moliendas, estas no están funcionando y sale únicamente leche. _x000a__x000a_Desde ya, muchas gracias._x000a__x000a_Aguardamos una respuesta." sqref="C95" xr:uid="{700B707E-8461-4348-8B1E-3B59AA1527A3}">
      <formula1>TRUE</formula1>
    </dataValidation>
    <dataValidation type="custom" allowBlank="1" showInputMessage="1" promptTitle="Detalle: Descripción" prompt="Hola! ambas cimballis no salen cafes! destrabamos las moliendas y siguen sin funcionar" sqref="C94" xr:uid="{46D173E7-BAAE-6540-9BA3-C7C73BC03A0C}">
      <formula1>TRUE</formula1>
    </dataValidation>
    <dataValidation type="custom" allowBlank="1" showInputMessage="1" promptTitle="Detalle: Descripción" prompt="Hola buenas, genero tk para que revisen feteadora que esta trabada !" sqref="C93" xr:uid="{D6917094-CFA2-454D-83B8-91CC9107BE00}">
      <formula1>TRUE</formula1>
    </dataValidation>
    <dataValidation type="custom" allowBlank="1" showInputMessage="1" promptTitle="Detalle: Descripción" prompt="No sale leche, cafe aguado y con poco espuma!" sqref="C92" xr:uid="{0AE21897-5C25-0C4A-9973-4ABCD7CB51CC}">
      <formula1>TRUE</formula1>
    </dataValidation>
    <dataValidation type="custom" allowBlank="1" showInputMessage="1" promptTitle="Detalle: Descripción" prompt="Estimados, solicitamos la regulación de broiler para el uso de las nuevas carnes jr_x000a_Muchas gracias!" sqref="C91" xr:uid="{9C452F73-5CB0-F743-B75B-53EDEBC0388C}">
      <formula1>TRUE</formula1>
    </dataValidation>
    <dataValidation type="custom" allowBlank="1" showInputMessage="1" promptTitle="Detalle: Descripción" prompt="hola buenas, genero tk de cattabriga ya que tenia perdida de helado en la parte de las palancas, solicito ayuda, gracias." sqref="C90" xr:uid="{81587B97-39A7-FE4F-9273-347DFCCC2340}">
      <formula1>TRUE</formula1>
    </dataValidation>
    <dataValidation type="custom" allowBlank="1" showInputMessage="1" promptTitle="Detalle: Descripción" prompt="levanto tk por falla en cafetera, preveer mantenimiento ya que el cafe sale aguado, con olor feo y la leche no sale con la espuma correcta! Revisar bomba de cafetera, desde ya gracias" sqref="C89" xr:uid="{9A883212-D2A4-2846-909E-6191FFFBEC47}">
      <formula1>TRUE</formula1>
    </dataValidation>
    <dataValidation type="custom" allowBlank="1" showInputMessage="1" promptTitle="Detalle: Descripción" prompt="La cafetera no saca cafe, se traban las moliendas pero por más que giren no sale!!! Es de suma urgencia ver el equipo ya que se está perdiendo venta" sqref="C88" xr:uid="{36653DCA-DB21-2A47-B8F7-E187D23E4F5A}">
      <formula1>TRUE</formula1>
    </dataValidation>
    <dataValidation type="custom" allowBlank="1" showInputMessage="1" promptTitle="Detalle: Descripción" prompt="Buenas, la cimbali presenta error 58. Segun mto el problema es sobrepresión en la caldera_x000a_No deja avanzar luego de realizar el lavado" sqref="C87" xr:uid="{6828EEBC-A589-BF4D-BDD7-F10B76123A5D}">
      <formula1>TRUE</formula1>
    </dataValidation>
    <dataValidation type="custom" allowBlank="1" showInputMessage="1" promptTitle="Detalle: Descripción" prompt="Buenas tardes, nos encontramos sin poder utilizar la máquina de helados Cattabriga ya que no enciende después de corte de luz._x000a_Aguardamos respuesta gracias." sqref="C86" xr:uid="{8A21ACCA-E83F-DB41-ACD6-6A7EBB2DC128}">
      <formula1>TRUE</formula1>
    </dataValidation>
    <dataValidation type="custom" allowBlank="1" showInputMessage="1" promptTitle="Detalle: Descripción" prompt="Hola necesitariamos un tecnico para que revise la cafetera CIMBALI y nos pase presupuesto." sqref="C85" xr:uid="{B7AC338C-A32C-684E-8972-58A06B22805B}">
      <formula1>TRUE</formula1>
    </dataValidation>
    <dataValidation type="custom" allowBlank="1" showInputMessage="1" promptTitle="Detalle: Descripción" prompt="No sale ni leche ni cafe de ninguna molienda" sqref="C84" xr:uid="{1BB8DA78-8DF9-2443-89D2-A3BB5D2D4BD6}">
      <formula1>TRUE</formula1>
    </dataValidation>
    <dataValidation type="custom" allowBlank="1" showInputMessage="1" promptTitle="Detalle: Descripción" prompt="No sale leche" sqref="C83" xr:uid="{CD91FE89-12C8-4F40-9EA4-33269DD2B715}">
      <formula1>TRUE</formula1>
    </dataValidation>
    <dataValidation type="custom" allowBlank="1" showInputMessage="1" promptTitle="Detalle: Descripción" prompt="Salta disyuntor del broiler cuando lo intentamos prender, problemas con el enchufe" sqref="C81" xr:uid="{66311161-2742-2B4B-ABDE-C7A9CC9A7477}">
      <formula1>TRUE</formula1>
    </dataValidation>
    <dataValidation type="custom" allowBlank="1" showInputMessage="1" promptTitle="Detalle: Descripción" prompt="Cambiar moliendas" sqref="C80" xr:uid="{F3D91CF1-0F27-B34C-A2E7-B120526BE623}">
      <formula1>TRUE</formula1>
    </dataValidation>
    <dataValidation type="custom" allowBlank="1" showInputMessage="1" promptTitle="Detalle: Descripción" prompt="Realizar ajuste al broiler por carnes nuevas" sqref="C79" xr:uid="{F780B8B8-F1DE-3846-AE25-096AAA6D768C}">
      <formula1>TRUE</formula1>
    </dataValidation>
    <dataValidation type="custom" allowBlank="1" showInputMessage="1" promptTitle="Detalle: Descripción" prompt="Molienda trabada" sqref="C78 C169" xr:uid="{5E71F448-ECD5-954D-BEB0-0C909E73B2D8}">
      <formula1>TRUE</formula1>
    </dataValidation>
    <dataValidation type="custom" allowBlank="1" showInputMessage="1" promptTitle="Detalle: Descripción" prompt="buen día, no me funciona ninguna de las dos moliendas." sqref="C77" xr:uid="{98BF2922-35FD-8642-8EA6-F1BFD58E7BF9}">
      <formula1>TRUE</formula1>
    </dataValidation>
    <dataValidation type="custom" allowBlank="1" showInputMessage="1" promptTitle="Detalle: Descripción" prompt="Me salta la térmica de la cafetera y se apaga." sqref="C76" xr:uid="{F97C1C0F-66F1-604B-ADFD-C4EBC1877D88}">
      <formula1>TRUE</formula1>
    </dataValidation>
    <dataValidation type="custom" allowBlank="1" showInputMessage="1" promptTitle="Detalle: Descripción" prompt="No funciona la cafetera, no saca café de las moliendas." sqref="C75" xr:uid="{EF6F11A9-2D63-1646-9997-2318B4BF59EE}">
      <formula1>TRUE</formula1>
    </dataValidation>
    <dataValidation type="custom" allowBlank="1" showInputMessage="1" promptTitle="Detalle: Descripción" prompt="Calentador averiado. Tampoco sale leche." sqref="C74" xr:uid="{30A52692-AD8F-454E-84BC-0FD40339A63F}">
      <formula1>TRUE</formula1>
    </dataValidation>
    <dataValidation type="custom" allowBlank="1" showInputMessage="1" promptTitle="Detalle: Descripción" prompt="Molienda 1 saca café aguado. Molienda 2 trabada" sqref="C73" xr:uid="{C9E47B4B-B172-2F49-BC59-3162700C4FAE}">
      <formula1>TRUE</formula1>
    </dataValidation>
    <dataValidation type="custom" allowBlank="1" showInputMessage="1" promptTitle="Detalle: Descripción" prompt="No sale cafe de ninguna molienda" sqref="C72 C82" xr:uid="{DD5D6537-25F3-444F-AC18-87A722E4024B}">
      <formula1>TRUE</formula1>
    </dataValidation>
    <dataValidation type="custom" allowBlank="1" showInputMessage="1" promptTitle="Detalle: Descripción" prompt="Revisar receta de cafetera" sqref="C71" xr:uid="{DC784DD5-BB5A-2A41-864E-418865ABE8F2}">
      <formula1>TRUE</formula1>
    </dataValidation>
    <dataValidation type="custom" allowBlank="1" showInputMessage="1" promptTitle="Detalle: Descripción" prompt="Buenas, contamos con ambas moliendas trabadas. No sale café y el equipo se apaga periódicamente." sqref="C70" xr:uid="{883EE62A-0E10-6344-8999-D65D66FD0189}">
      <formula1>TRUE</formula1>
    </dataValidation>
    <dataValidation type="custom" allowBlank="1" showInputMessage="1" promptTitle="Detalle: Descripción" prompt="Buenas tardes, ya contamos con el respuesto de acrílico de la molienda n1 en el local." sqref="C69" xr:uid="{5EAD4144-9BB9-5140-BE76-A434235D7DD7}">
      <formula1>TRUE</formula1>
    </dataValidation>
    <dataValidation type="custom" allowBlank="1" showInputMessage="1" promptTitle="Detalle: Descripción" prompt="La molienda 1 no sale cafe" sqref="C68" xr:uid="{98D97D47-0C1E-D441-91D9-0412974D9039}">
      <formula1>TRUE</formula1>
    </dataValidation>
    <dataValidation type="custom" allowBlank="1" showInputMessage="1" promptTitle="Detalle: Descripción" prompt="Buenas tardes, la cafetera pierde demasiada agua por la parte de abajo," sqref="C67" xr:uid="{D5CB36CD-456E-8D47-BBFA-5BC40C91DA9D}">
      <formula1>TRUE</formula1>
    </dataValidation>
    <dataValidation type="custom" allowBlank="1" showInputMessage="1" promptTitle="Detalle: Descripción" prompt="Buenos días. Tenemos la molienda 2 trabada. No muele café. Las muelas son nuevas. Gracias . Sofía administradora 2215655185" sqref="C66" xr:uid="{6BC32015-3F80-BE4F-B907-B46F6924EAD2}">
      <formula1>TRUE</formula1>
    </dataValidation>
    <dataValidation type="custom" allowBlank="1" showInputMessage="1" promptTitle="Detalle: Descripción" prompt="Buenas no sale café de las maquinas" sqref="C64" xr:uid="{EE723171-3BDE-DE43-BED8-5ECD3B83B6E7}">
      <formula1>TRUE</formula1>
    </dataValidation>
    <dataValidation type="custom" allowBlank="1" showInputMessage="1" promptTitle="Detalle: Descripción" prompt="Cattabriga congela por de más" sqref="C63" xr:uid="{EDF970D5-E88E-B54A-B1D1-B4491BA2B524}">
      <formula1>TRUE</formula1>
    </dataValidation>
    <dataValidation type="custom" allowBlank="1" showInputMessage="1" promptTitle="Detalle: Descripción" prompt="PIEZA FALTANTE PARA FRENTE DE BROILER ( CARNES JR ) JF63" sqref="C62" xr:uid="{2028290A-4FC6-1042-90A1-F62962DE7749}">
      <formula1>TRUE</formula1>
    </dataValidation>
    <dataValidation type="custom" allowBlank="1" showInputMessage="1" promptTitle="Detalle: Descripción" prompt="No funciona ninguna de las dos muelas , no sale café" sqref="C61" xr:uid="{71F98D36-CFC4-4E4B-9A9D-20730BE26742}">
      <formula1>TRUE</formula1>
    </dataValidation>
    <dataValidation type="custom" allowBlank="1" showInputMessage="1" promptTitle="Detalle: Descripción" prompt="El día de hoy por la tarde dejó de moler café y solo sale agua y leche. Le hicimos la limpieza completa y la limpieza de café y no funcionan las muelas. Necesitamos urgente una reparación." sqref="C60" xr:uid="{DC57D4D3-B2E3-3A42-B5F2-7DED2EA944FF}">
      <formula1>TRUE</formula1>
    </dataValidation>
    <dataValidation type="custom" allowBlank="1" showInputMessage="1" promptTitle="Detalle: Descripción" prompt="Instalar tobogán, el local ya lo recibio" sqref="C59" xr:uid="{C71C5C3A-9DFC-2D45-9361-CC84555FF33C}">
      <formula1>TRUE</formula1>
    </dataValidation>
    <dataValidation type="custom" allowBlank="1" showInputMessage="1" promptTitle="Detalle: Descripción" prompt="Estimados, buenas tardes._x000a_Necesitamos urgente la visita de un técnico debido a que se rompió una pieza (el tobogán) de la címballi._x000a_Adjunto fotos de la rotura. _x000a_Desde ya. Muchas gracias." sqref="C58" xr:uid="{68E832F1-1656-5444-BD67-E6051F913BD5}">
      <formula1>TRUE</formula1>
    </dataValidation>
    <dataValidation type="custom" allowBlank="1" showInputMessage="1" promptTitle="Detalle: Descripción" prompt="Hola buenas estamos con la cafetera que no sale cafe, porque se traba en el tobogan, y sale vapor que hace el cafe se humedesca." sqref="C57" xr:uid="{6E4BEFE6-EADC-BD46-9FE5-A5D56B716481}">
      <formula1>TRUE</formula1>
    </dataValidation>
    <dataValidation type="custom" allowBlank="1" showInputMessage="1" promptTitle="Detalle: Descripción" prompt="Ya estan los repuestos en el local para el.cambio de kit" sqref="C56" xr:uid="{679AC955-E46E-594A-97FE-8584F567B946}">
      <formula1>TRUE</formula1>
    </dataValidation>
    <dataValidation type="custom" allowBlank="1" showInputMessage="1" promptTitle="Detalle: Descripción" prompt="Hola buenas! Ya estan los repuestos de la cafetera para colocar con urgencia! Muchas gracias." sqref="C55" xr:uid="{C9FE4288-DABE-D640-9186-09506C49EA5D}">
      <formula1>TRUE</formula1>
    </dataValidation>
    <dataValidation type="custom" allowBlank="1" showInputMessage="1" promptTitle="Detalle: Descripción" prompt="Buenas tardes ,la cimbali necesita jna visita técnica y un cambio de repuesto . Ya que el café no sale ,y cuando sale aguado y frío" sqref="C54" xr:uid="{A31D53FA-6370-AD42-A834-220F89C2FD04}">
      <formula1>TRUE</formula1>
    </dataValidation>
    <dataValidation type="custom" allowBlank="1" showInputMessage="1" promptTitle="Detalle: Descripción" prompt="No sale café, la leche sale fría y sale sin espuma" sqref="C53" xr:uid="{3020B111-F6DA-8548-8314-2C939DAB17B4}">
      <formula1>TRUE</formula1>
    </dataValidation>
    <dataValidation type="custom" allowBlank="1" showInputMessage="1" promptTitle="Detalle: Descripción" prompt="Hola buenas_x000a_La cafetera pide el lavado al realizarlo salta error 058, ya verificamos que no estén tapados los picos y las manguera, reiniciamos la máquina y sigue igual." sqref="C52" xr:uid="{C42E8537-0D13-6846-A93D-8D40EC72811F}">
      <formula1>TRUE</formula1>
    </dataValidation>
    <dataValidation type="custom" allowBlank="1" showInputMessage="1" promptTitle="Detalle: Descripción" prompt="Hola buen dia_x000a_El equipo no está largando café a la ahora de seleccionar alguna de las opciones._x000a_Solo larga agua y leche dependiendo del tipo de café que seleccione" sqref="C50" xr:uid="{6CB384D1-FBB8-8143-8AD8-1627C0EE3F2A}">
      <formula1>TRUE</formula1>
    </dataValidation>
    <dataValidation type="custom" allowBlank="1" showInputMessage="1" promptTitle="Detalle: Descripción" prompt="Hola buen día, la cafetera no funciona molienda 2 y sale error 61" sqref="C49" xr:uid="{4711A96B-DD8B-EE4C-A3B6-82F3321F4CE3}">
      <formula1>TRUE</formula1>
    </dataValidation>
    <dataValidation type="custom" allowBlank="1" showInputMessage="1" promptTitle="Detalle: Descripción" prompt="No funciona correctamente la cafetera arrojando poco café y saliendo la pastilla de esa manera." sqref="C48" xr:uid="{D2D36DCE-A569-8D4B-B070-276013103A44}">
      <formula1>TRUE</formula1>
    </dataValidation>
    <dataValidation type="custom" allowBlank="1" showInputMessage="1" promptTitle="Detalle: Descripción" prompt="Buen día, a una de las cafeteras no le sale café de ninguna de las dos moliendas. _x000a_Ambas moliendas fueron cambiadas hace una semana" sqref="C47" xr:uid="{05E679C7-FB7B-064F-81D5-15772C4EF59B}">
      <formula1>TRUE</formula1>
    </dataValidation>
    <dataValidation type="custom" allowBlank="1" showInputMessage="1" promptTitle="Detalle: Descripción" prompt="Porfavor si pueden venir a hacer el cambio de las 4 moliendas de las cafeteras." sqref="C46" xr:uid="{CB17B9BC-FFA2-4744-9812-2DEEEF569E54}">
      <formula1>TRUE</formula1>
    </dataValidation>
    <dataValidation type="custom" allowBlank="1" showInputMessage="1" promptTitle="Detalle: Descripción" prompt="Hola buenos días, la cafetera pide el lavado constantemente y tira error 58. _x000a_Por favor si podrán venir con urgencia ya que no la podemos usar para nada _x000a_Gracias, Rebeca." sqref="C45" xr:uid="{CF504EB5-3866-CA4F-AB78-65C39E92B74A}">
      <formula1>TRUE</formula1>
    </dataValidation>
    <dataValidation type="custom" allowBlank="1" showInputMessage="1" promptTitle="Detalle: Descripción" prompt="Buenos días cafetera molienda 2 no funciona" sqref="C44" xr:uid="{41C2283F-A9E3-8040-A812-DDFE6A5F81EA}">
      <formula1>TRUE</formula1>
    </dataValidation>
    <dataValidation type="custom" allowBlank="1" showInputMessage="1" promptTitle="Detalle: Descripción" prompt="Buen día estimado, _x000a__x000a_Necesitamos con urgencia la visita de un técnico para que nos arregle una cimbali, el problema es que no le encuentran la falla. _x000a__x000a_Aguardamos respuesta, muchas gracias." sqref="C42" xr:uid="{EC66EDBB-A909-B940-9C67-9D3DABBBEC03}">
      <formula1>TRUE</formula1>
    </dataValidation>
    <dataValidation type="custom" allowBlank="1" showInputMessage="1" promptTitle="Detalle: Descripción" prompt="Buen día estimado, _x000a_Estamos teniendo problemas con la cimbali, no le encuentran la falla lo cual, necesitamos una revisión de un técnico." sqref="C41" xr:uid="{F85E98A5-7AE3-A644-9362-F1FDA4D9E323}">
      <formula1>TRUE</formula1>
    </dataValidation>
    <dataValidation type="custom" allowBlank="1" showInputMessage="1" promptTitle="Detalle: Descripción" prompt="Buen día nuestra cafetera nos tira error 8 y no sale café solo agua de las 2 moliendas" sqref="C40" xr:uid="{C8EA5CEB-52CC-E340-9996-515D726C58DB}">
      <formula1>TRUE</formula1>
    </dataValidation>
    <dataValidation type="custom" allowBlank="1" showInputMessage="1" promptTitle="Detalle: Descripción" prompt="Buenos días, la cafetera nos esta tirando error 8 desde hoy temprano. Tampoco me sale café, solo agua de las 2 moliendas" sqref="C39" xr:uid="{23D5F5B4-B35E-4447-B41C-9A7CA46355A9}">
      <formula1>TRUE</formula1>
    </dataValidation>
    <dataValidation type="custom" allowBlank="1" showInputMessage="1" promptTitle="Detalle: Descripción" prompt="La cafetera esta tirando café por abajo, los vasos quedan vacíos porqué el café no esta saliendo por donde debe salir" sqref="C38" xr:uid="{C06D7D5D-2B36-E948-A2B7-C28556761196}">
      <formula1>TRUE</formula1>
    </dataValidation>
    <dataValidation type="custom" allowBlank="1" showInputMessage="1" promptTitle="Detalle: Descripción" prompt="El café sale aguado. Se reguló las molienda pero igualmente sale desabrido. Marca error 54 en display" sqref="C37" xr:uid="{70C7B952-57C5-8B4A-8AC2-3B95F6E92D3B}">
      <formula1>TRUE</formula1>
    </dataValidation>
    <dataValidation type="custom" allowBlank="1" showInputMessage="1" promptTitle="Detalle: Descripción" prompt="La cafetera no toma temperatura, falla en caldera." sqref="C36" xr:uid="{D861B0FB-8BC5-5544-9400-7402C143CFDF}">
      <formula1>TRUE</formula1>
    </dataValidation>
    <dataValidation type="custom" allowBlank="1" showInputMessage="1" promptTitle="Detalle: Descripción" prompt="al hacer el lavado de la cafetera sale agua por el costado de la cafetera, cuando haces un café con la cafetera abierta y cae la pastilla se llena de agua la cafetera, y queda mojado el tovogan de la cafetera" sqref="C35" xr:uid="{9E3D5FA3-E5EF-F341-9998-3189A64B89E4}">
      <formula1>TRUE</formula1>
    </dataValidation>
    <dataValidation type="custom" allowBlank="1" showInputMessage="1" promptTitle="Detalle: Descripción" prompt="Hola la maquina no esta funcionando, se bloqueo y no sale lo que es cafe, si podrían mandando un técnico por favor" sqref="C34" xr:uid="{A6CFBAA2-7167-1B49-89B4-BBE3F1965B40}">
      <formula1>TRUE</formula1>
    </dataValidation>
    <dataValidation type="custom" allowBlank="1" showInputMessage="1" promptTitle="Detalle: Descripción" prompt="Cafetera 1 moliendas trabadas y tornillo sin relieve para que podamos destrabar nosotros _x000a_Cafetera 2 leche sale fría _x000a__x000a_Nicolás Heredia _x000a_1165015790" sqref="C31" xr:uid="{5D20FBD0-4C47-CE4D-8CBE-994E1550F555}">
      <formula1>TRUE</formula1>
    </dataValidation>
    <dataValidation type="custom" allowBlank="1" showInputMessage="1" promptTitle="Detalle: Descripción" prompt="Pierde Cafe por debajo, y salta las termicas" sqref="C30" xr:uid="{C07C59E1-0578-5441-BA42-82CE690D776C}">
      <formula1>TRUE</formula1>
    </dataValidation>
    <dataValidation type="custom" allowBlank="1" showInputMessage="1" promptTitle="Detalle: Descripción" prompt="No sale café del lado de la paninera" sqref="C29" xr:uid="{63940C0B-B065-6841-8BF6-EA8403AEBDEB}">
      <formula1>TRUE</formula1>
    </dataValidation>
    <dataValidation type="custom" allowBlank="1" showInputMessage="1" promptTitle="Detalle: Descripción" prompt="No sale cafe" sqref="C28 C32" xr:uid="{9C8050DD-56E5-5943-8980-0DC33E8DD806}">
      <formula1>TRUE</formula1>
    </dataValidation>
    <dataValidation type="custom" allowBlank="1" showInputMessage="1" promptTitle="Detalle: Descripción" prompt="No me sale café de ninguna de las dos cafeteras _x000a__x000a_Nicolás 1165015790" sqref="C27" xr:uid="{C107A21E-5E03-DE42-99D3-84C9F8DB0C23}">
      <formula1>TRUE</formula1>
    </dataValidation>
    <dataValidation type="custom" allowBlank="1" showInputMessage="1" promptTitle="Detalle: Descripción" prompt="Buenas noches género tk debido a que ya me llegaron los repuestos" sqref="C26" xr:uid="{AB4F0A8F-CE9B-F643-8787-DB445245FE8A}">
      <formula1>TRUE</formula1>
    </dataValidation>
    <dataValidation type="custom" allowBlank="1" showInputMessage="1" promptTitle="Detalle: Descripción" prompt="Hola no sale café, adjunto foto de como sale  un expreso corto, porfavor si pueden venir a revisar.. gracias" sqref="C25" xr:uid="{22F15238-7D00-AA43-94C9-97D74246521D}">
      <formula1>TRUE</formula1>
    </dataValidation>
    <dataValidation type="custom" allowBlank="1" showInputMessage="1" promptTitle="Detalle: Descripción" prompt="Sale leche sin espuma" sqref="C24" xr:uid="{FAA6451D-001A-8E43-9880-99AFEAC4A9B9}">
      <formula1>TRUE</formula1>
    </dataValidation>
    <dataValidation type="custom" allowBlank="1" showInputMessage="1" promptTitle="Detalle: Descripción" prompt="B_x000a__x000a_No sale café de una molienda" sqref="C23" xr:uid="{9EDA52D6-635B-0941-A1E2-200FF72E4DA0}">
      <formula1>TRUE</formula1>
    </dataValidation>
    <dataValidation type="custom" allowBlank="1" showInputMessage="1" promptTitle="Detalle: Descripción" prompt="Cuando está por finalizar el lavado salta el disyuntor" sqref="C22" xr:uid="{E7BFB969-CF22-FE4A-9760-F8ACE8751AA3}">
      <formula1>TRUE</formula1>
    </dataValidation>
    <dataValidation type="custom" allowBlank="1" showInputMessage="1" promptTitle="Detalle: Descripción" prompt="No sale con espuma" sqref="C21" xr:uid="{5ADE2E7B-6766-104D-97C7-A2C549B34B6C}">
      <formula1>TRUE</formula1>
    </dataValidation>
    <dataValidation type="custom" allowBlank="1" showInputMessage="1" promptTitle="Detalle: Descripción" prompt="Cafetera sin espuma y café aguado." sqref="C20" xr:uid="{9A6FBFDB-7902-444B-80F2-3947993C5B8A}">
      <formula1>TRUE</formula1>
    </dataValidation>
    <dataValidation type="custom" allowBlank="1" showInputMessage="1" promptTitle="Detalle: Descripción" prompt="Buen día, leche y café salen sin espuma" sqref="C19" xr:uid="{4E51B2A0-80C4-9D4E-9625-34A10FB8CB66}">
      <formula1>TRUE</formula1>
    </dataValidation>
    <dataValidation type="custom" allowBlank="1" showInputMessage="1" promptTitle="Detalle: Descripción" prompt="Cafetera sin temperatura" sqref="C18" xr:uid="{FEEB77BD-0832-D54D-A6A0-1A53BF547D6D}">
      <formula1>TRUE</formula1>
    </dataValidation>
    <dataValidation type="custom" allowBlank="1" showInputMessage="1" promptTitle="Detalle: Descripción" prompt="no levanta temperatura y no permite hacer lavado" sqref="C17" xr:uid="{842C33E1-2F61-F84C-BC53-828CF5997E26}">
      <formula1>TRUE</formula1>
    </dataValidation>
    <dataValidation type="custom" allowBlank="1" showInputMessage="1" promptTitle="Detalle: Descripción" prompt="No toma temperatura" sqref="C16" xr:uid="{6D3E78A6-26E3-6845-9AA0-6565CF0D29A3}">
      <formula1>TRUE</formula1>
    </dataValidation>
    <dataValidation type="custom" allowBlank="1" showInputMessage="1" promptTitle="Detalle: Descripción" prompt="Buen dia, de la cafetera empezo a salir un monton de humo y olor a quemado" sqref="C15" xr:uid="{6BFAC667-4EAF-984D-BB3A-9A804F45D799}">
      <formula1>TRUE</formula1>
    </dataValidation>
    <dataValidation type="custom" allowBlank="1" showInputMessage="1" promptTitle="Detalle: Descripción" prompt="Buen dia, se prendio la cafetera y sale humo de los cables laterales, podran venir a revisarla urgente porfavor, gracias" sqref="C14" xr:uid="{D9ED8523-3C74-C747-86C6-D8E4B13899E7}">
      <formula1>TRUE</formula1>
    </dataValidation>
    <dataValidation type="custom" allowBlank="1" showInputMessage="1" promptTitle="Detalle: Descripción" prompt="Buen día, los cafés no salen con la correcta proporción de café, haciendo que salgan aguados y de mala calidad, lo que es café con leche sale más leche y el café muy poco.. necesito una solución lo más pronto posible gracias" sqref="C13" xr:uid="{C612333F-0239-DF48-9D11-EDB5B9DA6C96}">
      <formula1>TRUE</formula1>
    </dataValidation>
    <dataValidation type="custom" allowBlank="1" showInputMessage="1" promptTitle="Detalle: Descripción" prompt="Buen dia, no nos sale cafe de la maquina, el error viene repitiendose hace semanas, lo solucionan pero se rompe de nuevo, necesitamos que nos asistan ya que no podemos vender cafe, gracias" sqref="C12" xr:uid="{7B5A57E5-B95E-DF48-BBBC-00CD7DC6361B}">
      <formula1>TRUE</formula1>
    </dataValidation>
    <dataValidation type="custom" allowBlank="1" showInputMessage="1" promptTitle="Detalle: Descripción" prompt="Hola.., me sale el café aguado y la leche no espuma" sqref="C11" xr:uid="{41D94E37-37FB-7D46-813E-9A5051AC38EE}">
      <formula1>TRUE</formula1>
    </dataValidation>
    <dataValidation type="custom" allowBlank="1" showInputMessage="1" promptTitle="Detalle: Descripción" prompt="Hola, tenemos un broiler con bastidores  regulable y otro no, podrán realizar la visita para chequear el equipo, gracias" sqref="C10" xr:uid="{229E8317-AC85-F848-9DF3-B620F25C7377}">
      <formula1>TRUE</formula1>
    </dataValidation>
    <dataValidation type="custom" allowBlank="1" showInputMessage="1" promptTitle="Detalle: Descripción" prompt="Hola buen día, no sale café" sqref="C9" xr:uid="{C26462CD-A90F-3F49-8215-A66A00ED3AD0}">
      <formula1>TRUE</formula1>
    </dataValidation>
    <dataValidation type="custom" allowBlank="1" showInputMessage="1" promptTitle="Detalle: Descripción" prompt="No sale leche, parece ser que la molienda esta trabada" sqref="C8" xr:uid="{25ED2CD7-E2BF-1E4C-BFB5-86217AF0C86B}">
      <formula1>TRUE</formula1>
    </dataValidation>
    <dataValidation type="custom" allowBlank="1" showInputMessage="1" promptTitle="Detalle: Descripción" prompt="Colocacion de blackligth" sqref="C7" xr:uid="{4B1A1D65-316E-2641-BB42-2B8F305BC286}">
      <formula1>TRUE</formula1>
    </dataValidation>
    <dataValidation type="custom" allowBlank="1" showInputMessage="1" promptTitle="Detalle: Descripción" prompt="No sale café" sqref="C6" xr:uid="{139078B7-0E4F-DF44-AC36-7F830AB92A50}">
      <formula1>TRUE</formula1>
    </dataValidation>
    <dataValidation type="custom" allowBlank="1" showInputMessage="1" promptTitle="Detalle: Descripción" prompt="No sale café es la segunda vez en menos de 24hs que no nos funciona y seguimos sin poder vender por favor" sqref="C5" xr:uid="{47BF4CEF-3F8C-BD4F-9DC5-8881E42F410A}">
      <formula1>TRUE</formula1>
    </dataValidation>
    <dataValidation type="custom" allowBlank="1" showInputMessage="1" promptTitle="Detalle: Descripción" prompt="Estimado. _x000a_La cafetera de nuevo no sale latte y no tiene presión de agua" sqref="C3" xr:uid="{D9661726-9A83-7F41-83C7-A81277302646}">
      <formula1>TRUE</formula1>
    </dataValidation>
    <dataValidation type="custom" allowBlank="1" showInputMessage="1" promptTitle="Detalle: Descripción" prompt="Buen día estimados. _x000a_No funciona la molienda que gestiona el Latte , solicito visita técnica. _x000a_Gracias" sqref="C2" xr:uid="{781D3B5A-3D48-5E4D-B2C4-1B069256B137}">
      <formula1>TRUE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1FA5-2510-4545-BBAC-2AB399FC9150}">
  <dimension ref="A1:P72"/>
  <sheetViews>
    <sheetView topLeftCell="A47" workbookViewId="0">
      <selection activeCell="N63" sqref="N63"/>
    </sheetView>
  </sheetViews>
  <sheetFormatPr baseColWidth="10" defaultRowHeight="13" x14ac:dyDescent="0.15"/>
  <cols>
    <col min="2" max="2" width="54.83203125" bestFit="1" customWidth="1"/>
    <col min="3" max="3" width="13.33203125" customWidth="1"/>
    <col min="9" max="9" width="30.83203125" bestFit="1" customWidth="1"/>
    <col min="10" max="10" width="25.83203125" bestFit="1" customWidth="1"/>
    <col min="11" max="11" width="25.83203125" customWidth="1"/>
    <col min="12" max="12" width="16.1640625" bestFit="1" customWidth="1"/>
  </cols>
  <sheetData>
    <row r="1" spans="1:16" x14ac:dyDescent="0.15">
      <c r="A1" t="s">
        <v>0</v>
      </c>
      <c r="B1" t="s">
        <v>1</v>
      </c>
      <c r="C1" t="s">
        <v>2</v>
      </c>
      <c r="D1" t="s">
        <v>3</v>
      </c>
      <c r="E1" t="s">
        <v>4</v>
      </c>
      <c r="F1" t="s">
        <v>5</v>
      </c>
      <c r="G1" t="s">
        <v>6</v>
      </c>
      <c r="H1" t="s">
        <v>7</v>
      </c>
      <c r="I1" t="s">
        <v>8</v>
      </c>
      <c r="J1" s="1" t="s">
        <v>37</v>
      </c>
      <c r="K1" s="1" t="s">
        <v>570</v>
      </c>
      <c r="L1" s="1" t="s">
        <v>571</v>
      </c>
      <c r="P1" s="5"/>
    </row>
    <row r="2" spans="1:16" x14ac:dyDescent="0.15">
      <c r="A2" t="s">
        <v>577</v>
      </c>
      <c r="B2" t="s">
        <v>565</v>
      </c>
      <c r="C2" t="s">
        <v>9</v>
      </c>
      <c r="D2" s="2">
        <v>46024</v>
      </c>
      <c r="E2" t="s">
        <v>10</v>
      </c>
      <c r="F2" t="s">
        <v>11</v>
      </c>
      <c r="G2" t="s">
        <v>617</v>
      </c>
      <c r="H2">
        <v>-1</v>
      </c>
      <c r="I2" t="s">
        <v>618</v>
      </c>
      <c r="J2" s="3">
        <v>32</v>
      </c>
      <c r="K2" s="3">
        <f>VLOOKUP(VALUE(A2),Tabla13[#All],9,0)</f>
        <v>20</v>
      </c>
      <c r="L2" s="4">
        <f>Tabla1[[#This Row],[Valor vendido en dolares]]-Tabla1[[#This Row],[Precio de Lista]]</f>
        <v>12</v>
      </c>
    </row>
    <row r="3" spans="1:16" x14ac:dyDescent="0.15">
      <c r="A3" t="s">
        <v>577</v>
      </c>
      <c r="B3" t="s">
        <v>565</v>
      </c>
      <c r="C3" t="s">
        <v>9</v>
      </c>
      <c r="D3" s="2">
        <v>46024</v>
      </c>
      <c r="E3" t="s">
        <v>10</v>
      </c>
      <c r="F3" t="s">
        <v>11</v>
      </c>
      <c r="G3" t="s">
        <v>617</v>
      </c>
      <c r="H3">
        <v>-1</v>
      </c>
      <c r="I3" t="s">
        <v>618</v>
      </c>
      <c r="J3" s="3">
        <v>32</v>
      </c>
      <c r="K3" s="3">
        <f>VLOOKUP(VALUE(A3),Tabla13[#All],9,0)</f>
        <v>20</v>
      </c>
      <c r="L3" s="4">
        <f>Tabla1[[#This Row],[Valor vendido en dolares]]-Tabla1[[#This Row],[Precio de Lista]]</f>
        <v>12</v>
      </c>
    </row>
    <row r="4" spans="1:16" x14ac:dyDescent="0.15">
      <c r="A4" t="s">
        <v>599</v>
      </c>
      <c r="B4" t="s">
        <v>600</v>
      </c>
      <c r="C4" t="s">
        <v>9</v>
      </c>
      <c r="D4" s="2">
        <v>46026</v>
      </c>
      <c r="E4" t="s">
        <v>10</v>
      </c>
      <c r="F4" t="s">
        <v>11</v>
      </c>
      <c r="G4" t="s">
        <v>601</v>
      </c>
      <c r="H4">
        <v>-1</v>
      </c>
      <c r="I4" t="s">
        <v>602</v>
      </c>
      <c r="J4" s="3">
        <v>13.92</v>
      </c>
      <c r="K4" s="3">
        <f>VLOOKUP(VALUE(A4),Tabla13[#All],9,0)</f>
        <v>8.6970847457627123</v>
      </c>
      <c r="L4" s="4">
        <f>Tabla1[[#This Row],[Valor vendido en dolares]]-Tabla1[[#This Row],[Precio de Lista]]</f>
        <v>5.2229152542372876</v>
      </c>
    </row>
    <row r="5" spans="1:16" x14ac:dyDescent="0.15">
      <c r="A5" t="s">
        <v>599</v>
      </c>
      <c r="B5" t="s">
        <v>600</v>
      </c>
      <c r="C5" t="s">
        <v>9</v>
      </c>
      <c r="D5" s="2">
        <v>46026</v>
      </c>
      <c r="E5" t="s">
        <v>10</v>
      </c>
      <c r="F5" t="s">
        <v>11</v>
      </c>
      <c r="G5" t="s">
        <v>601</v>
      </c>
      <c r="H5">
        <v>-1</v>
      </c>
      <c r="I5" t="s">
        <v>602</v>
      </c>
      <c r="J5" s="3">
        <v>13.92</v>
      </c>
      <c r="K5" s="3">
        <f>VLOOKUP(VALUE(A5),Tabla13[#All],9,0)</f>
        <v>8.6970847457627123</v>
      </c>
      <c r="L5" s="4">
        <f>Tabla1[[#This Row],[Valor vendido en dolares]]-Tabla1[[#This Row],[Precio de Lista]]</f>
        <v>5.2229152542372876</v>
      </c>
    </row>
    <row r="6" spans="1:16" x14ac:dyDescent="0.15">
      <c r="A6" t="s">
        <v>577</v>
      </c>
      <c r="B6" t="s">
        <v>565</v>
      </c>
      <c r="C6" t="s">
        <v>9</v>
      </c>
      <c r="D6" s="2">
        <v>46027</v>
      </c>
      <c r="E6" t="s">
        <v>10</v>
      </c>
      <c r="F6" t="s">
        <v>11</v>
      </c>
      <c r="G6" t="s">
        <v>619</v>
      </c>
      <c r="H6">
        <v>-3</v>
      </c>
      <c r="I6" t="s">
        <v>618</v>
      </c>
      <c r="J6" s="3">
        <v>32</v>
      </c>
      <c r="K6" s="3">
        <f>VLOOKUP(VALUE(A6),Tabla13[#All],9,0)</f>
        <v>20</v>
      </c>
      <c r="L6" s="4">
        <f>Tabla1[[#This Row],[Valor vendido en dolares]]-Tabla1[[#This Row],[Precio de Lista]]</f>
        <v>12</v>
      </c>
    </row>
    <row r="7" spans="1:16" x14ac:dyDescent="0.15">
      <c r="A7" t="s">
        <v>577</v>
      </c>
      <c r="B7" t="s">
        <v>565</v>
      </c>
      <c r="C7" t="s">
        <v>9</v>
      </c>
      <c r="D7" s="2">
        <v>46027</v>
      </c>
      <c r="E7" t="s">
        <v>10</v>
      </c>
      <c r="F7" t="s">
        <v>11</v>
      </c>
      <c r="G7" t="s">
        <v>619</v>
      </c>
      <c r="H7">
        <v>-3</v>
      </c>
      <c r="I7" t="s">
        <v>618</v>
      </c>
      <c r="J7" s="3">
        <v>32</v>
      </c>
      <c r="K7" s="3">
        <f>VLOOKUP(VALUE(A7),Tabla13[#All],9,0)</f>
        <v>20</v>
      </c>
      <c r="L7" s="4">
        <f>Tabla1[[#This Row],[Valor vendido en dolares]]-Tabla1[[#This Row],[Precio de Lista]]</f>
        <v>12</v>
      </c>
    </row>
    <row r="8" spans="1:16" x14ac:dyDescent="0.15">
      <c r="A8" t="s">
        <v>590</v>
      </c>
      <c r="B8" t="s">
        <v>591</v>
      </c>
      <c r="C8" t="s">
        <v>9</v>
      </c>
      <c r="D8" s="2">
        <v>46028</v>
      </c>
      <c r="E8" t="s">
        <v>10</v>
      </c>
      <c r="F8" t="s">
        <v>11</v>
      </c>
      <c r="G8" t="s">
        <v>592</v>
      </c>
      <c r="H8">
        <v>-1</v>
      </c>
      <c r="I8" t="s">
        <v>32</v>
      </c>
      <c r="J8" s="3">
        <v>113.44</v>
      </c>
      <c r="K8" s="3">
        <f>VLOOKUP(VALUE(A8),Tabla13[#All],9,0)</f>
        <v>70.902169491525427</v>
      </c>
      <c r="L8" s="4">
        <f>Tabla1[[#This Row],[Valor vendido en dolares]]-Tabla1[[#This Row],[Precio de Lista]]</f>
        <v>42.53783050847457</v>
      </c>
    </row>
    <row r="9" spans="1:16" x14ac:dyDescent="0.15">
      <c r="A9" t="s">
        <v>594</v>
      </c>
      <c r="B9" t="s">
        <v>14</v>
      </c>
      <c r="C9" t="s">
        <v>9</v>
      </c>
      <c r="D9" s="2">
        <v>46028</v>
      </c>
      <c r="E9" t="s">
        <v>10</v>
      </c>
      <c r="F9" t="s">
        <v>11</v>
      </c>
      <c r="G9" t="s">
        <v>595</v>
      </c>
      <c r="H9">
        <v>-1</v>
      </c>
      <c r="I9" t="s">
        <v>582</v>
      </c>
      <c r="J9" s="3">
        <v>25.9</v>
      </c>
      <c r="K9" s="3">
        <f>VLOOKUP(VALUE(A9),Tabla13[#All],9,0)</f>
        <v>16.184949152542373</v>
      </c>
      <c r="L9" s="4">
        <f>Tabla1[[#This Row],[Valor vendido en dolares]]-Tabla1[[#This Row],[Precio de Lista]]</f>
        <v>9.7150508474576256</v>
      </c>
    </row>
    <row r="10" spans="1:16" x14ac:dyDescent="0.15">
      <c r="A10" t="s">
        <v>33</v>
      </c>
      <c r="B10" t="s">
        <v>34</v>
      </c>
      <c r="C10" t="s">
        <v>9</v>
      </c>
      <c r="D10" s="2">
        <v>46028</v>
      </c>
      <c r="E10" t="s">
        <v>10</v>
      </c>
      <c r="F10" t="s">
        <v>11</v>
      </c>
      <c r="G10" t="s">
        <v>595</v>
      </c>
      <c r="H10">
        <v>-1</v>
      </c>
      <c r="I10" t="s">
        <v>582</v>
      </c>
      <c r="J10" s="3">
        <v>8</v>
      </c>
      <c r="K10" s="3">
        <f>VLOOKUP(VALUE(A10),Tabla13[#All],9,0)</f>
        <v>5</v>
      </c>
      <c r="L10" s="4">
        <f>Tabla1[[#This Row],[Valor vendido en dolares]]-Tabla1[[#This Row],[Precio de Lista]]</f>
        <v>3</v>
      </c>
    </row>
    <row r="11" spans="1:16" x14ac:dyDescent="0.15">
      <c r="A11" t="s">
        <v>615</v>
      </c>
      <c r="B11" t="s">
        <v>314</v>
      </c>
      <c r="C11" t="s">
        <v>9</v>
      </c>
      <c r="D11" s="2">
        <v>46028</v>
      </c>
      <c r="E11" t="s">
        <v>10</v>
      </c>
      <c r="F11" t="s">
        <v>11</v>
      </c>
      <c r="G11" t="s">
        <v>595</v>
      </c>
      <c r="H11">
        <v>-1</v>
      </c>
      <c r="I11" t="s">
        <v>582</v>
      </c>
      <c r="J11" s="3">
        <v>254.83</v>
      </c>
      <c r="K11" s="3">
        <f>VLOOKUP(VALUE(A11),Tabla13[#All],9,0)</f>
        <v>159.26827118644067</v>
      </c>
      <c r="L11" s="4">
        <f>Tabla1[[#This Row],[Valor vendido en dolares]]-Tabla1[[#This Row],[Precio de Lista]]</f>
        <v>95.561728813559341</v>
      </c>
    </row>
    <row r="12" spans="1:16" x14ac:dyDescent="0.15">
      <c r="A12" t="s">
        <v>616</v>
      </c>
      <c r="B12" t="s">
        <v>427</v>
      </c>
      <c r="C12" t="s">
        <v>9</v>
      </c>
      <c r="D12" s="2">
        <v>46028</v>
      </c>
      <c r="E12" t="s">
        <v>10</v>
      </c>
      <c r="F12" t="s">
        <v>11</v>
      </c>
      <c r="G12" t="s">
        <v>595</v>
      </c>
      <c r="H12">
        <v>-1</v>
      </c>
      <c r="I12" t="s">
        <v>582</v>
      </c>
      <c r="J12" s="3">
        <v>22.73</v>
      </c>
      <c r="K12" s="3">
        <f>VLOOKUP(VALUE(A12),Tabla13[#All],9,0)</f>
        <v>14.208338983050849</v>
      </c>
      <c r="L12" s="4">
        <f>Tabla1[[#This Row],[Valor vendido en dolares]]-Tabla1[[#This Row],[Precio de Lista]]</f>
        <v>8.5216610169491513</v>
      </c>
    </row>
    <row r="13" spans="1:16" x14ac:dyDescent="0.15">
      <c r="A13" t="s">
        <v>590</v>
      </c>
      <c r="B13" t="s">
        <v>591</v>
      </c>
      <c r="C13" t="s">
        <v>9</v>
      </c>
      <c r="D13" s="2">
        <v>46028</v>
      </c>
      <c r="E13" t="s">
        <v>10</v>
      </c>
      <c r="F13" t="s">
        <v>11</v>
      </c>
      <c r="G13" t="s">
        <v>592</v>
      </c>
      <c r="H13">
        <v>-1</v>
      </c>
      <c r="I13" t="s">
        <v>32</v>
      </c>
      <c r="J13" s="3">
        <v>113.44</v>
      </c>
      <c r="K13" s="3">
        <f>VLOOKUP(VALUE(A13),Tabla13[#All],9,0)</f>
        <v>70.902169491525427</v>
      </c>
      <c r="L13" s="4">
        <f>Tabla1[[#This Row],[Valor vendido en dolares]]-Tabla1[[#This Row],[Precio de Lista]]</f>
        <v>42.53783050847457</v>
      </c>
    </row>
    <row r="14" spans="1:16" x14ac:dyDescent="0.15">
      <c r="A14" t="s">
        <v>594</v>
      </c>
      <c r="B14" t="s">
        <v>14</v>
      </c>
      <c r="C14" t="s">
        <v>9</v>
      </c>
      <c r="D14" s="2">
        <v>46028</v>
      </c>
      <c r="E14" t="s">
        <v>10</v>
      </c>
      <c r="F14" t="s">
        <v>11</v>
      </c>
      <c r="G14" t="s">
        <v>595</v>
      </c>
      <c r="H14">
        <v>-1</v>
      </c>
      <c r="I14" t="s">
        <v>582</v>
      </c>
      <c r="J14" s="3">
        <v>25.9</v>
      </c>
      <c r="K14" s="3">
        <f>VLOOKUP(VALUE(A14),Tabla13[#All],9,0)</f>
        <v>16.184949152542373</v>
      </c>
      <c r="L14" s="4">
        <f>Tabla1[[#This Row],[Valor vendido en dolares]]-Tabla1[[#This Row],[Precio de Lista]]</f>
        <v>9.7150508474576256</v>
      </c>
    </row>
    <row r="15" spans="1:16" x14ac:dyDescent="0.15">
      <c r="A15" t="s">
        <v>33</v>
      </c>
      <c r="B15" t="s">
        <v>34</v>
      </c>
      <c r="C15" t="s">
        <v>9</v>
      </c>
      <c r="D15" s="2">
        <v>46028</v>
      </c>
      <c r="E15" t="s">
        <v>10</v>
      </c>
      <c r="F15" t="s">
        <v>11</v>
      </c>
      <c r="G15" t="s">
        <v>595</v>
      </c>
      <c r="H15">
        <v>-1</v>
      </c>
      <c r="I15" t="s">
        <v>582</v>
      </c>
      <c r="J15" s="3">
        <v>8</v>
      </c>
      <c r="K15" s="3">
        <f>VLOOKUP(VALUE(A15),Tabla13[#All],9,0)</f>
        <v>5</v>
      </c>
      <c r="L15" s="4">
        <f>Tabla1[[#This Row],[Valor vendido en dolares]]-Tabla1[[#This Row],[Precio de Lista]]</f>
        <v>3</v>
      </c>
    </row>
    <row r="16" spans="1:16" x14ac:dyDescent="0.15">
      <c r="A16" t="s">
        <v>615</v>
      </c>
      <c r="B16" t="s">
        <v>314</v>
      </c>
      <c r="C16" t="s">
        <v>9</v>
      </c>
      <c r="D16" s="2">
        <v>46028</v>
      </c>
      <c r="E16" t="s">
        <v>10</v>
      </c>
      <c r="F16" t="s">
        <v>11</v>
      </c>
      <c r="G16" t="s">
        <v>595</v>
      </c>
      <c r="H16">
        <v>-1</v>
      </c>
      <c r="I16" t="s">
        <v>582</v>
      </c>
      <c r="J16" s="3">
        <v>254.83</v>
      </c>
      <c r="K16" s="3">
        <f>VLOOKUP(VALUE(A16),Tabla13[#All],9,0)</f>
        <v>159.26827118644067</v>
      </c>
      <c r="L16" s="4">
        <f>Tabla1[[#This Row],[Valor vendido en dolares]]-Tabla1[[#This Row],[Precio de Lista]]</f>
        <v>95.561728813559341</v>
      </c>
    </row>
    <row r="17" spans="1:12" x14ac:dyDescent="0.15">
      <c r="A17" t="s">
        <v>616</v>
      </c>
      <c r="B17" t="s">
        <v>427</v>
      </c>
      <c r="C17" t="s">
        <v>9</v>
      </c>
      <c r="D17" s="2">
        <v>46028</v>
      </c>
      <c r="E17" t="s">
        <v>10</v>
      </c>
      <c r="F17" t="s">
        <v>11</v>
      </c>
      <c r="G17" t="s">
        <v>595</v>
      </c>
      <c r="H17">
        <v>-1</v>
      </c>
      <c r="I17" t="s">
        <v>582</v>
      </c>
      <c r="J17" s="3">
        <v>22.73</v>
      </c>
      <c r="K17" s="3">
        <f>VLOOKUP(VALUE(A17),Tabla13[#All],9,0)</f>
        <v>14.208338983050849</v>
      </c>
      <c r="L17" s="4">
        <f>Tabla1[[#This Row],[Valor vendido en dolares]]-Tabla1[[#This Row],[Precio de Lista]]</f>
        <v>8.5216610169491513</v>
      </c>
    </row>
    <row r="18" spans="1:12" x14ac:dyDescent="0.15">
      <c r="A18" t="s">
        <v>573</v>
      </c>
      <c r="B18" t="s">
        <v>574</v>
      </c>
      <c r="C18" t="s">
        <v>9</v>
      </c>
      <c r="D18" s="2">
        <v>46029</v>
      </c>
      <c r="E18" t="s">
        <v>10</v>
      </c>
      <c r="F18" t="s">
        <v>11</v>
      </c>
      <c r="G18" t="s">
        <v>579</v>
      </c>
      <c r="H18">
        <v>-1</v>
      </c>
      <c r="I18" t="s">
        <v>580</v>
      </c>
      <c r="J18" s="3">
        <v>33.58</v>
      </c>
      <c r="K18" s="3">
        <f>VLOOKUP(VALUE(A18),Tabla13[#All],9,0)</f>
        <v>20.986949152542376</v>
      </c>
      <c r="L18" s="4">
        <f>Tabla1[[#This Row],[Valor vendido en dolares]]-Tabla1[[#This Row],[Precio de Lista]]</f>
        <v>12.593050847457622</v>
      </c>
    </row>
    <row r="19" spans="1:12" x14ac:dyDescent="0.15">
      <c r="A19" t="s">
        <v>588</v>
      </c>
      <c r="B19" t="s">
        <v>589</v>
      </c>
      <c r="C19" t="s">
        <v>9</v>
      </c>
      <c r="D19" s="2">
        <v>46029</v>
      </c>
      <c r="E19" t="s">
        <v>10</v>
      </c>
      <c r="F19" t="s">
        <v>11</v>
      </c>
      <c r="G19" t="s">
        <v>579</v>
      </c>
      <c r="H19">
        <v>-1</v>
      </c>
      <c r="I19" t="s">
        <v>580</v>
      </c>
      <c r="J19" s="3">
        <v>686.89</v>
      </c>
      <c r="K19" s="3">
        <f>VLOOKUP(VALUE(A19),Tabla13[#All],9,0)</f>
        <v>429.30810169491531</v>
      </c>
      <c r="L19" s="4">
        <f>Tabla1[[#This Row],[Valor vendido en dolares]]-Tabla1[[#This Row],[Precio de Lista]]</f>
        <v>257.58189830508468</v>
      </c>
    </row>
    <row r="20" spans="1:12" x14ac:dyDescent="0.15">
      <c r="A20" t="s">
        <v>593</v>
      </c>
      <c r="B20" t="s">
        <v>13</v>
      </c>
      <c r="C20" t="s">
        <v>9</v>
      </c>
      <c r="D20" s="2">
        <v>46029</v>
      </c>
      <c r="E20" t="s">
        <v>10</v>
      </c>
      <c r="F20" t="s">
        <v>11</v>
      </c>
      <c r="G20" t="s">
        <v>579</v>
      </c>
      <c r="H20">
        <v>-1</v>
      </c>
      <c r="I20" t="s">
        <v>580</v>
      </c>
      <c r="J20" s="3">
        <v>31.22</v>
      </c>
      <c r="K20" s="3">
        <f>VLOOKUP(VALUE(A20),Tabla13[#All],9,0)</f>
        <v>19.510305084745767</v>
      </c>
      <c r="L20" s="4">
        <f>Tabla1[[#This Row],[Valor vendido en dolares]]-Tabla1[[#This Row],[Precio de Lista]]</f>
        <v>11.709694915254232</v>
      </c>
    </row>
    <row r="21" spans="1:12" x14ac:dyDescent="0.15">
      <c r="A21" t="s">
        <v>594</v>
      </c>
      <c r="B21" t="s">
        <v>14</v>
      </c>
      <c r="C21" t="s">
        <v>9</v>
      </c>
      <c r="D21" s="2">
        <v>46029</v>
      </c>
      <c r="E21" t="s">
        <v>10</v>
      </c>
      <c r="F21" t="s">
        <v>11</v>
      </c>
      <c r="G21" t="s">
        <v>579</v>
      </c>
      <c r="H21">
        <v>-1</v>
      </c>
      <c r="I21" t="s">
        <v>580</v>
      </c>
      <c r="J21" s="3">
        <v>25.9</v>
      </c>
      <c r="K21" s="3">
        <v>21.57</v>
      </c>
      <c r="L21" s="4">
        <f>Tabla1[[#This Row],[Valor vendido en dolares]]-Tabla1[[#This Row],[Precio de Lista]]</f>
        <v>4.3299999999999983</v>
      </c>
    </row>
    <row r="22" spans="1:12" x14ac:dyDescent="0.15">
      <c r="A22" t="s">
        <v>577</v>
      </c>
      <c r="B22" t="s">
        <v>565</v>
      </c>
      <c r="C22" t="s">
        <v>9</v>
      </c>
      <c r="D22" s="2">
        <v>46029</v>
      </c>
      <c r="E22" t="s">
        <v>10</v>
      </c>
      <c r="F22" t="s">
        <v>11</v>
      </c>
      <c r="G22" t="s">
        <v>620</v>
      </c>
      <c r="H22">
        <v>-2</v>
      </c>
      <c r="I22" t="s">
        <v>621</v>
      </c>
      <c r="J22" s="3">
        <v>32</v>
      </c>
      <c r="K22" s="3">
        <f>VLOOKUP(VALUE(A22),Tabla13[#All],9,0)</f>
        <v>20</v>
      </c>
      <c r="L22" s="4">
        <f>Tabla1[[#This Row],[Valor vendido en dolares]]-Tabla1[[#This Row],[Precio de Lista]]</f>
        <v>12</v>
      </c>
    </row>
    <row r="23" spans="1:12" x14ac:dyDescent="0.15">
      <c r="A23" t="s">
        <v>573</v>
      </c>
      <c r="B23" t="s">
        <v>574</v>
      </c>
      <c r="C23" t="s">
        <v>9</v>
      </c>
      <c r="D23" s="2">
        <v>46029</v>
      </c>
      <c r="E23" t="s">
        <v>10</v>
      </c>
      <c r="F23" t="s">
        <v>11</v>
      </c>
      <c r="G23" t="s">
        <v>579</v>
      </c>
      <c r="H23">
        <v>-1</v>
      </c>
      <c r="I23" t="s">
        <v>580</v>
      </c>
      <c r="J23" s="3">
        <v>33.58</v>
      </c>
      <c r="K23" s="3">
        <f>VLOOKUP(VALUE(A23),Tabla13[#All],9,0)</f>
        <v>20.986949152542376</v>
      </c>
      <c r="L23" s="4">
        <f>Tabla1[[#This Row],[Valor vendido en dolares]]-Tabla1[[#This Row],[Precio de Lista]]</f>
        <v>12.593050847457622</v>
      </c>
    </row>
    <row r="24" spans="1:12" x14ac:dyDescent="0.15">
      <c r="A24" t="s">
        <v>588</v>
      </c>
      <c r="B24" t="s">
        <v>589</v>
      </c>
      <c r="C24" t="s">
        <v>9</v>
      </c>
      <c r="D24" s="2">
        <v>46029</v>
      </c>
      <c r="E24" t="s">
        <v>10</v>
      </c>
      <c r="F24" t="s">
        <v>11</v>
      </c>
      <c r="G24" t="s">
        <v>579</v>
      </c>
      <c r="H24">
        <v>-1</v>
      </c>
      <c r="I24" t="s">
        <v>580</v>
      </c>
      <c r="J24" s="3">
        <v>686.89</v>
      </c>
      <c r="K24" s="3">
        <f>VLOOKUP(VALUE(A24),Tabla13[#All],9,0)</f>
        <v>429.30810169491531</v>
      </c>
      <c r="L24" s="4">
        <f>Tabla1[[#This Row],[Valor vendido en dolares]]-Tabla1[[#This Row],[Precio de Lista]]</f>
        <v>257.58189830508468</v>
      </c>
    </row>
    <row r="25" spans="1:12" x14ac:dyDescent="0.15">
      <c r="A25" t="s">
        <v>593</v>
      </c>
      <c r="B25" t="s">
        <v>13</v>
      </c>
      <c r="C25" t="s">
        <v>9</v>
      </c>
      <c r="D25" s="2">
        <v>46029</v>
      </c>
      <c r="E25" t="s">
        <v>10</v>
      </c>
      <c r="F25" t="s">
        <v>11</v>
      </c>
      <c r="G25" t="s">
        <v>579</v>
      </c>
      <c r="H25">
        <v>-1</v>
      </c>
      <c r="I25" t="s">
        <v>580</v>
      </c>
      <c r="J25" s="3">
        <v>31.22</v>
      </c>
      <c r="K25" s="3">
        <f>VLOOKUP(VALUE(A25),Tabla13[#All],9,0)</f>
        <v>19.510305084745767</v>
      </c>
      <c r="L25" s="4">
        <f>Tabla1[[#This Row],[Valor vendido en dolares]]-Tabla1[[#This Row],[Precio de Lista]]</f>
        <v>11.709694915254232</v>
      </c>
    </row>
    <row r="26" spans="1:12" x14ac:dyDescent="0.15">
      <c r="A26" t="s">
        <v>594</v>
      </c>
      <c r="B26" t="s">
        <v>14</v>
      </c>
      <c r="C26" t="s">
        <v>9</v>
      </c>
      <c r="D26" s="2">
        <v>46029</v>
      </c>
      <c r="E26" t="s">
        <v>10</v>
      </c>
      <c r="F26" t="s">
        <v>11</v>
      </c>
      <c r="G26" t="s">
        <v>579</v>
      </c>
      <c r="H26">
        <v>-1</v>
      </c>
      <c r="I26" t="s">
        <v>580</v>
      </c>
      <c r="J26" s="3">
        <v>25.9</v>
      </c>
      <c r="K26" s="3">
        <f>VLOOKUP(VALUE(A26),Tabla13[#All],9,0)</f>
        <v>16.184949152542373</v>
      </c>
      <c r="L26" s="4">
        <f>Tabla1[[#This Row],[Valor vendido en dolares]]-Tabla1[[#This Row],[Precio de Lista]]</f>
        <v>9.7150508474576256</v>
      </c>
    </row>
    <row r="27" spans="1:12" x14ac:dyDescent="0.15">
      <c r="A27" t="s">
        <v>577</v>
      </c>
      <c r="B27" t="s">
        <v>565</v>
      </c>
      <c r="C27" t="s">
        <v>9</v>
      </c>
      <c r="D27" s="2">
        <v>46029</v>
      </c>
      <c r="E27" t="s">
        <v>10</v>
      </c>
      <c r="F27" t="s">
        <v>11</v>
      </c>
      <c r="G27" t="s">
        <v>620</v>
      </c>
      <c r="H27">
        <v>-2</v>
      </c>
      <c r="I27" t="s">
        <v>621</v>
      </c>
      <c r="J27" s="3">
        <v>32</v>
      </c>
      <c r="K27" s="3">
        <f>VLOOKUP(VALUE(A27),Tabla13[#All],9,0)</f>
        <v>20</v>
      </c>
      <c r="L27" s="4">
        <f>Tabla1[[#This Row],[Valor vendido en dolares]]-Tabla1[[#This Row],[Precio de Lista]]</f>
        <v>12</v>
      </c>
    </row>
    <row r="28" spans="1:12" x14ac:dyDescent="0.15">
      <c r="A28" t="s">
        <v>583</v>
      </c>
      <c r="B28" t="s">
        <v>584</v>
      </c>
      <c r="C28" t="s">
        <v>9</v>
      </c>
      <c r="D28" s="2">
        <v>46030</v>
      </c>
      <c r="E28" t="s">
        <v>10</v>
      </c>
      <c r="F28" t="s">
        <v>11</v>
      </c>
      <c r="G28" t="s">
        <v>585</v>
      </c>
      <c r="H28">
        <v>-1</v>
      </c>
      <c r="I28" t="s">
        <v>576</v>
      </c>
      <c r="J28" s="3">
        <v>47.9</v>
      </c>
      <c r="K28" s="3">
        <f>VLOOKUP(VALUE(A28),Tabla13[#All],9,0)</f>
        <v>29.939830508474579</v>
      </c>
      <c r="L28" s="4">
        <f>Tabla1[[#This Row],[Valor vendido en dolares]]-Tabla1[[#This Row],[Precio de Lista]]</f>
        <v>17.96016949152542</v>
      </c>
    </row>
    <row r="29" spans="1:12" x14ac:dyDescent="0.15">
      <c r="A29" t="s">
        <v>583</v>
      </c>
      <c r="B29" t="s">
        <v>584</v>
      </c>
      <c r="C29" t="s">
        <v>9</v>
      </c>
      <c r="D29" s="2">
        <v>46030</v>
      </c>
      <c r="E29" t="s">
        <v>10</v>
      </c>
      <c r="F29" t="s">
        <v>11</v>
      </c>
      <c r="G29" t="s">
        <v>585</v>
      </c>
      <c r="H29">
        <v>-1</v>
      </c>
      <c r="I29" t="s">
        <v>576</v>
      </c>
      <c r="J29" s="3">
        <v>47.9</v>
      </c>
      <c r="K29" s="3">
        <f>VLOOKUP(VALUE(A29),Tabla13[#All],9,0)</f>
        <v>29.939830508474579</v>
      </c>
      <c r="L29" s="4">
        <f>Tabla1[[#This Row],[Valor vendido en dolares]]-Tabla1[[#This Row],[Precio de Lista]]</f>
        <v>17.96016949152542</v>
      </c>
    </row>
    <row r="30" spans="1:12" x14ac:dyDescent="0.15">
      <c r="A30" t="s">
        <v>33</v>
      </c>
      <c r="B30" t="s">
        <v>34</v>
      </c>
      <c r="C30" t="s">
        <v>9</v>
      </c>
      <c r="D30" s="2">
        <v>46031</v>
      </c>
      <c r="E30" t="s">
        <v>10</v>
      </c>
      <c r="F30" t="s">
        <v>11</v>
      </c>
      <c r="G30" t="s">
        <v>596</v>
      </c>
      <c r="H30">
        <v>-2</v>
      </c>
      <c r="I30" t="s">
        <v>576</v>
      </c>
      <c r="J30" s="3">
        <v>8</v>
      </c>
      <c r="K30" s="3">
        <f>VLOOKUP(VALUE(A30),Tabla13[#All],9,0)</f>
        <v>5</v>
      </c>
      <c r="L30" s="4">
        <f>Tabla1[[#This Row],[Valor vendido en dolares]]-Tabla1[[#This Row],[Precio de Lista]]</f>
        <v>3</v>
      </c>
    </row>
    <row r="31" spans="1:12" x14ac:dyDescent="0.15">
      <c r="A31" t="s">
        <v>33</v>
      </c>
      <c r="B31" t="s">
        <v>34</v>
      </c>
      <c r="C31" t="s">
        <v>9</v>
      </c>
      <c r="D31" s="2">
        <v>46031</v>
      </c>
      <c r="E31" t="s">
        <v>10</v>
      </c>
      <c r="F31" t="s">
        <v>11</v>
      </c>
      <c r="G31" t="s">
        <v>596</v>
      </c>
      <c r="H31">
        <v>-2</v>
      </c>
      <c r="I31" t="s">
        <v>576</v>
      </c>
      <c r="J31" s="3">
        <v>8</v>
      </c>
      <c r="K31" s="3">
        <f>VLOOKUP(VALUE(A31),Tabla13[#All],9,0)</f>
        <v>5</v>
      </c>
      <c r="L31" s="4">
        <f>Tabla1[[#This Row],[Valor vendido en dolares]]-Tabla1[[#This Row],[Precio de Lista]]</f>
        <v>3</v>
      </c>
    </row>
    <row r="32" spans="1:12" x14ac:dyDescent="0.15">
      <c r="A32" t="s">
        <v>573</v>
      </c>
      <c r="B32" t="s">
        <v>574</v>
      </c>
      <c r="C32" t="s">
        <v>9</v>
      </c>
      <c r="D32" s="2">
        <v>46034</v>
      </c>
      <c r="E32" t="s">
        <v>10</v>
      </c>
      <c r="F32" t="s">
        <v>11</v>
      </c>
      <c r="G32" t="s">
        <v>581</v>
      </c>
      <c r="H32">
        <v>-1</v>
      </c>
      <c r="I32" t="s">
        <v>582</v>
      </c>
      <c r="J32" s="3">
        <v>33.58</v>
      </c>
      <c r="K32" s="3">
        <f>VLOOKUP(VALUE(A32),Tabla13[#All],9,0)</f>
        <v>20.986949152542376</v>
      </c>
      <c r="L32" s="4">
        <f>Tabla1[[#This Row],[Valor vendido en dolares]]-Tabla1[[#This Row],[Precio de Lista]]</f>
        <v>12.593050847457622</v>
      </c>
    </row>
    <row r="33" spans="1:12" x14ac:dyDescent="0.15">
      <c r="A33" t="s">
        <v>583</v>
      </c>
      <c r="B33" t="s">
        <v>584</v>
      </c>
      <c r="C33" t="s">
        <v>9</v>
      </c>
      <c r="D33" s="2">
        <v>46034</v>
      </c>
      <c r="E33" t="s">
        <v>10</v>
      </c>
      <c r="F33" t="s">
        <v>11</v>
      </c>
      <c r="G33" t="s">
        <v>586</v>
      </c>
      <c r="H33">
        <v>-1</v>
      </c>
      <c r="I33" t="s">
        <v>587</v>
      </c>
      <c r="J33" s="3">
        <v>47.9</v>
      </c>
      <c r="K33" s="3">
        <f>VLOOKUP(VALUE(A33),Tabla13[#All],9,0)</f>
        <v>29.939830508474579</v>
      </c>
      <c r="L33" s="4">
        <f>Tabla1[[#This Row],[Valor vendido en dolares]]-Tabla1[[#This Row],[Precio de Lista]]</f>
        <v>17.96016949152542</v>
      </c>
    </row>
    <row r="34" spans="1:12" x14ac:dyDescent="0.15">
      <c r="A34" t="s">
        <v>603</v>
      </c>
      <c r="B34" t="s">
        <v>604</v>
      </c>
      <c r="C34" t="s">
        <v>9</v>
      </c>
      <c r="D34" s="2">
        <v>46034</v>
      </c>
      <c r="E34" t="s">
        <v>10</v>
      </c>
      <c r="F34" t="s">
        <v>11</v>
      </c>
      <c r="G34" t="s">
        <v>605</v>
      </c>
      <c r="H34">
        <v>-1</v>
      </c>
      <c r="I34" t="s">
        <v>606</v>
      </c>
      <c r="J34" s="3">
        <v>301.33999999999997</v>
      </c>
      <c r="K34" s="3">
        <f>VLOOKUP(VALUE(A34),Tabla13[#All],9,0)</f>
        <v>188.33606779661017</v>
      </c>
      <c r="L34" s="4">
        <f>Tabla1[[#This Row],[Valor vendido en dolares]]-Tabla1[[#This Row],[Precio de Lista]]</f>
        <v>113.00393220338981</v>
      </c>
    </row>
    <row r="35" spans="1:12" x14ac:dyDescent="0.15">
      <c r="A35" t="s">
        <v>29</v>
      </c>
      <c r="B35" t="s">
        <v>30</v>
      </c>
      <c r="C35" t="s">
        <v>9</v>
      </c>
      <c r="D35" s="2">
        <v>46034</v>
      </c>
      <c r="E35" t="s">
        <v>10</v>
      </c>
      <c r="F35" t="s">
        <v>11</v>
      </c>
      <c r="G35" t="s">
        <v>607</v>
      </c>
      <c r="H35">
        <v>-1</v>
      </c>
      <c r="I35" t="s">
        <v>608</v>
      </c>
      <c r="J35" s="3">
        <v>531.67999999999995</v>
      </c>
      <c r="K35" s="3">
        <f>VLOOKUP(VALUE(A35),Tabla13[#All],9,0)</f>
        <v>332.30305084745765</v>
      </c>
      <c r="L35" s="4">
        <f>Tabla1[[#This Row],[Valor vendido en dolares]]-Tabla1[[#This Row],[Precio de Lista]]</f>
        <v>199.37694915254229</v>
      </c>
    </row>
    <row r="36" spans="1:12" x14ac:dyDescent="0.15">
      <c r="A36" t="s">
        <v>613</v>
      </c>
      <c r="B36" t="s">
        <v>304</v>
      </c>
      <c r="C36" t="s">
        <v>9</v>
      </c>
      <c r="D36" s="2">
        <v>46034</v>
      </c>
      <c r="E36" t="s">
        <v>10</v>
      </c>
      <c r="F36" t="s">
        <v>11</v>
      </c>
      <c r="G36" t="s">
        <v>607</v>
      </c>
      <c r="H36">
        <v>-2</v>
      </c>
      <c r="I36" t="s">
        <v>608</v>
      </c>
      <c r="J36" s="3">
        <v>236.26</v>
      </c>
      <c r="K36" s="3">
        <f>VLOOKUP(VALUE(A36),Tabla13[#All],9,0)</f>
        <v>147.66440677966102</v>
      </c>
      <c r="L36" s="4">
        <f>Tabla1[[#This Row],[Valor vendido en dolares]]-Tabla1[[#This Row],[Precio de Lista]]</f>
        <v>88.595593220338969</v>
      </c>
    </row>
    <row r="37" spans="1:12" x14ac:dyDescent="0.15">
      <c r="A37" t="s">
        <v>573</v>
      </c>
      <c r="B37" t="s">
        <v>574</v>
      </c>
      <c r="C37" t="s">
        <v>9</v>
      </c>
      <c r="D37" s="2">
        <v>46034</v>
      </c>
      <c r="E37" t="s">
        <v>10</v>
      </c>
      <c r="F37" t="s">
        <v>11</v>
      </c>
      <c r="G37" t="s">
        <v>581</v>
      </c>
      <c r="H37">
        <v>-1</v>
      </c>
      <c r="I37" t="s">
        <v>582</v>
      </c>
      <c r="J37" s="3">
        <v>33.58</v>
      </c>
      <c r="K37" s="3">
        <f>VLOOKUP(VALUE(A37),Tabla13[#All],9,0)</f>
        <v>20.986949152542376</v>
      </c>
      <c r="L37" s="4">
        <f>Tabla1[[#This Row],[Valor vendido en dolares]]-Tabla1[[#This Row],[Precio de Lista]]</f>
        <v>12.593050847457622</v>
      </c>
    </row>
    <row r="38" spans="1:12" x14ac:dyDescent="0.15">
      <c r="A38" t="s">
        <v>583</v>
      </c>
      <c r="B38" t="s">
        <v>584</v>
      </c>
      <c r="C38" t="s">
        <v>9</v>
      </c>
      <c r="D38" s="2">
        <v>46034</v>
      </c>
      <c r="E38" t="s">
        <v>10</v>
      </c>
      <c r="F38" t="s">
        <v>11</v>
      </c>
      <c r="G38" t="s">
        <v>586</v>
      </c>
      <c r="H38">
        <v>-1</v>
      </c>
      <c r="I38" t="s">
        <v>587</v>
      </c>
      <c r="J38" s="3">
        <v>47.9</v>
      </c>
      <c r="K38" s="3">
        <f>VLOOKUP(VALUE(A38),Tabla13[#All],9,0)</f>
        <v>29.939830508474579</v>
      </c>
      <c r="L38" s="4">
        <f>Tabla1[[#This Row],[Valor vendido en dolares]]-Tabla1[[#This Row],[Precio de Lista]]</f>
        <v>17.96016949152542</v>
      </c>
    </row>
    <row r="39" spans="1:12" x14ac:dyDescent="0.15">
      <c r="A39" t="s">
        <v>603</v>
      </c>
      <c r="B39" t="s">
        <v>604</v>
      </c>
      <c r="C39" t="s">
        <v>9</v>
      </c>
      <c r="D39" s="2">
        <v>46034</v>
      </c>
      <c r="E39" t="s">
        <v>10</v>
      </c>
      <c r="F39" t="s">
        <v>11</v>
      </c>
      <c r="G39" t="s">
        <v>605</v>
      </c>
      <c r="H39">
        <v>-1</v>
      </c>
      <c r="I39" t="s">
        <v>606</v>
      </c>
      <c r="J39" s="3">
        <v>301.33999999999997</v>
      </c>
      <c r="K39" s="3">
        <f>VLOOKUP(VALUE(A39),Tabla13[#All],9,0)</f>
        <v>188.33606779661017</v>
      </c>
      <c r="L39" s="4">
        <f>Tabla1[[#This Row],[Valor vendido en dolares]]-Tabla1[[#This Row],[Precio de Lista]]</f>
        <v>113.00393220338981</v>
      </c>
    </row>
    <row r="40" spans="1:12" x14ac:dyDescent="0.15">
      <c r="A40" t="s">
        <v>29</v>
      </c>
      <c r="B40" t="s">
        <v>30</v>
      </c>
      <c r="C40" t="s">
        <v>9</v>
      </c>
      <c r="D40" s="2">
        <v>46034</v>
      </c>
      <c r="E40" t="s">
        <v>10</v>
      </c>
      <c r="F40" t="s">
        <v>11</v>
      </c>
      <c r="G40" t="s">
        <v>607</v>
      </c>
      <c r="H40">
        <v>-1</v>
      </c>
      <c r="I40" t="s">
        <v>608</v>
      </c>
      <c r="J40" s="3">
        <v>531.67999999999995</v>
      </c>
      <c r="K40" s="3">
        <f>VLOOKUP(VALUE(A40),Tabla13[#All],9,0)</f>
        <v>332.30305084745765</v>
      </c>
      <c r="L40" s="4">
        <f>Tabla1[[#This Row],[Valor vendido en dolares]]-Tabla1[[#This Row],[Precio de Lista]]</f>
        <v>199.37694915254229</v>
      </c>
    </row>
    <row r="41" spans="1:12" x14ac:dyDescent="0.15">
      <c r="A41" t="s">
        <v>613</v>
      </c>
      <c r="B41" t="s">
        <v>304</v>
      </c>
      <c r="C41" t="s">
        <v>9</v>
      </c>
      <c r="D41" s="2">
        <v>46034</v>
      </c>
      <c r="E41" t="s">
        <v>10</v>
      </c>
      <c r="F41" t="s">
        <v>11</v>
      </c>
      <c r="G41" t="s">
        <v>607</v>
      </c>
      <c r="H41">
        <v>-2</v>
      </c>
      <c r="I41" t="s">
        <v>608</v>
      </c>
      <c r="J41" s="3">
        <v>236.26</v>
      </c>
      <c r="K41" s="3">
        <f>VLOOKUP(VALUE(A41),Tabla13[#All],9,0)</f>
        <v>147.66440677966102</v>
      </c>
      <c r="L41" s="4">
        <f>Tabla1[[#This Row],[Valor vendido en dolares]]-Tabla1[[#This Row],[Precio de Lista]]</f>
        <v>88.595593220338969</v>
      </c>
    </row>
    <row r="42" spans="1:12" x14ac:dyDescent="0.15">
      <c r="A42" s="41">
        <v>10901</v>
      </c>
      <c r="B42" t="s">
        <v>646</v>
      </c>
      <c r="C42" t="s">
        <v>9</v>
      </c>
      <c r="D42" s="2">
        <v>46034</v>
      </c>
      <c r="E42" t="s">
        <v>10</v>
      </c>
      <c r="F42" t="s">
        <v>11</v>
      </c>
      <c r="G42" s="43">
        <v>8639</v>
      </c>
      <c r="H42">
        <v>-1</v>
      </c>
      <c r="I42" t="s">
        <v>647</v>
      </c>
      <c r="J42" s="3">
        <v>13.94</v>
      </c>
      <c r="K42" s="3">
        <f>VLOOKUP(VALUE(A42),Tabla13[#All],9,0)</f>
        <v>27.149322033898308</v>
      </c>
      <c r="L42" s="4">
        <f>Tabla1[[#This Row],[Valor vendido en dolares]]-Tabla1[[#This Row],[Precio de Lista]]</f>
        <v>-13.209322033898308</v>
      </c>
    </row>
    <row r="43" spans="1:12" x14ac:dyDescent="0.15">
      <c r="A43" s="41">
        <v>10901</v>
      </c>
      <c r="B43" t="s">
        <v>646</v>
      </c>
      <c r="C43" t="s">
        <v>9</v>
      </c>
      <c r="D43" s="2">
        <v>46034</v>
      </c>
      <c r="E43" t="s">
        <v>10</v>
      </c>
      <c r="F43" t="s">
        <v>11</v>
      </c>
      <c r="G43" s="41">
        <v>8640</v>
      </c>
      <c r="H43">
        <v>-1</v>
      </c>
      <c r="I43" t="s">
        <v>648</v>
      </c>
      <c r="J43" s="3">
        <v>13.94</v>
      </c>
      <c r="K43" s="3">
        <f>VLOOKUP(VALUE(A43),Tabla13[#All],9,0)</f>
        <v>27.149322033898308</v>
      </c>
      <c r="L43" s="4">
        <f>Tabla1[[#This Row],[Valor vendido en dolares]]-Tabla1[[#This Row],[Precio de Lista]]</f>
        <v>-13.209322033898308</v>
      </c>
    </row>
    <row r="44" spans="1:12" x14ac:dyDescent="0.15">
      <c r="A44" s="41">
        <v>10901</v>
      </c>
      <c r="B44" t="s">
        <v>646</v>
      </c>
      <c r="C44" t="s">
        <v>9</v>
      </c>
      <c r="D44" s="2">
        <v>46034</v>
      </c>
      <c r="E44" t="s">
        <v>10</v>
      </c>
      <c r="F44" t="s">
        <v>11</v>
      </c>
      <c r="G44" s="41">
        <v>8641</v>
      </c>
      <c r="H44">
        <v>-2</v>
      </c>
      <c r="I44" t="s">
        <v>649</v>
      </c>
      <c r="J44" s="3">
        <v>13.94</v>
      </c>
      <c r="K44" s="3">
        <f>VLOOKUP(VALUE(A44),Tabla13[#All],9,0)</f>
        <v>27.149322033898308</v>
      </c>
      <c r="L44" s="4">
        <f>Tabla1[[#This Row],[Valor vendido en dolares]]-Tabla1[[#This Row],[Precio de Lista]]</f>
        <v>-13.209322033898308</v>
      </c>
    </row>
    <row r="45" spans="1:12" x14ac:dyDescent="0.15">
      <c r="A45" s="41">
        <v>10901</v>
      </c>
      <c r="B45" t="s">
        <v>646</v>
      </c>
      <c r="C45" t="s">
        <v>9</v>
      </c>
      <c r="D45" s="2">
        <v>46034</v>
      </c>
      <c r="E45" t="s">
        <v>10</v>
      </c>
      <c r="F45" t="s">
        <v>11</v>
      </c>
      <c r="G45" s="41">
        <v>8638</v>
      </c>
      <c r="H45">
        <v>-1</v>
      </c>
      <c r="I45" t="s">
        <v>650</v>
      </c>
      <c r="J45" s="3">
        <v>13.94</v>
      </c>
      <c r="K45" s="3">
        <f>VLOOKUP(VALUE(A45),Tabla13[#All],9,0)</f>
        <v>27.149322033898308</v>
      </c>
      <c r="L45" s="4">
        <f>Tabla1[[#This Row],[Valor vendido en dolares]]-Tabla1[[#This Row],[Precio de Lista]]</f>
        <v>-13.209322033898308</v>
      </c>
    </row>
    <row r="46" spans="1:12" x14ac:dyDescent="0.15">
      <c r="A46" t="s">
        <v>29</v>
      </c>
      <c r="B46" t="s">
        <v>30</v>
      </c>
      <c r="C46" t="s">
        <v>9</v>
      </c>
      <c r="D46" s="2">
        <v>46035</v>
      </c>
      <c r="E46" t="s">
        <v>10</v>
      </c>
      <c r="F46" t="s">
        <v>11</v>
      </c>
      <c r="G46" t="s">
        <v>609</v>
      </c>
      <c r="H46">
        <v>-1</v>
      </c>
      <c r="I46" t="s">
        <v>610</v>
      </c>
      <c r="J46" s="3">
        <v>531.67999999999995</v>
      </c>
      <c r="K46" s="3">
        <f>VLOOKUP(VALUE(A46),Tabla13[#All],9,0)</f>
        <v>332.30305084745765</v>
      </c>
      <c r="L46" s="4">
        <f>Tabla1[[#This Row],[Valor vendido en dolares]]-Tabla1[[#This Row],[Precio de Lista]]</f>
        <v>199.37694915254229</v>
      </c>
    </row>
    <row r="47" spans="1:12" x14ac:dyDescent="0.15">
      <c r="A47" t="s">
        <v>29</v>
      </c>
      <c r="B47" t="s">
        <v>30</v>
      </c>
      <c r="C47" t="s">
        <v>9</v>
      </c>
      <c r="D47" s="2">
        <v>46035</v>
      </c>
      <c r="E47" t="s">
        <v>10</v>
      </c>
      <c r="F47" t="s">
        <v>11</v>
      </c>
      <c r="G47" t="s">
        <v>609</v>
      </c>
      <c r="H47">
        <v>-1</v>
      </c>
      <c r="I47" t="s">
        <v>610</v>
      </c>
      <c r="J47" s="3">
        <v>531.67999999999995</v>
      </c>
      <c r="K47" s="3">
        <f>VLOOKUP(VALUE(A47),Tabla13[#All],9,0)</f>
        <v>332.30305084745765</v>
      </c>
      <c r="L47" s="4">
        <f>Tabla1[[#This Row],[Valor vendido en dolares]]-Tabla1[[#This Row],[Precio de Lista]]</f>
        <v>199.37694915254229</v>
      </c>
    </row>
    <row r="48" spans="1:12" x14ac:dyDescent="0.15">
      <c r="A48" t="s">
        <v>29</v>
      </c>
      <c r="B48" t="s">
        <v>30</v>
      </c>
      <c r="C48" t="s">
        <v>9</v>
      </c>
      <c r="D48" s="2">
        <v>46036</v>
      </c>
      <c r="E48" t="s">
        <v>10</v>
      </c>
      <c r="F48" t="s">
        <v>11</v>
      </c>
      <c r="G48" t="s">
        <v>611</v>
      </c>
      <c r="H48">
        <v>-1</v>
      </c>
      <c r="I48" t="s">
        <v>612</v>
      </c>
      <c r="J48" s="3">
        <v>531.67999999999995</v>
      </c>
      <c r="K48" s="3">
        <f>VLOOKUP(VALUE(A48),Tabla13[#All],9,0)</f>
        <v>332.30305084745765</v>
      </c>
      <c r="L48" s="4">
        <f>Tabla1[[#This Row],[Valor vendido en dolares]]-Tabla1[[#This Row],[Precio de Lista]]</f>
        <v>199.37694915254229</v>
      </c>
    </row>
    <row r="49" spans="1:12" x14ac:dyDescent="0.15">
      <c r="A49" t="s">
        <v>29</v>
      </c>
      <c r="B49" t="s">
        <v>30</v>
      </c>
      <c r="C49" t="s">
        <v>9</v>
      </c>
      <c r="D49" s="2">
        <v>46036</v>
      </c>
      <c r="E49" t="s">
        <v>10</v>
      </c>
      <c r="F49" t="s">
        <v>11</v>
      </c>
      <c r="G49" t="s">
        <v>611</v>
      </c>
      <c r="H49">
        <v>-1</v>
      </c>
      <c r="I49" t="s">
        <v>612</v>
      </c>
      <c r="J49" s="3">
        <v>531.67999999999995</v>
      </c>
      <c r="K49" s="3">
        <f>VLOOKUP(VALUE(A49),Tabla13[#All],9,0)</f>
        <v>332.30305084745765</v>
      </c>
      <c r="L49" s="4">
        <f>Tabla1[[#This Row],[Valor vendido en dolares]]-Tabla1[[#This Row],[Precio de Lista]]</f>
        <v>199.37694915254229</v>
      </c>
    </row>
    <row r="50" spans="1:12" x14ac:dyDescent="0.15">
      <c r="A50" t="s">
        <v>22</v>
      </c>
      <c r="B50" t="s">
        <v>23</v>
      </c>
      <c r="C50" t="s">
        <v>9</v>
      </c>
      <c r="D50" s="2">
        <v>46037</v>
      </c>
      <c r="E50" t="s">
        <v>10</v>
      </c>
      <c r="F50" t="s">
        <v>11</v>
      </c>
      <c r="G50" t="s">
        <v>614</v>
      </c>
      <c r="H50">
        <v>-1</v>
      </c>
      <c r="I50" t="s">
        <v>572</v>
      </c>
      <c r="J50" s="3">
        <v>215.43</v>
      </c>
      <c r="K50" s="3">
        <f>VLOOKUP(VALUE(A50),Tabla13[#All],9,0)</f>
        <v>134.6420338983051</v>
      </c>
      <c r="L50" s="4">
        <f>Tabla1[[#This Row],[Valor vendido en dolares]]-Tabla1[[#This Row],[Precio de Lista]]</f>
        <v>80.787966101694906</v>
      </c>
    </row>
    <row r="51" spans="1:12" x14ac:dyDescent="0.15">
      <c r="A51" t="s">
        <v>24</v>
      </c>
      <c r="B51" t="s">
        <v>25</v>
      </c>
      <c r="C51" t="s">
        <v>9</v>
      </c>
      <c r="D51" s="2">
        <v>46037</v>
      </c>
      <c r="E51" t="s">
        <v>10</v>
      </c>
      <c r="F51" t="s">
        <v>11</v>
      </c>
      <c r="G51" t="s">
        <v>614</v>
      </c>
      <c r="H51">
        <v>-1</v>
      </c>
      <c r="I51" t="s">
        <v>572</v>
      </c>
      <c r="J51" s="3">
        <v>446.11</v>
      </c>
      <c r="K51" s="3">
        <f>VLOOKUP(VALUE(A51),Tabla13[#All],9,0)</f>
        <v>278.81830508474582</v>
      </c>
      <c r="L51" s="4">
        <f>Tabla1[[#This Row],[Valor vendido en dolares]]-Tabla1[[#This Row],[Precio de Lista]]</f>
        <v>167.2916949152542</v>
      </c>
    </row>
    <row r="52" spans="1:12" x14ac:dyDescent="0.15">
      <c r="A52" t="s">
        <v>624</v>
      </c>
      <c r="B52" t="s">
        <v>625</v>
      </c>
      <c r="C52" t="s">
        <v>9</v>
      </c>
      <c r="D52" s="2">
        <v>46037</v>
      </c>
      <c r="E52" t="s">
        <v>10</v>
      </c>
      <c r="F52" t="s">
        <v>11</v>
      </c>
      <c r="G52" t="s">
        <v>626</v>
      </c>
      <c r="H52">
        <v>-1</v>
      </c>
      <c r="I52" t="s">
        <v>575</v>
      </c>
      <c r="J52" s="3">
        <v>465.95</v>
      </c>
      <c r="K52" s="3">
        <f>VLOOKUP(VALUE(A52),Tabla13[#All],9,0)</f>
        <v>291.22000000000003</v>
      </c>
      <c r="L52" s="4">
        <f>Tabla1[[#This Row],[Valor vendido en dolares]]-Tabla1[[#This Row],[Precio de Lista]]</f>
        <v>174.72999999999996</v>
      </c>
    </row>
    <row r="53" spans="1:12" x14ac:dyDescent="0.15">
      <c r="A53" t="s">
        <v>22</v>
      </c>
      <c r="B53" t="s">
        <v>23</v>
      </c>
      <c r="C53" t="s">
        <v>9</v>
      </c>
      <c r="D53" s="2">
        <v>46037</v>
      </c>
      <c r="E53" t="s">
        <v>10</v>
      </c>
      <c r="F53" t="s">
        <v>11</v>
      </c>
      <c r="G53" t="s">
        <v>614</v>
      </c>
      <c r="H53">
        <v>-1</v>
      </c>
      <c r="I53" t="s">
        <v>572</v>
      </c>
      <c r="J53" s="3">
        <v>215.43</v>
      </c>
      <c r="K53" s="3">
        <f>VLOOKUP(VALUE(A53),Tabla13[#All],9,0)</f>
        <v>134.6420338983051</v>
      </c>
      <c r="L53" s="4">
        <f>Tabla1[[#This Row],[Valor vendido en dolares]]-Tabla1[[#This Row],[Precio de Lista]]</f>
        <v>80.787966101694906</v>
      </c>
    </row>
    <row r="54" spans="1:12" x14ac:dyDescent="0.15">
      <c r="A54" t="s">
        <v>24</v>
      </c>
      <c r="B54" t="s">
        <v>25</v>
      </c>
      <c r="C54" t="s">
        <v>9</v>
      </c>
      <c r="D54" s="2">
        <v>46037</v>
      </c>
      <c r="E54" t="s">
        <v>10</v>
      </c>
      <c r="F54" t="s">
        <v>11</v>
      </c>
      <c r="G54" t="s">
        <v>614</v>
      </c>
      <c r="H54">
        <v>-1</v>
      </c>
      <c r="I54" t="s">
        <v>572</v>
      </c>
      <c r="J54" s="3">
        <v>446.11</v>
      </c>
      <c r="K54" s="3">
        <f>VLOOKUP(VALUE(A54),Tabla13[#All],9,0)</f>
        <v>278.81830508474582</v>
      </c>
      <c r="L54" s="4">
        <f>Tabla1[[#This Row],[Valor vendido en dolares]]-Tabla1[[#This Row],[Precio de Lista]]</f>
        <v>167.2916949152542</v>
      </c>
    </row>
    <row r="55" spans="1:12" x14ac:dyDescent="0.15">
      <c r="A55" t="s">
        <v>624</v>
      </c>
      <c r="B55" t="s">
        <v>625</v>
      </c>
      <c r="C55" t="s">
        <v>9</v>
      </c>
      <c r="D55" s="2">
        <v>46037</v>
      </c>
      <c r="E55" t="s">
        <v>10</v>
      </c>
      <c r="F55" t="s">
        <v>11</v>
      </c>
      <c r="G55" t="s">
        <v>626</v>
      </c>
      <c r="H55">
        <v>-1</v>
      </c>
      <c r="I55" t="s">
        <v>575</v>
      </c>
      <c r="J55" s="3">
        <v>465.95</v>
      </c>
      <c r="K55" s="3">
        <f>VLOOKUP(VALUE(A55),Tabla13[#All],9,0)</f>
        <v>291.22000000000003</v>
      </c>
      <c r="L55" s="4">
        <f>Tabla1[[#This Row],[Valor vendido en dolares]]-Tabla1[[#This Row],[Precio de Lista]]</f>
        <v>174.72999999999996</v>
      </c>
    </row>
    <row r="56" spans="1:12" x14ac:dyDescent="0.15">
      <c r="A56" t="s">
        <v>33</v>
      </c>
      <c r="B56" t="s">
        <v>34</v>
      </c>
      <c r="C56" t="s">
        <v>9</v>
      </c>
      <c r="D56" s="2">
        <v>46038</v>
      </c>
      <c r="E56" t="s">
        <v>10</v>
      </c>
      <c r="F56" t="s">
        <v>11</v>
      </c>
      <c r="G56" t="s">
        <v>597</v>
      </c>
      <c r="H56">
        <v>-2</v>
      </c>
      <c r="I56" t="s">
        <v>598</v>
      </c>
      <c r="J56" s="3">
        <v>8</v>
      </c>
      <c r="K56" s="3">
        <f>VLOOKUP(VALUE(A56),Tabla13[#All],9,0)</f>
        <v>5</v>
      </c>
      <c r="L56" s="4">
        <f>Tabla1[[#This Row],[Valor vendido en dolares]]-Tabla1[[#This Row],[Precio de Lista]]</f>
        <v>3</v>
      </c>
    </row>
    <row r="57" spans="1:12" x14ac:dyDescent="0.15">
      <c r="A57" t="s">
        <v>622</v>
      </c>
      <c r="B57" t="s">
        <v>623</v>
      </c>
      <c r="C57" t="s">
        <v>9</v>
      </c>
      <c r="D57" s="2">
        <v>46038</v>
      </c>
      <c r="E57" t="s">
        <v>10</v>
      </c>
      <c r="F57" t="s">
        <v>11</v>
      </c>
      <c r="G57" t="s">
        <v>597</v>
      </c>
      <c r="H57">
        <v>-1</v>
      </c>
      <c r="I57" t="s">
        <v>598</v>
      </c>
      <c r="J57" s="3">
        <v>35.380000000000003</v>
      </c>
      <c r="K57" s="3">
        <f>VLOOKUP(VALUE(A57),Tabla13[#All],9,0)</f>
        <v>22.11</v>
      </c>
      <c r="L57" s="4">
        <f>Tabla1[[#This Row],[Valor vendido en dolares]]-Tabla1[[#This Row],[Precio de Lista]]</f>
        <v>13.270000000000003</v>
      </c>
    </row>
    <row r="58" spans="1:12" x14ac:dyDescent="0.15">
      <c r="A58" t="s">
        <v>33</v>
      </c>
      <c r="B58" t="s">
        <v>34</v>
      </c>
      <c r="C58" t="s">
        <v>9</v>
      </c>
      <c r="D58" s="2">
        <v>46038</v>
      </c>
      <c r="E58" t="s">
        <v>10</v>
      </c>
      <c r="F58" t="s">
        <v>11</v>
      </c>
      <c r="G58" t="s">
        <v>597</v>
      </c>
      <c r="H58">
        <v>-2</v>
      </c>
      <c r="I58" t="s">
        <v>598</v>
      </c>
      <c r="J58" s="3">
        <v>8</v>
      </c>
      <c r="K58" s="3">
        <f>VLOOKUP(VALUE(A58),Tabla13[#All],9,0)</f>
        <v>5</v>
      </c>
      <c r="L58" s="4">
        <f>Tabla1[[#This Row],[Valor vendido en dolares]]-Tabla1[[#This Row],[Precio de Lista]]</f>
        <v>3</v>
      </c>
    </row>
    <row r="59" spans="1:12" x14ac:dyDescent="0.15">
      <c r="A59" t="s">
        <v>622</v>
      </c>
      <c r="B59" t="s">
        <v>623</v>
      </c>
      <c r="C59" t="s">
        <v>9</v>
      </c>
      <c r="D59" s="2">
        <v>46038</v>
      </c>
      <c r="E59" t="s">
        <v>10</v>
      </c>
      <c r="F59" t="s">
        <v>11</v>
      </c>
      <c r="G59" t="s">
        <v>597</v>
      </c>
      <c r="H59">
        <v>-1</v>
      </c>
      <c r="I59" t="s">
        <v>598</v>
      </c>
      <c r="J59" s="3">
        <v>35.380000000000003</v>
      </c>
      <c r="K59" s="3">
        <f>VLOOKUP(VALUE(A59),Tabla13[#All],9,0)</f>
        <v>22.11</v>
      </c>
      <c r="L59" s="4">
        <f>Tabla1[[#This Row],[Valor vendido en dolares]]-Tabla1[[#This Row],[Precio de Lista]]</f>
        <v>13.270000000000003</v>
      </c>
    </row>
    <row r="60" spans="1:12" x14ac:dyDescent="0.15">
      <c r="A60" t="s">
        <v>642</v>
      </c>
      <c r="B60" t="s">
        <v>301</v>
      </c>
      <c r="C60" t="s">
        <v>9</v>
      </c>
      <c r="D60" s="2">
        <v>46042</v>
      </c>
      <c r="E60" t="s">
        <v>10</v>
      </c>
      <c r="F60" t="s">
        <v>11</v>
      </c>
      <c r="G60" t="s">
        <v>643</v>
      </c>
      <c r="H60">
        <v>-2</v>
      </c>
      <c r="I60" t="s">
        <v>644</v>
      </c>
      <c r="J60" s="3">
        <v>77.84</v>
      </c>
      <c r="K60" s="3">
        <f>VLOOKUP(VALUE(A60),Tabla13[#All],9,0)</f>
        <v>48.647864406779668</v>
      </c>
      <c r="L60" s="4">
        <f>Tabla1[[#This Row],[Valor vendido en dolares]]-Tabla1[[#This Row],[Precio de Lista]]</f>
        <v>29.192135593220335</v>
      </c>
    </row>
    <row r="61" spans="1:12" x14ac:dyDescent="0.15">
      <c r="A61" t="s">
        <v>22</v>
      </c>
      <c r="B61" t="s">
        <v>23</v>
      </c>
      <c r="C61" t="s">
        <v>9</v>
      </c>
      <c r="D61" s="2">
        <v>46042</v>
      </c>
      <c r="E61" t="s">
        <v>10</v>
      </c>
      <c r="F61" t="s">
        <v>11</v>
      </c>
      <c r="G61" t="s">
        <v>645</v>
      </c>
      <c r="H61">
        <v>-1</v>
      </c>
      <c r="I61" t="s">
        <v>633</v>
      </c>
      <c r="J61" s="3">
        <v>215.43</v>
      </c>
      <c r="K61" s="3">
        <f>VLOOKUP(VALUE(A61),Tabla13[#All],9,0)</f>
        <v>134.6420338983051</v>
      </c>
      <c r="L61" s="4">
        <f>Tabla1[[#This Row],[Valor vendido en dolares]]-Tabla1[[#This Row],[Precio de Lista]]</f>
        <v>80.787966101694906</v>
      </c>
    </row>
    <row r="62" spans="1:12" x14ac:dyDescent="0.15">
      <c r="A62" s="41" t="s">
        <v>24</v>
      </c>
      <c r="B62" t="s">
        <v>25</v>
      </c>
      <c r="C62" t="s">
        <v>9</v>
      </c>
      <c r="D62" s="2">
        <v>46042</v>
      </c>
      <c r="E62" t="s">
        <v>10</v>
      </c>
      <c r="F62" t="s">
        <v>11</v>
      </c>
      <c r="G62" t="s">
        <v>645</v>
      </c>
      <c r="H62">
        <v>-1</v>
      </c>
      <c r="I62" t="s">
        <v>633</v>
      </c>
      <c r="J62" s="3">
        <v>446.11</v>
      </c>
      <c r="K62" s="3">
        <f>VLOOKUP(VALUE(A62),Tabla13[#All],9,0)</f>
        <v>278.81830508474582</v>
      </c>
      <c r="L62" s="4">
        <f>Tabla1[[#This Row],[Valor vendido en dolares]]-Tabla1[[#This Row],[Precio de Lista]]</f>
        <v>167.2916949152542</v>
      </c>
    </row>
    <row r="63" spans="1:12" x14ac:dyDescent="0.15">
      <c r="A63" t="s">
        <v>639</v>
      </c>
      <c r="B63" t="s">
        <v>28</v>
      </c>
      <c r="C63" t="s">
        <v>9</v>
      </c>
      <c r="D63" s="2">
        <v>46044</v>
      </c>
      <c r="E63" t="s">
        <v>10</v>
      </c>
      <c r="F63" t="s">
        <v>11</v>
      </c>
      <c r="G63" t="s">
        <v>640</v>
      </c>
      <c r="H63">
        <v>-1</v>
      </c>
      <c r="I63" t="s">
        <v>576</v>
      </c>
      <c r="J63" s="3">
        <v>61.6</v>
      </c>
      <c r="K63" s="3">
        <f>VLOOKUP(VALUE(A63),Tabla13[#All],9,0)</f>
        <v>38.497389830508475</v>
      </c>
      <c r="L63" s="4">
        <f>Tabla1[[#This Row],[Valor vendido en dolares]]-Tabla1[[#This Row],[Precio de Lista]]</f>
        <v>23.102610169491527</v>
      </c>
    </row>
    <row r="64" spans="1:12" x14ac:dyDescent="0.15">
      <c r="A64" t="s">
        <v>641</v>
      </c>
      <c r="B64" t="s">
        <v>425</v>
      </c>
      <c r="C64" t="s">
        <v>9</v>
      </c>
      <c r="D64" s="2">
        <v>46044</v>
      </c>
      <c r="E64" t="s">
        <v>10</v>
      </c>
      <c r="F64" t="s">
        <v>11</v>
      </c>
      <c r="G64" t="s">
        <v>640</v>
      </c>
      <c r="H64">
        <v>-1</v>
      </c>
      <c r="I64" t="s">
        <v>576</v>
      </c>
      <c r="J64" s="3">
        <v>55.05</v>
      </c>
      <c r="K64" s="3">
        <f>VLOOKUP(VALUE(A64),Tabla13[#All],9,0)</f>
        <v>34.40464406779661</v>
      </c>
      <c r="L64" s="4">
        <f>Tabla1[[#This Row],[Valor vendido en dolares]]-Tabla1[[#This Row],[Precio de Lista]]</f>
        <v>20.645355932203387</v>
      </c>
    </row>
    <row r="65" spans="1:13" x14ac:dyDescent="0.15">
      <c r="A65" t="s">
        <v>588</v>
      </c>
      <c r="B65" t="s">
        <v>589</v>
      </c>
      <c r="C65" t="s">
        <v>9</v>
      </c>
      <c r="D65" s="2">
        <v>46047</v>
      </c>
      <c r="E65" t="s">
        <v>10</v>
      </c>
      <c r="F65" t="s">
        <v>11</v>
      </c>
      <c r="G65" t="s">
        <v>637</v>
      </c>
      <c r="H65">
        <v>-1</v>
      </c>
      <c r="I65" t="s">
        <v>638</v>
      </c>
      <c r="J65" s="3">
        <v>686.89</v>
      </c>
      <c r="K65" s="3">
        <f>VLOOKUP(VALUE(A65),Tabla13[#All],9,0)</f>
        <v>429.30810169491531</v>
      </c>
      <c r="L65" s="4">
        <f>Tabla1[[#This Row],[Valor vendido en dolares]]-Tabla1[[#This Row],[Precio de Lista]]</f>
        <v>257.58189830508468</v>
      </c>
    </row>
    <row r="66" spans="1:13" x14ac:dyDescent="0.15">
      <c r="A66" t="s">
        <v>634</v>
      </c>
      <c r="B66" t="s">
        <v>635</v>
      </c>
      <c r="C66" t="s">
        <v>9</v>
      </c>
      <c r="D66" s="2">
        <v>46048</v>
      </c>
      <c r="E66" t="s">
        <v>10</v>
      </c>
      <c r="F66" t="s">
        <v>11</v>
      </c>
      <c r="G66" t="s">
        <v>636</v>
      </c>
      <c r="H66">
        <v>-1</v>
      </c>
      <c r="I66" t="s">
        <v>612</v>
      </c>
      <c r="J66" s="3">
        <v>197.76</v>
      </c>
      <c r="K66" s="3">
        <f>VLOOKUP(VALUE(A66),Tabla13[#All],9,0)</f>
        <v>123.6</v>
      </c>
      <c r="L66" s="4">
        <f>Tabla1[[#This Row],[Valor vendido en dolares]]-Tabla1[[#This Row],[Precio de Lista]]</f>
        <v>74.16</v>
      </c>
    </row>
    <row r="67" spans="1:13" x14ac:dyDescent="0.15">
      <c r="A67" t="s">
        <v>19</v>
      </c>
      <c r="B67" t="s">
        <v>20</v>
      </c>
      <c r="C67" t="s">
        <v>9</v>
      </c>
      <c r="D67" s="2">
        <v>46052</v>
      </c>
      <c r="E67" t="s">
        <v>10</v>
      </c>
      <c r="F67" t="s">
        <v>11</v>
      </c>
      <c r="G67" t="s">
        <v>627</v>
      </c>
      <c r="H67">
        <v>-1</v>
      </c>
      <c r="I67" t="s">
        <v>628</v>
      </c>
      <c r="J67" s="3">
        <v>871.22</v>
      </c>
      <c r="K67" s="3">
        <f>VLOOKUP(VALUE(A67),Tabla13[#All],9,0)</f>
        <v>544.50959322033907</v>
      </c>
      <c r="L67" s="4">
        <f>Tabla1[[#This Row],[Valor vendido en dolares]]-Tabla1[[#This Row],[Precio de Lista]]</f>
        <v>326.71040677966096</v>
      </c>
    </row>
    <row r="68" spans="1:13" x14ac:dyDescent="0.15">
      <c r="A68" t="s">
        <v>22</v>
      </c>
      <c r="B68" t="s">
        <v>23</v>
      </c>
      <c r="C68" t="s">
        <v>9</v>
      </c>
      <c r="D68" s="2">
        <v>46052</v>
      </c>
      <c r="E68" t="s">
        <v>10</v>
      </c>
      <c r="F68" t="s">
        <v>11</v>
      </c>
      <c r="G68" t="s">
        <v>629</v>
      </c>
      <c r="H68">
        <v>-1</v>
      </c>
      <c r="I68" t="s">
        <v>630</v>
      </c>
      <c r="J68" s="3">
        <v>214.43</v>
      </c>
      <c r="K68" s="3">
        <f>VLOOKUP(VALUE(A68),Tabla13[#All],9,0)</f>
        <v>134.6420338983051</v>
      </c>
      <c r="L68" s="4">
        <f>Tabla1[[#This Row],[Valor vendido en dolares]]-Tabla1[[#This Row],[Precio de Lista]]</f>
        <v>79.787966101694906</v>
      </c>
    </row>
    <row r="69" spans="1:13" x14ac:dyDescent="0.15">
      <c r="A69" t="s">
        <v>24</v>
      </c>
      <c r="B69" t="s">
        <v>25</v>
      </c>
      <c r="C69" t="s">
        <v>9</v>
      </c>
      <c r="D69" s="2">
        <v>46052</v>
      </c>
      <c r="E69" t="s">
        <v>10</v>
      </c>
      <c r="F69" t="s">
        <v>11</v>
      </c>
      <c r="G69" t="s">
        <v>629</v>
      </c>
      <c r="H69">
        <v>-1</v>
      </c>
      <c r="I69" t="s">
        <v>630</v>
      </c>
      <c r="J69" s="3">
        <v>446.11</v>
      </c>
      <c r="K69" s="3">
        <f>VLOOKUP(VALUE(A69),Tabla13[#All],9,0)</f>
        <v>278.81830508474582</v>
      </c>
      <c r="L69" s="4">
        <f>Tabla1[[#This Row],[Valor vendido en dolares]]-Tabla1[[#This Row],[Precio de Lista]]</f>
        <v>167.2916949152542</v>
      </c>
    </row>
    <row r="70" spans="1:13" x14ac:dyDescent="0.15">
      <c r="A70" t="s">
        <v>578</v>
      </c>
      <c r="B70" t="s">
        <v>495</v>
      </c>
      <c r="C70" t="s">
        <v>9</v>
      </c>
      <c r="D70" s="2">
        <v>46052</v>
      </c>
      <c r="E70" t="s">
        <v>10</v>
      </c>
      <c r="F70" t="s">
        <v>11</v>
      </c>
      <c r="G70" t="s">
        <v>629</v>
      </c>
      <c r="H70">
        <v>-1</v>
      </c>
      <c r="I70" t="s">
        <v>630</v>
      </c>
      <c r="J70" s="3">
        <v>124.43</v>
      </c>
      <c r="K70" s="3">
        <f>VLOOKUP(VALUE(A70),Tabla13[#All],9,0)</f>
        <v>74.622847457627131</v>
      </c>
      <c r="L70" s="4">
        <f>Tabla1[[#This Row],[Valor vendido en dolares]]-Tabla1[[#This Row],[Precio de Lista]]</f>
        <v>49.807152542372876</v>
      </c>
    </row>
    <row r="71" spans="1:13" x14ac:dyDescent="0.15">
      <c r="A71" t="s">
        <v>631</v>
      </c>
      <c r="B71" t="s">
        <v>510</v>
      </c>
      <c r="C71" t="s">
        <v>9</v>
      </c>
      <c r="D71" s="2">
        <v>46052</v>
      </c>
      <c r="E71" t="s">
        <v>10</v>
      </c>
      <c r="F71" t="s">
        <v>11</v>
      </c>
      <c r="G71" t="s">
        <v>632</v>
      </c>
      <c r="H71">
        <v>-2</v>
      </c>
      <c r="I71" t="s">
        <v>633</v>
      </c>
      <c r="J71" s="3">
        <v>36.799999999999997</v>
      </c>
      <c r="K71" s="3">
        <f>VLOOKUP(VALUE(A71),Tabla13[#All],9,0)</f>
        <v>23</v>
      </c>
      <c r="L71" s="4">
        <f>Tabla1[[#This Row],[Valor vendido en dolares]]-Tabla1[[#This Row],[Precio de Lista]]</f>
        <v>13.799999999999997</v>
      </c>
    </row>
    <row r="72" spans="1:13" x14ac:dyDescent="0.15">
      <c r="D72" s="2"/>
      <c r="J72" s="3"/>
      <c r="K72" s="3"/>
      <c r="L72" s="4">
        <f>SUM(Tabla1[Margen Gancia])</f>
        <v>4796.9011525423712</v>
      </c>
      <c r="M72" t="s">
        <v>651</v>
      </c>
    </row>
  </sheetData>
  <pageMargins left="0.75" right="0.75" top="1" bottom="1" header="0.5" footer="0.5"/>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7036-2836-4499-BB6A-2978C93440E8}">
  <dimension ref="A1:Q557"/>
  <sheetViews>
    <sheetView topLeftCell="A146" zoomScale="85" zoomScaleNormal="85" workbookViewId="0">
      <selection activeCell="E488" sqref="E488"/>
    </sheetView>
  </sheetViews>
  <sheetFormatPr baseColWidth="10" defaultRowHeight="15" x14ac:dyDescent="0.2"/>
  <cols>
    <col min="1" max="1" width="9.83203125" style="10" customWidth="1"/>
    <col min="2" max="2" width="15.33203125" style="32" customWidth="1"/>
    <col min="3" max="3" width="48.83203125" style="10" customWidth="1"/>
    <col min="4" max="4" width="13.33203125" style="32" customWidth="1"/>
    <col min="5" max="5" width="19.83203125" style="10" bestFit="1" customWidth="1"/>
    <col min="6" max="6" width="18.83203125" style="10" bestFit="1" customWidth="1"/>
    <col min="7" max="7" width="18" style="10" bestFit="1" customWidth="1"/>
    <col min="8" max="8" width="15.33203125" style="10" bestFit="1" customWidth="1"/>
    <col min="9" max="9" width="18.83203125" style="10" bestFit="1" customWidth="1"/>
    <col min="10" max="10" width="22.5" style="10" customWidth="1"/>
    <col min="11" max="11" width="27.33203125" style="10" customWidth="1"/>
    <col min="12" max="13" width="19.33203125" style="10" customWidth="1"/>
    <col min="14" max="254" width="11.5" style="10"/>
    <col min="255" max="255" width="9.83203125" style="10" customWidth="1"/>
    <col min="256" max="256" width="15.33203125" style="10" customWidth="1"/>
    <col min="257" max="257" width="48.83203125" style="10" customWidth="1"/>
    <col min="258" max="258" width="13.33203125" style="10" customWidth="1"/>
    <col min="259" max="259" width="9" style="10" customWidth="1"/>
    <col min="260" max="260" width="12.6640625" style="10" customWidth="1"/>
    <col min="261" max="261" width="16.83203125" style="10" customWidth="1"/>
    <col min="262" max="510" width="11.5" style="10"/>
    <col min="511" max="511" width="9.83203125" style="10" customWidth="1"/>
    <col min="512" max="512" width="15.33203125" style="10" customWidth="1"/>
    <col min="513" max="513" width="48.83203125" style="10" customWidth="1"/>
    <col min="514" max="514" width="13.33203125" style="10" customWidth="1"/>
    <col min="515" max="515" width="9" style="10" customWidth="1"/>
    <col min="516" max="516" width="12.6640625" style="10" customWidth="1"/>
    <col min="517" max="517" width="16.83203125" style="10" customWidth="1"/>
    <col min="518" max="766" width="11.5" style="10"/>
    <col min="767" max="767" width="9.83203125" style="10" customWidth="1"/>
    <col min="768" max="768" width="15.33203125" style="10" customWidth="1"/>
    <col min="769" max="769" width="48.83203125" style="10" customWidth="1"/>
    <col min="770" max="770" width="13.33203125" style="10" customWidth="1"/>
    <col min="771" max="771" width="9" style="10" customWidth="1"/>
    <col min="772" max="772" width="12.6640625" style="10" customWidth="1"/>
    <col min="773" max="773" width="16.83203125" style="10" customWidth="1"/>
    <col min="774" max="1022" width="11.5" style="10"/>
    <col min="1023" max="1023" width="9.83203125" style="10" customWidth="1"/>
    <col min="1024" max="1024" width="15.33203125" style="10" customWidth="1"/>
    <col min="1025" max="1025" width="48.83203125" style="10" customWidth="1"/>
    <col min="1026" max="1026" width="13.33203125" style="10" customWidth="1"/>
    <col min="1027" max="1027" width="9" style="10" customWidth="1"/>
    <col min="1028" max="1028" width="12.6640625" style="10" customWidth="1"/>
    <col min="1029" max="1029" width="16.83203125" style="10" customWidth="1"/>
    <col min="1030" max="1278" width="11.5" style="10"/>
    <col min="1279" max="1279" width="9.83203125" style="10" customWidth="1"/>
    <col min="1280" max="1280" width="15.33203125" style="10" customWidth="1"/>
    <col min="1281" max="1281" width="48.83203125" style="10" customWidth="1"/>
    <col min="1282" max="1282" width="13.33203125" style="10" customWidth="1"/>
    <col min="1283" max="1283" width="9" style="10" customWidth="1"/>
    <col min="1284" max="1284" width="12.6640625" style="10" customWidth="1"/>
    <col min="1285" max="1285" width="16.83203125" style="10" customWidth="1"/>
    <col min="1286" max="1534" width="11.5" style="10"/>
    <col min="1535" max="1535" width="9.83203125" style="10" customWidth="1"/>
    <col min="1536" max="1536" width="15.33203125" style="10" customWidth="1"/>
    <col min="1537" max="1537" width="48.83203125" style="10" customWidth="1"/>
    <col min="1538" max="1538" width="13.33203125" style="10" customWidth="1"/>
    <col min="1539" max="1539" width="9" style="10" customWidth="1"/>
    <col min="1540" max="1540" width="12.6640625" style="10" customWidth="1"/>
    <col min="1541" max="1541" width="16.83203125" style="10" customWidth="1"/>
    <col min="1542" max="1790" width="11.5" style="10"/>
    <col min="1791" max="1791" width="9.83203125" style="10" customWidth="1"/>
    <col min="1792" max="1792" width="15.33203125" style="10" customWidth="1"/>
    <col min="1793" max="1793" width="48.83203125" style="10" customWidth="1"/>
    <col min="1794" max="1794" width="13.33203125" style="10" customWidth="1"/>
    <col min="1795" max="1795" width="9" style="10" customWidth="1"/>
    <col min="1796" max="1796" width="12.6640625" style="10" customWidth="1"/>
    <col min="1797" max="1797" width="16.83203125" style="10" customWidth="1"/>
    <col min="1798" max="2046" width="11.5" style="10"/>
    <col min="2047" max="2047" width="9.83203125" style="10" customWidth="1"/>
    <col min="2048" max="2048" width="15.33203125" style="10" customWidth="1"/>
    <col min="2049" max="2049" width="48.83203125" style="10" customWidth="1"/>
    <col min="2050" max="2050" width="13.33203125" style="10" customWidth="1"/>
    <col min="2051" max="2051" width="9" style="10" customWidth="1"/>
    <col min="2052" max="2052" width="12.6640625" style="10" customWidth="1"/>
    <col min="2053" max="2053" width="16.83203125" style="10" customWidth="1"/>
    <col min="2054" max="2302" width="11.5" style="10"/>
    <col min="2303" max="2303" width="9.83203125" style="10" customWidth="1"/>
    <col min="2304" max="2304" width="15.33203125" style="10" customWidth="1"/>
    <col min="2305" max="2305" width="48.83203125" style="10" customWidth="1"/>
    <col min="2306" max="2306" width="13.33203125" style="10" customWidth="1"/>
    <col min="2307" max="2307" width="9" style="10" customWidth="1"/>
    <col min="2308" max="2308" width="12.6640625" style="10" customWidth="1"/>
    <col min="2309" max="2309" width="16.83203125" style="10" customWidth="1"/>
    <col min="2310" max="2558" width="11.5" style="10"/>
    <col min="2559" max="2559" width="9.83203125" style="10" customWidth="1"/>
    <col min="2560" max="2560" width="15.33203125" style="10" customWidth="1"/>
    <col min="2561" max="2561" width="48.83203125" style="10" customWidth="1"/>
    <col min="2562" max="2562" width="13.33203125" style="10" customWidth="1"/>
    <col min="2563" max="2563" width="9" style="10" customWidth="1"/>
    <col min="2564" max="2564" width="12.6640625" style="10" customWidth="1"/>
    <col min="2565" max="2565" width="16.83203125" style="10" customWidth="1"/>
    <col min="2566" max="2814" width="11.5" style="10"/>
    <col min="2815" max="2815" width="9.83203125" style="10" customWidth="1"/>
    <col min="2816" max="2816" width="15.33203125" style="10" customWidth="1"/>
    <col min="2817" max="2817" width="48.83203125" style="10" customWidth="1"/>
    <col min="2818" max="2818" width="13.33203125" style="10" customWidth="1"/>
    <col min="2819" max="2819" width="9" style="10" customWidth="1"/>
    <col min="2820" max="2820" width="12.6640625" style="10" customWidth="1"/>
    <col min="2821" max="2821" width="16.83203125" style="10" customWidth="1"/>
    <col min="2822" max="3070" width="11.5" style="10"/>
    <col min="3071" max="3071" width="9.83203125" style="10" customWidth="1"/>
    <col min="3072" max="3072" width="15.33203125" style="10" customWidth="1"/>
    <col min="3073" max="3073" width="48.83203125" style="10" customWidth="1"/>
    <col min="3074" max="3074" width="13.33203125" style="10" customWidth="1"/>
    <col min="3075" max="3075" width="9" style="10" customWidth="1"/>
    <col min="3076" max="3076" width="12.6640625" style="10" customWidth="1"/>
    <col min="3077" max="3077" width="16.83203125" style="10" customWidth="1"/>
    <col min="3078" max="3326" width="11.5" style="10"/>
    <col min="3327" max="3327" width="9.83203125" style="10" customWidth="1"/>
    <col min="3328" max="3328" width="15.33203125" style="10" customWidth="1"/>
    <col min="3329" max="3329" width="48.83203125" style="10" customWidth="1"/>
    <col min="3330" max="3330" width="13.33203125" style="10" customWidth="1"/>
    <col min="3331" max="3331" width="9" style="10" customWidth="1"/>
    <col min="3332" max="3332" width="12.6640625" style="10" customWidth="1"/>
    <col min="3333" max="3333" width="16.83203125" style="10" customWidth="1"/>
    <col min="3334" max="3582" width="11.5" style="10"/>
    <col min="3583" max="3583" width="9.83203125" style="10" customWidth="1"/>
    <col min="3584" max="3584" width="15.33203125" style="10" customWidth="1"/>
    <col min="3585" max="3585" width="48.83203125" style="10" customWidth="1"/>
    <col min="3586" max="3586" width="13.33203125" style="10" customWidth="1"/>
    <col min="3587" max="3587" width="9" style="10" customWidth="1"/>
    <col min="3588" max="3588" width="12.6640625" style="10" customWidth="1"/>
    <col min="3589" max="3589" width="16.83203125" style="10" customWidth="1"/>
    <col min="3590" max="3838" width="11.5" style="10"/>
    <col min="3839" max="3839" width="9.83203125" style="10" customWidth="1"/>
    <col min="3840" max="3840" width="15.33203125" style="10" customWidth="1"/>
    <col min="3841" max="3841" width="48.83203125" style="10" customWidth="1"/>
    <col min="3842" max="3842" width="13.33203125" style="10" customWidth="1"/>
    <col min="3843" max="3843" width="9" style="10" customWidth="1"/>
    <col min="3844" max="3844" width="12.6640625" style="10" customWidth="1"/>
    <col min="3845" max="3845" width="16.83203125" style="10" customWidth="1"/>
    <col min="3846" max="4094" width="11.5" style="10"/>
    <col min="4095" max="4095" width="9.83203125" style="10" customWidth="1"/>
    <col min="4096" max="4096" width="15.33203125" style="10" customWidth="1"/>
    <col min="4097" max="4097" width="48.83203125" style="10" customWidth="1"/>
    <col min="4098" max="4098" width="13.33203125" style="10" customWidth="1"/>
    <col min="4099" max="4099" width="9" style="10" customWidth="1"/>
    <col min="4100" max="4100" width="12.6640625" style="10" customWidth="1"/>
    <col min="4101" max="4101" width="16.83203125" style="10" customWidth="1"/>
    <col min="4102" max="4350" width="11.5" style="10"/>
    <col min="4351" max="4351" width="9.83203125" style="10" customWidth="1"/>
    <col min="4352" max="4352" width="15.33203125" style="10" customWidth="1"/>
    <col min="4353" max="4353" width="48.83203125" style="10" customWidth="1"/>
    <col min="4354" max="4354" width="13.33203125" style="10" customWidth="1"/>
    <col min="4355" max="4355" width="9" style="10" customWidth="1"/>
    <col min="4356" max="4356" width="12.6640625" style="10" customWidth="1"/>
    <col min="4357" max="4357" width="16.83203125" style="10" customWidth="1"/>
    <col min="4358" max="4606" width="11.5" style="10"/>
    <col min="4607" max="4607" width="9.83203125" style="10" customWidth="1"/>
    <col min="4608" max="4608" width="15.33203125" style="10" customWidth="1"/>
    <col min="4609" max="4609" width="48.83203125" style="10" customWidth="1"/>
    <col min="4610" max="4610" width="13.33203125" style="10" customWidth="1"/>
    <col min="4611" max="4611" width="9" style="10" customWidth="1"/>
    <col min="4612" max="4612" width="12.6640625" style="10" customWidth="1"/>
    <col min="4613" max="4613" width="16.83203125" style="10" customWidth="1"/>
    <col min="4614" max="4862" width="11.5" style="10"/>
    <col min="4863" max="4863" width="9.83203125" style="10" customWidth="1"/>
    <col min="4864" max="4864" width="15.33203125" style="10" customWidth="1"/>
    <col min="4865" max="4865" width="48.83203125" style="10" customWidth="1"/>
    <col min="4866" max="4866" width="13.33203125" style="10" customWidth="1"/>
    <col min="4867" max="4867" width="9" style="10" customWidth="1"/>
    <col min="4868" max="4868" width="12.6640625" style="10" customWidth="1"/>
    <col min="4869" max="4869" width="16.83203125" style="10" customWidth="1"/>
    <col min="4870" max="5118" width="11.5" style="10"/>
    <col min="5119" max="5119" width="9.83203125" style="10" customWidth="1"/>
    <col min="5120" max="5120" width="15.33203125" style="10" customWidth="1"/>
    <col min="5121" max="5121" width="48.83203125" style="10" customWidth="1"/>
    <col min="5122" max="5122" width="13.33203125" style="10" customWidth="1"/>
    <col min="5123" max="5123" width="9" style="10" customWidth="1"/>
    <col min="5124" max="5124" width="12.6640625" style="10" customWidth="1"/>
    <col min="5125" max="5125" width="16.83203125" style="10" customWidth="1"/>
    <col min="5126" max="5374" width="11.5" style="10"/>
    <col min="5375" max="5375" width="9.83203125" style="10" customWidth="1"/>
    <col min="5376" max="5376" width="15.33203125" style="10" customWidth="1"/>
    <col min="5377" max="5377" width="48.83203125" style="10" customWidth="1"/>
    <col min="5378" max="5378" width="13.33203125" style="10" customWidth="1"/>
    <col min="5379" max="5379" width="9" style="10" customWidth="1"/>
    <col min="5380" max="5380" width="12.6640625" style="10" customWidth="1"/>
    <col min="5381" max="5381" width="16.83203125" style="10" customWidth="1"/>
    <col min="5382" max="5630" width="11.5" style="10"/>
    <col min="5631" max="5631" width="9.83203125" style="10" customWidth="1"/>
    <col min="5632" max="5632" width="15.33203125" style="10" customWidth="1"/>
    <col min="5633" max="5633" width="48.83203125" style="10" customWidth="1"/>
    <col min="5634" max="5634" width="13.33203125" style="10" customWidth="1"/>
    <col min="5635" max="5635" width="9" style="10" customWidth="1"/>
    <col min="5636" max="5636" width="12.6640625" style="10" customWidth="1"/>
    <col min="5637" max="5637" width="16.83203125" style="10" customWidth="1"/>
    <col min="5638" max="5886" width="11.5" style="10"/>
    <col min="5887" max="5887" width="9.83203125" style="10" customWidth="1"/>
    <col min="5888" max="5888" width="15.33203125" style="10" customWidth="1"/>
    <col min="5889" max="5889" width="48.83203125" style="10" customWidth="1"/>
    <col min="5890" max="5890" width="13.33203125" style="10" customWidth="1"/>
    <col min="5891" max="5891" width="9" style="10" customWidth="1"/>
    <col min="5892" max="5892" width="12.6640625" style="10" customWidth="1"/>
    <col min="5893" max="5893" width="16.83203125" style="10" customWidth="1"/>
    <col min="5894" max="6142" width="11.5" style="10"/>
    <col min="6143" max="6143" width="9.83203125" style="10" customWidth="1"/>
    <col min="6144" max="6144" width="15.33203125" style="10" customWidth="1"/>
    <col min="6145" max="6145" width="48.83203125" style="10" customWidth="1"/>
    <col min="6146" max="6146" width="13.33203125" style="10" customWidth="1"/>
    <col min="6147" max="6147" width="9" style="10" customWidth="1"/>
    <col min="6148" max="6148" width="12.6640625" style="10" customWidth="1"/>
    <col min="6149" max="6149" width="16.83203125" style="10" customWidth="1"/>
    <col min="6150" max="6398" width="11.5" style="10"/>
    <col min="6399" max="6399" width="9.83203125" style="10" customWidth="1"/>
    <col min="6400" max="6400" width="15.33203125" style="10" customWidth="1"/>
    <col min="6401" max="6401" width="48.83203125" style="10" customWidth="1"/>
    <col min="6402" max="6402" width="13.33203125" style="10" customWidth="1"/>
    <col min="6403" max="6403" width="9" style="10" customWidth="1"/>
    <col min="6404" max="6404" width="12.6640625" style="10" customWidth="1"/>
    <col min="6405" max="6405" width="16.83203125" style="10" customWidth="1"/>
    <col min="6406" max="6654" width="11.5" style="10"/>
    <col min="6655" max="6655" width="9.83203125" style="10" customWidth="1"/>
    <col min="6656" max="6656" width="15.33203125" style="10" customWidth="1"/>
    <col min="6657" max="6657" width="48.83203125" style="10" customWidth="1"/>
    <col min="6658" max="6658" width="13.33203125" style="10" customWidth="1"/>
    <col min="6659" max="6659" width="9" style="10" customWidth="1"/>
    <col min="6660" max="6660" width="12.6640625" style="10" customWidth="1"/>
    <col min="6661" max="6661" width="16.83203125" style="10" customWidth="1"/>
    <col min="6662" max="6910" width="11.5" style="10"/>
    <col min="6911" max="6911" width="9.83203125" style="10" customWidth="1"/>
    <col min="6912" max="6912" width="15.33203125" style="10" customWidth="1"/>
    <col min="6913" max="6913" width="48.83203125" style="10" customWidth="1"/>
    <col min="6914" max="6914" width="13.33203125" style="10" customWidth="1"/>
    <col min="6915" max="6915" width="9" style="10" customWidth="1"/>
    <col min="6916" max="6916" width="12.6640625" style="10" customWidth="1"/>
    <col min="6917" max="6917" width="16.83203125" style="10" customWidth="1"/>
    <col min="6918" max="7166" width="11.5" style="10"/>
    <col min="7167" max="7167" width="9.83203125" style="10" customWidth="1"/>
    <col min="7168" max="7168" width="15.33203125" style="10" customWidth="1"/>
    <col min="7169" max="7169" width="48.83203125" style="10" customWidth="1"/>
    <col min="7170" max="7170" width="13.33203125" style="10" customWidth="1"/>
    <col min="7171" max="7171" width="9" style="10" customWidth="1"/>
    <col min="7172" max="7172" width="12.6640625" style="10" customWidth="1"/>
    <col min="7173" max="7173" width="16.83203125" style="10" customWidth="1"/>
    <col min="7174" max="7422" width="11.5" style="10"/>
    <col min="7423" max="7423" width="9.83203125" style="10" customWidth="1"/>
    <col min="7424" max="7424" width="15.33203125" style="10" customWidth="1"/>
    <col min="7425" max="7425" width="48.83203125" style="10" customWidth="1"/>
    <col min="7426" max="7426" width="13.33203125" style="10" customWidth="1"/>
    <col min="7427" max="7427" width="9" style="10" customWidth="1"/>
    <col min="7428" max="7428" width="12.6640625" style="10" customWidth="1"/>
    <col min="7429" max="7429" width="16.83203125" style="10" customWidth="1"/>
    <col min="7430" max="7678" width="11.5" style="10"/>
    <col min="7679" max="7679" width="9.83203125" style="10" customWidth="1"/>
    <col min="7680" max="7680" width="15.33203125" style="10" customWidth="1"/>
    <col min="7681" max="7681" width="48.83203125" style="10" customWidth="1"/>
    <col min="7682" max="7682" width="13.33203125" style="10" customWidth="1"/>
    <col min="7683" max="7683" width="9" style="10" customWidth="1"/>
    <col min="7684" max="7684" width="12.6640625" style="10" customWidth="1"/>
    <col min="7685" max="7685" width="16.83203125" style="10" customWidth="1"/>
    <col min="7686" max="7934" width="11.5" style="10"/>
    <col min="7935" max="7935" width="9.83203125" style="10" customWidth="1"/>
    <col min="7936" max="7936" width="15.33203125" style="10" customWidth="1"/>
    <col min="7937" max="7937" width="48.83203125" style="10" customWidth="1"/>
    <col min="7938" max="7938" width="13.33203125" style="10" customWidth="1"/>
    <col min="7939" max="7939" width="9" style="10" customWidth="1"/>
    <col min="7940" max="7940" width="12.6640625" style="10" customWidth="1"/>
    <col min="7941" max="7941" width="16.83203125" style="10" customWidth="1"/>
    <col min="7942" max="8190" width="11.5" style="10"/>
    <col min="8191" max="8191" width="9.83203125" style="10" customWidth="1"/>
    <col min="8192" max="8192" width="15.33203125" style="10" customWidth="1"/>
    <col min="8193" max="8193" width="48.83203125" style="10" customWidth="1"/>
    <col min="8194" max="8194" width="13.33203125" style="10" customWidth="1"/>
    <col min="8195" max="8195" width="9" style="10" customWidth="1"/>
    <col min="8196" max="8196" width="12.6640625" style="10" customWidth="1"/>
    <col min="8197" max="8197" width="16.83203125" style="10" customWidth="1"/>
    <col min="8198" max="8446" width="11.5" style="10"/>
    <col min="8447" max="8447" width="9.83203125" style="10" customWidth="1"/>
    <col min="8448" max="8448" width="15.33203125" style="10" customWidth="1"/>
    <col min="8449" max="8449" width="48.83203125" style="10" customWidth="1"/>
    <col min="8450" max="8450" width="13.33203125" style="10" customWidth="1"/>
    <col min="8451" max="8451" width="9" style="10" customWidth="1"/>
    <col min="8452" max="8452" width="12.6640625" style="10" customWidth="1"/>
    <col min="8453" max="8453" width="16.83203125" style="10" customWidth="1"/>
    <col min="8454" max="8702" width="11.5" style="10"/>
    <col min="8703" max="8703" width="9.83203125" style="10" customWidth="1"/>
    <col min="8704" max="8704" width="15.33203125" style="10" customWidth="1"/>
    <col min="8705" max="8705" width="48.83203125" style="10" customWidth="1"/>
    <col min="8706" max="8706" width="13.33203125" style="10" customWidth="1"/>
    <col min="8707" max="8707" width="9" style="10" customWidth="1"/>
    <col min="8708" max="8708" width="12.6640625" style="10" customWidth="1"/>
    <col min="8709" max="8709" width="16.83203125" style="10" customWidth="1"/>
    <col min="8710" max="8958" width="11.5" style="10"/>
    <col min="8959" max="8959" width="9.83203125" style="10" customWidth="1"/>
    <col min="8960" max="8960" width="15.33203125" style="10" customWidth="1"/>
    <col min="8961" max="8961" width="48.83203125" style="10" customWidth="1"/>
    <col min="8962" max="8962" width="13.33203125" style="10" customWidth="1"/>
    <col min="8963" max="8963" width="9" style="10" customWidth="1"/>
    <col min="8964" max="8964" width="12.6640625" style="10" customWidth="1"/>
    <col min="8965" max="8965" width="16.83203125" style="10" customWidth="1"/>
    <col min="8966" max="9214" width="11.5" style="10"/>
    <col min="9215" max="9215" width="9.83203125" style="10" customWidth="1"/>
    <col min="9216" max="9216" width="15.33203125" style="10" customWidth="1"/>
    <col min="9217" max="9217" width="48.83203125" style="10" customWidth="1"/>
    <col min="9218" max="9218" width="13.33203125" style="10" customWidth="1"/>
    <col min="9219" max="9219" width="9" style="10" customWidth="1"/>
    <col min="9220" max="9220" width="12.6640625" style="10" customWidth="1"/>
    <col min="9221" max="9221" width="16.83203125" style="10" customWidth="1"/>
    <col min="9222" max="9470" width="11.5" style="10"/>
    <col min="9471" max="9471" width="9.83203125" style="10" customWidth="1"/>
    <col min="9472" max="9472" width="15.33203125" style="10" customWidth="1"/>
    <col min="9473" max="9473" width="48.83203125" style="10" customWidth="1"/>
    <col min="9474" max="9474" width="13.33203125" style="10" customWidth="1"/>
    <col min="9475" max="9475" width="9" style="10" customWidth="1"/>
    <col min="9476" max="9476" width="12.6640625" style="10" customWidth="1"/>
    <col min="9477" max="9477" width="16.83203125" style="10" customWidth="1"/>
    <col min="9478" max="9726" width="11.5" style="10"/>
    <col min="9727" max="9727" width="9.83203125" style="10" customWidth="1"/>
    <col min="9728" max="9728" width="15.33203125" style="10" customWidth="1"/>
    <col min="9729" max="9729" width="48.83203125" style="10" customWidth="1"/>
    <col min="9730" max="9730" width="13.33203125" style="10" customWidth="1"/>
    <col min="9731" max="9731" width="9" style="10" customWidth="1"/>
    <col min="9732" max="9732" width="12.6640625" style="10" customWidth="1"/>
    <col min="9733" max="9733" width="16.83203125" style="10" customWidth="1"/>
    <col min="9734" max="9982" width="11.5" style="10"/>
    <col min="9983" max="9983" width="9.83203125" style="10" customWidth="1"/>
    <col min="9984" max="9984" width="15.33203125" style="10" customWidth="1"/>
    <col min="9985" max="9985" width="48.83203125" style="10" customWidth="1"/>
    <col min="9986" max="9986" width="13.33203125" style="10" customWidth="1"/>
    <col min="9987" max="9987" width="9" style="10" customWidth="1"/>
    <col min="9988" max="9988" width="12.6640625" style="10" customWidth="1"/>
    <col min="9989" max="9989" width="16.83203125" style="10" customWidth="1"/>
    <col min="9990" max="10238" width="11.5" style="10"/>
    <col min="10239" max="10239" width="9.83203125" style="10" customWidth="1"/>
    <col min="10240" max="10240" width="15.33203125" style="10" customWidth="1"/>
    <col min="10241" max="10241" width="48.83203125" style="10" customWidth="1"/>
    <col min="10242" max="10242" width="13.33203125" style="10" customWidth="1"/>
    <col min="10243" max="10243" width="9" style="10" customWidth="1"/>
    <col min="10244" max="10244" width="12.6640625" style="10" customWidth="1"/>
    <col min="10245" max="10245" width="16.83203125" style="10" customWidth="1"/>
    <col min="10246" max="10494" width="11.5" style="10"/>
    <col min="10495" max="10495" width="9.83203125" style="10" customWidth="1"/>
    <col min="10496" max="10496" width="15.33203125" style="10" customWidth="1"/>
    <col min="10497" max="10497" width="48.83203125" style="10" customWidth="1"/>
    <col min="10498" max="10498" width="13.33203125" style="10" customWidth="1"/>
    <col min="10499" max="10499" width="9" style="10" customWidth="1"/>
    <col min="10500" max="10500" width="12.6640625" style="10" customWidth="1"/>
    <col min="10501" max="10501" width="16.83203125" style="10" customWidth="1"/>
    <col min="10502" max="10750" width="11.5" style="10"/>
    <col min="10751" max="10751" width="9.83203125" style="10" customWidth="1"/>
    <col min="10752" max="10752" width="15.33203125" style="10" customWidth="1"/>
    <col min="10753" max="10753" width="48.83203125" style="10" customWidth="1"/>
    <col min="10754" max="10754" width="13.33203125" style="10" customWidth="1"/>
    <col min="10755" max="10755" width="9" style="10" customWidth="1"/>
    <col min="10756" max="10756" width="12.6640625" style="10" customWidth="1"/>
    <col min="10757" max="10757" width="16.83203125" style="10" customWidth="1"/>
    <col min="10758" max="11006" width="11.5" style="10"/>
    <col min="11007" max="11007" width="9.83203125" style="10" customWidth="1"/>
    <col min="11008" max="11008" width="15.33203125" style="10" customWidth="1"/>
    <col min="11009" max="11009" width="48.83203125" style="10" customWidth="1"/>
    <col min="11010" max="11010" width="13.33203125" style="10" customWidth="1"/>
    <col min="11011" max="11011" width="9" style="10" customWidth="1"/>
    <col min="11012" max="11012" width="12.6640625" style="10" customWidth="1"/>
    <col min="11013" max="11013" width="16.83203125" style="10" customWidth="1"/>
    <col min="11014" max="11262" width="11.5" style="10"/>
    <col min="11263" max="11263" width="9.83203125" style="10" customWidth="1"/>
    <col min="11264" max="11264" width="15.33203125" style="10" customWidth="1"/>
    <col min="11265" max="11265" width="48.83203125" style="10" customWidth="1"/>
    <col min="11266" max="11266" width="13.33203125" style="10" customWidth="1"/>
    <col min="11267" max="11267" width="9" style="10" customWidth="1"/>
    <col min="11268" max="11268" width="12.6640625" style="10" customWidth="1"/>
    <col min="11269" max="11269" width="16.83203125" style="10" customWidth="1"/>
    <col min="11270" max="11518" width="11.5" style="10"/>
    <col min="11519" max="11519" width="9.83203125" style="10" customWidth="1"/>
    <col min="11520" max="11520" width="15.33203125" style="10" customWidth="1"/>
    <col min="11521" max="11521" width="48.83203125" style="10" customWidth="1"/>
    <col min="11522" max="11522" width="13.33203125" style="10" customWidth="1"/>
    <col min="11523" max="11523" width="9" style="10" customWidth="1"/>
    <col min="11524" max="11524" width="12.6640625" style="10" customWidth="1"/>
    <col min="11525" max="11525" width="16.83203125" style="10" customWidth="1"/>
    <col min="11526" max="11774" width="11.5" style="10"/>
    <col min="11775" max="11775" width="9.83203125" style="10" customWidth="1"/>
    <col min="11776" max="11776" width="15.33203125" style="10" customWidth="1"/>
    <col min="11777" max="11777" width="48.83203125" style="10" customWidth="1"/>
    <col min="11778" max="11778" width="13.33203125" style="10" customWidth="1"/>
    <col min="11779" max="11779" width="9" style="10" customWidth="1"/>
    <col min="11780" max="11780" width="12.6640625" style="10" customWidth="1"/>
    <col min="11781" max="11781" width="16.83203125" style="10" customWidth="1"/>
    <col min="11782" max="12030" width="11.5" style="10"/>
    <col min="12031" max="12031" width="9.83203125" style="10" customWidth="1"/>
    <col min="12032" max="12032" width="15.33203125" style="10" customWidth="1"/>
    <col min="12033" max="12033" width="48.83203125" style="10" customWidth="1"/>
    <col min="12034" max="12034" width="13.33203125" style="10" customWidth="1"/>
    <col min="12035" max="12035" width="9" style="10" customWidth="1"/>
    <col min="12036" max="12036" width="12.6640625" style="10" customWidth="1"/>
    <col min="12037" max="12037" width="16.83203125" style="10" customWidth="1"/>
    <col min="12038" max="12286" width="11.5" style="10"/>
    <col min="12287" max="12287" width="9.83203125" style="10" customWidth="1"/>
    <col min="12288" max="12288" width="15.33203125" style="10" customWidth="1"/>
    <col min="12289" max="12289" width="48.83203125" style="10" customWidth="1"/>
    <col min="12290" max="12290" width="13.33203125" style="10" customWidth="1"/>
    <col min="12291" max="12291" width="9" style="10" customWidth="1"/>
    <col min="12292" max="12292" width="12.6640625" style="10" customWidth="1"/>
    <col min="12293" max="12293" width="16.83203125" style="10" customWidth="1"/>
    <col min="12294" max="12542" width="11.5" style="10"/>
    <col min="12543" max="12543" width="9.83203125" style="10" customWidth="1"/>
    <col min="12544" max="12544" width="15.33203125" style="10" customWidth="1"/>
    <col min="12545" max="12545" width="48.83203125" style="10" customWidth="1"/>
    <col min="12546" max="12546" width="13.33203125" style="10" customWidth="1"/>
    <col min="12547" max="12547" width="9" style="10" customWidth="1"/>
    <col min="12548" max="12548" width="12.6640625" style="10" customWidth="1"/>
    <col min="12549" max="12549" width="16.83203125" style="10" customWidth="1"/>
    <col min="12550" max="12798" width="11.5" style="10"/>
    <col min="12799" max="12799" width="9.83203125" style="10" customWidth="1"/>
    <col min="12800" max="12800" width="15.33203125" style="10" customWidth="1"/>
    <col min="12801" max="12801" width="48.83203125" style="10" customWidth="1"/>
    <col min="12802" max="12802" width="13.33203125" style="10" customWidth="1"/>
    <col min="12803" max="12803" width="9" style="10" customWidth="1"/>
    <col min="12804" max="12804" width="12.6640625" style="10" customWidth="1"/>
    <col min="12805" max="12805" width="16.83203125" style="10" customWidth="1"/>
    <col min="12806" max="13054" width="11.5" style="10"/>
    <col min="13055" max="13055" width="9.83203125" style="10" customWidth="1"/>
    <col min="13056" max="13056" width="15.33203125" style="10" customWidth="1"/>
    <col min="13057" max="13057" width="48.83203125" style="10" customWidth="1"/>
    <col min="13058" max="13058" width="13.33203125" style="10" customWidth="1"/>
    <col min="13059" max="13059" width="9" style="10" customWidth="1"/>
    <col min="13060" max="13060" width="12.6640625" style="10" customWidth="1"/>
    <col min="13061" max="13061" width="16.83203125" style="10" customWidth="1"/>
    <col min="13062" max="13310" width="11.5" style="10"/>
    <col min="13311" max="13311" width="9.83203125" style="10" customWidth="1"/>
    <col min="13312" max="13312" width="15.33203125" style="10" customWidth="1"/>
    <col min="13313" max="13313" width="48.83203125" style="10" customWidth="1"/>
    <col min="13314" max="13314" width="13.33203125" style="10" customWidth="1"/>
    <col min="13315" max="13315" width="9" style="10" customWidth="1"/>
    <col min="13316" max="13316" width="12.6640625" style="10" customWidth="1"/>
    <col min="13317" max="13317" width="16.83203125" style="10" customWidth="1"/>
    <col min="13318" max="13566" width="11.5" style="10"/>
    <col min="13567" max="13567" width="9.83203125" style="10" customWidth="1"/>
    <col min="13568" max="13568" width="15.33203125" style="10" customWidth="1"/>
    <col min="13569" max="13569" width="48.83203125" style="10" customWidth="1"/>
    <col min="13570" max="13570" width="13.33203125" style="10" customWidth="1"/>
    <col min="13571" max="13571" width="9" style="10" customWidth="1"/>
    <col min="13572" max="13572" width="12.6640625" style="10" customWidth="1"/>
    <col min="13573" max="13573" width="16.83203125" style="10" customWidth="1"/>
    <col min="13574" max="13822" width="11.5" style="10"/>
    <col min="13823" max="13823" width="9.83203125" style="10" customWidth="1"/>
    <col min="13824" max="13824" width="15.33203125" style="10" customWidth="1"/>
    <col min="13825" max="13825" width="48.83203125" style="10" customWidth="1"/>
    <col min="13826" max="13826" width="13.33203125" style="10" customWidth="1"/>
    <col min="13827" max="13827" width="9" style="10" customWidth="1"/>
    <col min="13828" max="13828" width="12.6640625" style="10" customWidth="1"/>
    <col min="13829" max="13829" width="16.83203125" style="10" customWidth="1"/>
    <col min="13830" max="14078" width="11.5" style="10"/>
    <col min="14079" max="14079" width="9.83203125" style="10" customWidth="1"/>
    <col min="14080" max="14080" width="15.33203125" style="10" customWidth="1"/>
    <col min="14081" max="14081" width="48.83203125" style="10" customWidth="1"/>
    <col min="14082" max="14082" width="13.33203125" style="10" customWidth="1"/>
    <col min="14083" max="14083" width="9" style="10" customWidth="1"/>
    <col min="14084" max="14084" width="12.6640625" style="10" customWidth="1"/>
    <col min="14085" max="14085" width="16.83203125" style="10" customWidth="1"/>
    <col min="14086" max="14334" width="11.5" style="10"/>
    <col min="14335" max="14335" width="9.83203125" style="10" customWidth="1"/>
    <col min="14336" max="14336" width="15.33203125" style="10" customWidth="1"/>
    <col min="14337" max="14337" width="48.83203125" style="10" customWidth="1"/>
    <col min="14338" max="14338" width="13.33203125" style="10" customWidth="1"/>
    <col min="14339" max="14339" width="9" style="10" customWidth="1"/>
    <col min="14340" max="14340" width="12.6640625" style="10" customWidth="1"/>
    <col min="14341" max="14341" width="16.83203125" style="10" customWidth="1"/>
    <col min="14342" max="14590" width="11.5" style="10"/>
    <col min="14591" max="14591" width="9.83203125" style="10" customWidth="1"/>
    <col min="14592" max="14592" width="15.33203125" style="10" customWidth="1"/>
    <col min="14593" max="14593" width="48.83203125" style="10" customWidth="1"/>
    <col min="14594" max="14594" width="13.33203125" style="10" customWidth="1"/>
    <col min="14595" max="14595" width="9" style="10" customWidth="1"/>
    <col min="14596" max="14596" width="12.6640625" style="10" customWidth="1"/>
    <col min="14597" max="14597" width="16.83203125" style="10" customWidth="1"/>
    <col min="14598" max="14846" width="11.5" style="10"/>
    <col min="14847" max="14847" width="9.83203125" style="10" customWidth="1"/>
    <col min="14848" max="14848" width="15.33203125" style="10" customWidth="1"/>
    <col min="14849" max="14849" width="48.83203125" style="10" customWidth="1"/>
    <col min="14850" max="14850" width="13.33203125" style="10" customWidth="1"/>
    <col min="14851" max="14851" width="9" style="10" customWidth="1"/>
    <col min="14852" max="14852" width="12.6640625" style="10" customWidth="1"/>
    <col min="14853" max="14853" width="16.83203125" style="10" customWidth="1"/>
    <col min="14854" max="15102" width="11.5" style="10"/>
    <col min="15103" max="15103" width="9.83203125" style="10" customWidth="1"/>
    <col min="15104" max="15104" width="15.33203125" style="10" customWidth="1"/>
    <col min="15105" max="15105" width="48.83203125" style="10" customWidth="1"/>
    <col min="15106" max="15106" width="13.33203125" style="10" customWidth="1"/>
    <col min="15107" max="15107" width="9" style="10" customWidth="1"/>
    <col min="15108" max="15108" width="12.6640625" style="10" customWidth="1"/>
    <col min="15109" max="15109" width="16.83203125" style="10" customWidth="1"/>
    <col min="15110" max="15358" width="11.5" style="10"/>
    <col min="15359" max="15359" width="9.83203125" style="10" customWidth="1"/>
    <col min="15360" max="15360" width="15.33203125" style="10" customWidth="1"/>
    <col min="15361" max="15361" width="48.83203125" style="10" customWidth="1"/>
    <col min="15362" max="15362" width="13.33203125" style="10" customWidth="1"/>
    <col min="15363" max="15363" width="9" style="10" customWidth="1"/>
    <col min="15364" max="15364" width="12.6640625" style="10" customWidth="1"/>
    <col min="15365" max="15365" width="16.83203125" style="10" customWidth="1"/>
    <col min="15366" max="15614" width="11.5" style="10"/>
    <col min="15615" max="15615" width="9.83203125" style="10" customWidth="1"/>
    <col min="15616" max="15616" width="15.33203125" style="10" customWidth="1"/>
    <col min="15617" max="15617" width="48.83203125" style="10" customWidth="1"/>
    <col min="15618" max="15618" width="13.33203125" style="10" customWidth="1"/>
    <col min="15619" max="15619" width="9" style="10" customWidth="1"/>
    <col min="15620" max="15620" width="12.6640625" style="10" customWidth="1"/>
    <col min="15621" max="15621" width="16.83203125" style="10" customWidth="1"/>
    <col min="15622" max="15870" width="11.5" style="10"/>
    <col min="15871" max="15871" width="9.83203125" style="10" customWidth="1"/>
    <col min="15872" max="15872" width="15.33203125" style="10" customWidth="1"/>
    <col min="15873" max="15873" width="48.83203125" style="10" customWidth="1"/>
    <col min="15874" max="15874" width="13.33203125" style="10" customWidth="1"/>
    <col min="15875" max="15875" width="9" style="10" customWidth="1"/>
    <col min="15876" max="15876" width="12.6640625" style="10" customWidth="1"/>
    <col min="15877" max="15877" width="16.83203125" style="10" customWidth="1"/>
    <col min="15878" max="16126" width="11.5" style="10"/>
    <col min="16127" max="16127" width="9.83203125" style="10" customWidth="1"/>
    <col min="16128" max="16128" width="15.33203125" style="10" customWidth="1"/>
    <col min="16129" max="16129" width="48.83203125" style="10" customWidth="1"/>
    <col min="16130" max="16130" width="13.33203125" style="10" customWidth="1"/>
    <col min="16131" max="16131" width="9" style="10" customWidth="1"/>
    <col min="16132" max="16132" width="12.6640625" style="10" customWidth="1"/>
    <col min="16133" max="16133" width="16.83203125" style="10" customWidth="1"/>
    <col min="16134" max="16384" width="11.5" style="10"/>
  </cols>
  <sheetData>
    <row r="1" spans="1:17" ht="19.25" customHeight="1" x14ac:dyDescent="0.2">
      <c r="A1" s="6" t="s">
        <v>38</v>
      </c>
      <c r="B1" s="6" t="s">
        <v>39</v>
      </c>
      <c r="C1" s="6" t="s">
        <v>40</v>
      </c>
      <c r="D1" s="6" t="s">
        <v>41</v>
      </c>
      <c r="E1" s="6" t="s">
        <v>42</v>
      </c>
      <c r="F1" s="6" t="s">
        <v>43</v>
      </c>
      <c r="G1" s="6" t="s">
        <v>44</v>
      </c>
      <c r="H1" s="6" t="s">
        <v>45</v>
      </c>
      <c r="I1" s="6" t="s">
        <v>46</v>
      </c>
      <c r="J1" s="6" t="s">
        <v>47</v>
      </c>
      <c r="K1" s="6" t="s">
        <v>48</v>
      </c>
      <c r="L1" s="7" t="s">
        <v>49</v>
      </c>
      <c r="M1" s="8"/>
      <c r="N1" s="9" t="s">
        <v>50</v>
      </c>
      <c r="O1" s="9">
        <v>1475</v>
      </c>
      <c r="P1" s="9" t="s">
        <v>51</v>
      </c>
      <c r="Q1" s="9">
        <v>1715</v>
      </c>
    </row>
    <row r="2" spans="1:17" x14ac:dyDescent="0.2">
      <c r="A2" s="11">
        <v>6012</v>
      </c>
      <c r="B2" s="12" t="s">
        <v>52</v>
      </c>
      <c r="C2" s="13" t="s">
        <v>53</v>
      </c>
      <c r="D2" s="12" t="s">
        <v>54</v>
      </c>
      <c r="E2" s="10" t="s">
        <v>55</v>
      </c>
      <c r="F2" s="14">
        <v>27.09</v>
      </c>
      <c r="G2" s="15"/>
      <c r="I2" s="14">
        <f t="shared" ref="I2:I65" si="0">IF(AND(F2="",G2="",H2=""),"",IF(F2&lt;&gt;"",F2,IF(G2&lt;&gt;"",G2/$O$1,IF(H2&lt;&gt;"",H2*$O$2,"ver"))))</f>
        <v>27.09</v>
      </c>
      <c r="J2" s="14">
        <f>Tabla13[[#This Row],[Precio final en USD]]*$P$4</f>
        <v>43.344000000000001</v>
      </c>
      <c r="N2" s="9" t="s">
        <v>56</v>
      </c>
      <c r="O2" s="16">
        <f>Q1/O1</f>
        <v>1.1627118644067798</v>
      </c>
    </row>
    <row r="3" spans="1:17" x14ac:dyDescent="0.2">
      <c r="A3" s="12">
        <v>7079</v>
      </c>
      <c r="B3" s="11" t="s">
        <v>52</v>
      </c>
      <c r="C3" s="13" t="s">
        <v>57</v>
      </c>
      <c r="D3" s="12" t="s">
        <v>58</v>
      </c>
      <c r="E3" s="10" t="s">
        <v>59</v>
      </c>
      <c r="F3" s="14"/>
      <c r="G3" s="15"/>
      <c r="I3" s="14" t="str">
        <f t="shared" si="0"/>
        <v/>
      </c>
      <c r="J3" s="14" t="e">
        <f>Tabla13[[#This Row],[Precio final en USD]]*$P$4</f>
        <v>#VALUE!</v>
      </c>
      <c r="K3" s="10" t="s">
        <v>60</v>
      </c>
      <c r="P3" s="17"/>
    </row>
    <row r="4" spans="1:17" x14ac:dyDescent="0.2">
      <c r="A4" s="12">
        <v>7198</v>
      </c>
      <c r="B4" s="11" t="s">
        <v>52</v>
      </c>
      <c r="C4" s="13" t="s">
        <v>61</v>
      </c>
      <c r="D4" s="12" t="s">
        <v>58</v>
      </c>
      <c r="E4" s="10" t="s">
        <v>59</v>
      </c>
      <c r="F4" s="14"/>
      <c r="G4" s="15"/>
      <c r="I4" s="14" t="str">
        <f t="shared" si="0"/>
        <v/>
      </c>
      <c r="J4" s="14" t="e">
        <f>Tabla13[[#This Row],[Precio final en USD]]*$P$4</f>
        <v>#VALUE!</v>
      </c>
      <c r="K4" s="10" t="s">
        <v>60</v>
      </c>
      <c r="N4" s="18" t="s">
        <v>62</v>
      </c>
      <c r="O4" s="18"/>
      <c r="P4" s="18">
        <v>1.6</v>
      </c>
    </row>
    <row r="5" spans="1:17" x14ac:dyDescent="0.2">
      <c r="A5" s="12">
        <v>7199</v>
      </c>
      <c r="B5" s="11" t="s">
        <v>52</v>
      </c>
      <c r="C5" s="13" t="s">
        <v>63</v>
      </c>
      <c r="D5" s="12" t="s">
        <v>58</v>
      </c>
      <c r="E5" s="10" t="s">
        <v>64</v>
      </c>
      <c r="F5" s="14"/>
      <c r="G5" s="15"/>
      <c r="I5" s="14" t="str">
        <f t="shared" si="0"/>
        <v/>
      </c>
      <c r="J5" s="14" t="e">
        <f>Tabla13[[#This Row],[Precio final en USD]]*$P$4</f>
        <v>#VALUE!</v>
      </c>
      <c r="O5" s="19"/>
      <c r="P5" s="20"/>
    </row>
    <row r="6" spans="1:17" x14ac:dyDescent="0.2">
      <c r="A6" s="12">
        <v>7208</v>
      </c>
      <c r="B6" s="11" t="s">
        <v>52</v>
      </c>
      <c r="C6" s="13" t="s">
        <v>65</v>
      </c>
      <c r="D6" s="12" t="s">
        <v>58</v>
      </c>
      <c r="E6" s="10" t="s">
        <v>59</v>
      </c>
      <c r="F6" s="14"/>
      <c r="G6" s="15"/>
      <c r="I6" s="14" t="str">
        <f t="shared" si="0"/>
        <v/>
      </c>
      <c r="J6" s="14" t="e">
        <f>Tabla13[[#This Row],[Precio final en USD]]*$P$4</f>
        <v>#VALUE!</v>
      </c>
      <c r="K6" s="10" t="s">
        <v>60</v>
      </c>
    </row>
    <row r="7" spans="1:17" x14ac:dyDescent="0.2">
      <c r="A7" s="12">
        <v>7209</v>
      </c>
      <c r="B7" s="11" t="s">
        <v>52</v>
      </c>
      <c r="C7" s="13" t="s">
        <v>66</v>
      </c>
      <c r="D7" s="12" t="s">
        <v>58</v>
      </c>
      <c r="E7" s="10" t="s">
        <v>59</v>
      </c>
      <c r="F7" s="14"/>
      <c r="G7" s="15"/>
      <c r="I7" s="14" t="str">
        <f t="shared" si="0"/>
        <v/>
      </c>
      <c r="J7" s="14" t="e">
        <f>Tabla13[[#This Row],[Precio final en USD]]*$P$4</f>
        <v>#VALUE!</v>
      </c>
      <c r="K7" s="10" t="s">
        <v>60</v>
      </c>
    </row>
    <row r="8" spans="1:17" x14ac:dyDescent="0.2">
      <c r="A8" s="11">
        <v>7318</v>
      </c>
      <c r="B8" s="12" t="s">
        <v>52</v>
      </c>
      <c r="C8" s="13" t="s">
        <v>67</v>
      </c>
      <c r="D8" s="12" t="s">
        <v>54</v>
      </c>
      <c r="E8" s="10" t="s">
        <v>68</v>
      </c>
      <c r="F8" s="14"/>
      <c r="G8" s="15">
        <v>140000</v>
      </c>
      <c r="I8" s="14">
        <f t="shared" si="0"/>
        <v>94.915254237288138</v>
      </c>
      <c r="J8" s="14">
        <f>Tabla13[[#This Row],[Precio final en USD]]*$P$4</f>
        <v>151.86440677966104</v>
      </c>
    </row>
    <row r="9" spans="1:17" x14ac:dyDescent="0.2">
      <c r="A9" s="12">
        <v>7347</v>
      </c>
      <c r="B9" s="11" t="s">
        <v>52</v>
      </c>
      <c r="C9" s="13" t="s">
        <v>69</v>
      </c>
      <c r="D9" s="12" t="s">
        <v>58</v>
      </c>
      <c r="E9" s="10" t="s">
        <v>59</v>
      </c>
      <c r="F9" s="14"/>
      <c r="G9" s="15"/>
      <c r="I9" s="14" t="str">
        <f t="shared" si="0"/>
        <v/>
      </c>
      <c r="J9" s="14" t="e">
        <f>Tabla13[[#This Row],[Precio final en USD]]*$P$4</f>
        <v>#VALUE!</v>
      </c>
      <c r="K9" s="10" t="s">
        <v>60</v>
      </c>
      <c r="N9" s="21"/>
    </row>
    <row r="10" spans="1:17" x14ac:dyDescent="0.2">
      <c r="A10" s="12">
        <v>7374</v>
      </c>
      <c r="B10" s="11" t="s">
        <v>52</v>
      </c>
      <c r="C10" s="13" t="s">
        <v>70</v>
      </c>
      <c r="D10" s="12" t="s">
        <v>58</v>
      </c>
      <c r="E10" s="10" t="s">
        <v>59</v>
      </c>
      <c r="F10" s="14"/>
      <c r="G10" s="15"/>
      <c r="I10" s="14" t="str">
        <f t="shared" si="0"/>
        <v/>
      </c>
      <c r="J10" s="14" t="e">
        <f>Tabla13[[#This Row],[Precio final en USD]]*$P$4</f>
        <v>#VALUE!</v>
      </c>
      <c r="K10" s="10" t="s">
        <v>60</v>
      </c>
    </row>
    <row r="11" spans="1:17" x14ac:dyDescent="0.2">
      <c r="A11" s="12">
        <v>7377</v>
      </c>
      <c r="B11" s="11" t="s">
        <v>52</v>
      </c>
      <c r="C11" s="13" t="s">
        <v>71</v>
      </c>
      <c r="D11" s="12" t="s">
        <v>58</v>
      </c>
      <c r="E11" s="10" t="s">
        <v>59</v>
      </c>
      <c r="F11" s="14"/>
      <c r="G11" s="15"/>
      <c r="I11" s="14" t="str">
        <f t="shared" si="0"/>
        <v/>
      </c>
      <c r="J11" s="14" t="e">
        <f>Tabla13[[#This Row],[Precio final en USD]]*$P$4</f>
        <v>#VALUE!</v>
      </c>
      <c r="K11" s="10" t="s">
        <v>60</v>
      </c>
    </row>
    <row r="12" spans="1:17" x14ac:dyDescent="0.2">
      <c r="A12" s="11">
        <v>7381</v>
      </c>
      <c r="B12" s="12" t="s">
        <v>52</v>
      </c>
      <c r="C12" s="13" t="s">
        <v>72</v>
      </c>
      <c r="D12" s="12" t="s">
        <v>54</v>
      </c>
      <c r="F12" s="14"/>
      <c r="G12" s="15">
        <v>0</v>
      </c>
      <c r="I12" s="14">
        <f t="shared" si="0"/>
        <v>0</v>
      </c>
      <c r="J12" s="14">
        <f>Tabla13[[#This Row],[Precio final en USD]]*$P$4</f>
        <v>0</v>
      </c>
      <c r="K12" s="10" t="s">
        <v>73</v>
      </c>
    </row>
    <row r="13" spans="1:17" x14ac:dyDescent="0.2">
      <c r="A13" s="12">
        <v>7381</v>
      </c>
      <c r="B13" s="11" t="s">
        <v>52</v>
      </c>
      <c r="C13" s="13" t="s">
        <v>72</v>
      </c>
      <c r="D13" s="12" t="s">
        <v>58</v>
      </c>
      <c r="F13" s="14"/>
      <c r="G13" s="15">
        <v>0</v>
      </c>
      <c r="I13" s="14">
        <f t="shared" si="0"/>
        <v>0</v>
      </c>
      <c r="J13" s="14">
        <f>Tabla13[[#This Row],[Precio final en USD]]*$P$4</f>
        <v>0</v>
      </c>
      <c r="K13" s="10" t="s">
        <v>74</v>
      </c>
    </row>
    <row r="14" spans="1:17" x14ac:dyDescent="0.2">
      <c r="A14" s="12">
        <v>7616</v>
      </c>
      <c r="B14" s="11" t="s">
        <v>52</v>
      </c>
      <c r="C14" s="13" t="s">
        <v>75</v>
      </c>
      <c r="D14" s="12" t="s">
        <v>58</v>
      </c>
      <c r="E14" s="10" t="s">
        <v>59</v>
      </c>
      <c r="F14" s="14"/>
      <c r="G14" s="15"/>
      <c r="I14" s="14" t="str">
        <f t="shared" si="0"/>
        <v/>
      </c>
      <c r="J14" s="14" t="e">
        <f>Tabla13[[#This Row],[Precio final en USD]]*$P$4</f>
        <v>#VALUE!</v>
      </c>
      <c r="K14" s="10" t="s">
        <v>60</v>
      </c>
    </row>
    <row r="15" spans="1:17" x14ac:dyDescent="0.2">
      <c r="A15" s="11">
        <v>10005</v>
      </c>
      <c r="B15" s="12" t="s">
        <v>52</v>
      </c>
      <c r="C15" s="13" t="s">
        <v>76</v>
      </c>
      <c r="D15" s="12" t="s">
        <v>54</v>
      </c>
      <c r="E15" s="10" t="s">
        <v>68</v>
      </c>
      <c r="F15" s="14"/>
      <c r="G15" s="15">
        <v>9000</v>
      </c>
      <c r="H15" s="21"/>
      <c r="I15" s="14">
        <f t="shared" si="0"/>
        <v>6.101694915254237</v>
      </c>
      <c r="J15" s="14">
        <f>Tabla13[[#This Row],[Precio final en USD]]*$P$4</f>
        <v>9.7627118644067803</v>
      </c>
    </row>
    <row r="16" spans="1:17" x14ac:dyDescent="0.2">
      <c r="A16" s="11">
        <v>10009</v>
      </c>
      <c r="B16" s="12" t="s">
        <v>52</v>
      </c>
      <c r="C16" s="13" t="s">
        <v>77</v>
      </c>
      <c r="D16" s="12" t="s">
        <v>54</v>
      </c>
      <c r="E16" s="10" t="s">
        <v>78</v>
      </c>
      <c r="F16" s="14">
        <v>54</v>
      </c>
      <c r="G16" s="15"/>
      <c r="H16" s="21"/>
      <c r="I16" s="14">
        <f t="shared" si="0"/>
        <v>54</v>
      </c>
      <c r="J16" s="14">
        <f>Tabla13[[#This Row],[Precio final en USD]]*$P$4</f>
        <v>86.4</v>
      </c>
    </row>
    <row r="17" spans="1:10" x14ac:dyDescent="0.2">
      <c r="A17" s="11">
        <v>10012</v>
      </c>
      <c r="B17" s="12" t="s">
        <v>52</v>
      </c>
      <c r="C17" s="13" t="s">
        <v>79</v>
      </c>
      <c r="D17" s="12" t="s">
        <v>54</v>
      </c>
      <c r="E17" s="10" t="s">
        <v>68</v>
      </c>
      <c r="F17" s="14"/>
      <c r="G17" s="15">
        <v>15000</v>
      </c>
      <c r="H17" s="21"/>
      <c r="I17" s="14">
        <f t="shared" si="0"/>
        <v>10.169491525423728</v>
      </c>
      <c r="J17" s="14">
        <f>Tabla13[[#This Row],[Precio final en USD]]*$P$4</f>
        <v>16.271186440677965</v>
      </c>
    </row>
    <row r="18" spans="1:10" x14ac:dyDescent="0.2">
      <c r="A18" s="11">
        <v>10013</v>
      </c>
      <c r="B18" s="12" t="s">
        <v>52</v>
      </c>
      <c r="C18" s="13" t="s">
        <v>80</v>
      </c>
      <c r="D18" s="12" t="s">
        <v>54</v>
      </c>
      <c r="E18" s="10" t="s">
        <v>68</v>
      </c>
      <c r="F18" s="14"/>
      <c r="G18" s="15">
        <v>36000</v>
      </c>
      <c r="H18" s="21"/>
      <c r="I18" s="14">
        <f t="shared" si="0"/>
        <v>24.406779661016948</v>
      </c>
      <c r="J18" s="14">
        <f>Tabla13[[#This Row],[Precio final en USD]]*$P$4</f>
        <v>39.050847457627121</v>
      </c>
    </row>
    <row r="19" spans="1:10" x14ac:dyDescent="0.2">
      <c r="A19" s="11">
        <v>10016</v>
      </c>
      <c r="B19" s="12" t="s">
        <v>52</v>
      </c>
      <c r="C19" s="13" t="s">
        <v>81</v>
      </c>
      <c r="D19" s="12" t="s">
        <v>54</v>
      </c>
      <c r="E19" s="10" t="s">
        <v>82</v>
      </c>
      <c r="F19" s="14">
        <v>78.900000000000006</v>
      </c>
      <c r="G19" s="15"/>
      <c r="H19" s="21"/>
      <c r="I19" s="14">
        <f t="shared" si="0"/>
        <v>78.900000000000006</v>
      </c>
      <c r="J19" s="14">
        <f>Tabla13[[#This Row],[Precio final en USD]]*$P$4</f>
        <v>126.24000000000001</v>
      </c>
    </row>
    <row r="20" spans="1:10" x14ac:dyDescent="0.2">
      <c r="A20" s="11">
        <v>10017</v>
      </c>
      <c r="B20" s="12" t="s">
        <v>52</v>
      </c>
      <c r="C20" s="13" t="s">
        <v>83</v>
      </c>
      <c r="D20" s="12" t="s">
        <v>54</v>
      </c>
      <c r="E20" s="10" t="s">
        <v>84</v>
      </c>
      <c r="F20" s="14"/>
      <c r="G20" s="15"/>
      <c r="H20" s="21">
        <v>0.18</v>
      </c>
      <c r="I20" s="14">
        <f t="shared" si="0"/>
        <v>0.20928813559322035</v>
      </c>
      <c r="J20" s="14">
        <f>Tabla13[[#This Row],[Precio final en USD]]*$P$4</f>
        <v>0.3348610169491526</v>
      </c>
    </row>
    <row r="21" spans="1:10" x14ac:dyDescent="0.2">
      <c r="A21" s="11">
        <v>10018</v>
      </c>
      <c r="B21" s="12" t="s">
        <v>52</v>
      </c>
      <c r="C21" s="13" t="s">
        <v>85</v>
      </c>
      <c r="D21" s="12" t="s">
        <v>54</v>
      </c>
      <c r="E21" s="10" t="s">
        <v>84</v>
      </c>
      <c r="F21" s="14"/>
      <c r="G21" s="15"/>
      <c r="H21" s="21">
        <v>50.98</v>
      </c>
      <c r="I21" s="14">
        <f t="shared" si="0"/>
        <v>59.275050847457628</v>
      </c>
      <c r="J21" s="14">
        <f>Tabla13[[#This Row],[Precio final en USD]]*$P$4</f>
        <v>94.840081355932213</v>
      </c>
    </row>
    <row r="22" spans="1:10" x14ac:dyDescent="0.2">
      <c r="A22" s="11">
        <v>10019</v>
      </c>
      <c r="B22" s="12" t="s">
        <v>52</v>
      </c>
      <c r="C22" s="13" t="s">
        <v>86</v>
      </c>
      <c r="D22" s="12" t="s">
        <v>54</v>
      </c>
      <c r="E22" s="10" t="s">
        <v>84</v>
      </c>
      <c r="F22" s="14"/>
      <c r="G22" s="15"/>
      <c r="H22" s="21">
        <v>441.15</v>
      </c>
      <c r="I22" s="14">
        <f t="shared" si="0"/>
        <v>512.93033898305089</v>
      </c>
      <c r="J22" s="14">
        <f>Tabla13[[#This Row],[Precio final en USD]]*$P$4</f>
        <v>820.68854237288144</v>
      </c>
    </row>
    <row r="23" spans="1:10" x14ac:dyDescent="0.2">
      <c r="A23" s="11">
        <v>10020</v>
      </c>
      <c r="B23" s="12" t="s">
        <v>52</v>
      </c>
      <c r="C23" s="13" t="s">
        <v>87</v>
      </c>
      <c r="D23" s="12" t="s">
        <v>54</v>
      </c>
      <c r="E23" s="10" t="s">
        <v>84</v>
      </c>
      <c r="F23" s="14"/>
      <c r="G23" s="15"/>
      <c r="H23" s="21">
        <v>18.05</v>
      </c>
      <c r="I23" s="14">
        <f t="shared" si="0"/>
        <v>20.986949152542376</v>
      </c>
      <c r="J23" s="14">
        <f>Tabla13[[#This Row],[Precio final en USD]]*$P$4</f>
        <v>33.579118644067805</v>
      </c>
    </row>
    <row r="24" spans="1:10" x14ac:dyDescent="0.2">
      <c r="A24" s="11">
        <v>10022</v>
      </c>
      <c r="B24" s="12" t="s">
        <v>52</v>
      </c>
      <c r="C24" s="13" t="s">
        <v>88</v>
      </c>
      <c r="D24" s="12" t="s">
        <v>54</v>
      </c>
      <c r="E24" s="10" t="s">
        <v>89</v>
      </c>
      <c r="F24" s="14"/>
      <c r="G24" s="15">
        <v>110406</v>
      </c>
      <c r="H24" s="21"/>
      <c r="I24" s="14">
        <f t="shared" si="0"/>
        <v>74.851525423728816</v>
      </c>
      <c r="J24" s="14">
        <f>Tabla13[[#This Row],[Precio final en USD]]*$P$4</f>
        <v>119.76244067796611</v>
      </c>
    </row>
    <row r="25" spans="1:10" x14ac:dyDescent="0.2">
      <c r="A25" s="11">
        <v>10023</v>
      </c>
      <c r="B25" s="12" t="s">
        <v>52</v>
      </c>
      <c r="C25" s="13" t="s">
        <v>90</v>
      </c>
      <c r="D25" s="12" t="s">
        <v>54</v>
      </c>
      <c r="E25" s="10" t="s">
        <v>91</v>
      </c>
      <c r="F25" s="14"/>
      <c r="G25" s="15">
        <v>417600</v>
      </c>
      <c r="H25" s="21"/>
      <c r="I25" s="14">
        <f t="shared" si="0"/>
        <v>283.11864406779659</v>
      </c>
      <c r="J25" s="14">
        <f>Tabla13[[#This Row],[Precio final en USD]]*$P$4</f>
        <v>452.9898305084746</v>
      </c>
    </row>
    <row r="26" spans="1:10" x14ac:dyDescent="0.2">
      <c r="A26" s="11">
        <v>10024</v>
      </c>
      <c r="B26" s="12" t="s">
        <v>52</v>
      </c>
      <c r="C26" s="13" t="s">
        <v>92</v>
      </c>
      <c r="D26" s="12" t="s">
        <v>54</v>
      </c>
      <c r="E26" s="10" t="s">
        <v>93</v>
      </c>
      <c r="F26" s="14"/>
      <c r="G26" s="15">
        <v>83800</v>
      </c>
      <c r="H26" s="21"/>
      <c r="I26" s="14">
        <f t="shared" si="0"/>
        <v>56.813559322033896</v>
      </c>
      <c r="J26" s="14">
        <f>Tabla13[[#This Row],[Precio final en USD]]*$P$4</f>
        <v>90.90169491525424</v>
      </c>
    </row>
    <row r="27" spans="1:10" x14ac:dyDescent="0.2">
      <c r="A27" s="11">
        <v>10026</v>
      </c>
      <c r="B27" s="12" t="s">
        <v>52</v>
      </c>
      <c r="C27" s="13" t="s">
        <v>94</v>
      </c>
      <c r="D27" s="12" t="s">
        <v>54</v>
      </c>
      <c r="E27" s="10" t="s">
        <v>89</v>
      </c>
      <c r="F27" s="14"/>
      <c r="G27" s="15">
        <v>17552</v>
      </c>
      <c r="H27" s="21"/>
      <c r="I27" s="14">
        <f t="shared" si="0"/>
        <v>11.899661016949153</v>
      </c>
      <c r="J27" s="14">
        <f>Tabla13[[#This Row],[Precio final en USD]]*$P$4</f>
        <v>19.039457627118647</v>
      </c>
    </row>
    <row r="28" spans="1:10" x14ac:dyDescent="0.2">
      <c r="A28" s="11">
        <v>10028</v>
      </c>
      <c r="B28" s="12" t="s">
        <v>52</v>
      </c>
      <c r="C28" s="13" t="s">
        <v>95</v>
      </c>
      <c r="D28" s="12" t="s">
        <v>54</v>
      </c>
      <c r="E28" s="10" t="s">
        <v>68</v>
      </c>
      <c r="F28" s="14"/>
      <c r="G28" s="15">
        <v>48000</v>
      </c>
      <c r="H28" s="21"/>
      <c r="I28" s="14">
        <f t="shared" si="0"/>
        <v>32.542372881355931</v>
      </c>
      <c r="J28" s="14">
        <f>Tabla13[[#This Row],[Precio final en USD]]*$P$4</f>
        <v>52.067796610169495</v>
      </c>
    </row>
    <row r="29" spans="1:10" x14ac:dyDescent="0.2">
      <c r="A29" s="11">
        <v>10030</v>
      </c>
      <c r="B29" s="12" t="s">
        <v>52</v>
      </c>
      <c r="C29" s="13" t="s">
        <v>96</v>
      </c>
      <c r="D29" s="12" t="s">
        <v>54</v>
      </c>
      <c r="E29" s="10" t="s">
        <v>68</v>
      </c>
      <c r="F29" s="22"/>
      <c r="G29" s="15">
        <v>10000</v>
      </c>
      <c r="H29" s="21"/>
      <c r="I29" s="14">
        <f t="shared" si="0"/>
        <v>6.7796610169491522</v>
      </c>
      <c r="J29" s="14">
        <f>Tabla13[[#This Row],[Precio final en USD]]*$P$4</f>
        <v>10.847457627118644</v>
      </c>
    </row>
    <row r="30" spans="1:10" x14ac:dyDescent="0.2">
      <c r="A30" s="12">
        <v>10030</v>
      </c>
      <c r="B30" s="11" t="s">
        <v>52</v>
      </c>
      <c r="C30" s="13" t="s">
        <v>96</v>
      </c>
      <c r="D30" s="12" t="s">
        <v>58</v>
      </c>
      <c r="E30" s="10" t="s">
        <v>68</v>
      </c>
      <c r="F30" s="14"/>
      <c r="G30" s="15">
        <v>10000</v>
      </c>
      <c r="I30" s="14">
        <f t="shared" si="0"/>
        <v>6.7796610169491522</v>
      </c>
      <c r="J30" s="14">
        <f>Tabla13[[#This Row],[Precio final en USD]]*$P$4</f>
        <v>10.847457627118644</v>
      </c>
    </row>
    <row r="31" spans="1:10" x14ac:dyDescent="0.2">
      <c r="A31" s="11">
        <v>10031</v>
      </c>
      <c r="B31" s="12" t="s">
        <v>52</v>
      </c>
      <c r="C31" s="13" t="s">
        <v>97</v>
      </c>
      <c r="D31" s="12" t="s">
        <v>54</v>
      </c>
      <c r="E31" s="10" t="s">
        <v>55</v>
      </c>
      <c r="F31" s="14">
        <v>94.78</v>
      </c>
      <c r="G31" s="15"/>
      <c r="H31" s="21"/>
      <c r="I31" s="14">
        <f t="shared" si="0"/>
        <v>94.78</v>
      </c>
      <c r="J31" s="14">
        <f>Tabla13[[#This Row],[Precio final en USD]]*$P$4</f>
        <v>151.648</v>
      </c>
    </row>
    <row r="32" spans="1:10" x14ac:dyDescent="0.2">
      <c r="A32" s="11">
        <v>10033</v>
      </c>
      <c r="B32" s="12" t="s">
        <v>52</v>
      </c>
      <c r="C32" s="13" t="s">
        <v>98</v>
      </c>
      <c r="D32" s="12" t="s">
        <v>54</v>
      </c>
      <c r="E32" s="10" t="s">
        <v>99</v>
      </c>
      <c r="F32" s="14">
        <v>265.32</v>
      </c>
      <c r="G32" s="15"/>
      <c r="H32" s="21"/>
      <c r="I32" s="14">
        <f t="shared" si="0"/>
        <v>265.32</v>
      </c>
      <c r="J32" s="14">
        <f>Tabla13[[#This Row],[Precio final en USD]]*$P$4</f>
        <v>424.512</v>
      </c>
    </row>
    <row r="33" spans="1:12" x14ac:dyDescent="0.2">
      <c r="A33" s="11">
        <v>10034</v>
      </c>
      <c r="B33" s="12" t="s">
        <v>52</v>
      </c>
      <c r="C33" s="13" t="s">
        <v>100</v>
      </c>
      <c r="D33" s="12" t="s">
        <v>54</v>
      </c>
      <c r="E33" s="10" t="s">
        <v>68</v>
      </c>
      <c r="F33" s="14"/>
      <c r="G33" s="15">
        <v>205000</v>
      </c>
      <c r="H33" s="21"/>
      <c r="I33" s="14">
        <f t="shared" si="0"/>
        <v>138.98305084745763</v>
      </c>
      <c r="J33" s="14">
        <f>Tabla13[[#This Row],[Precio final en USD]]*$P$4</f>
        <v>222.37288135593224</v>
      </c>
    </row>
    <row r="34" spans="1:12" x14ac:dyDescent="0.2">
      <c r="A34" s="11">
        <v>10035</v>
      </c>
      <c r="B34" s="12" t="s">
        <v>52</v>
      </c>
      <c r="C34" s="13" t="s">
        <v>101</v>
      </c>
      <c r="D34" s="12" t="s">
        <v>54</v>
      </c>
      <c r="E34" s="10" t="s">
        <v>68</v>
      </c>
      <c r="F34" s="14"/>
      <c r="G34" s="15">
        <v>160000</v>
      </c>
      <c r="H34" s="21"/>
      <c r="I34" s="14">
        <f t="shared" si="0"/>
        <v>108.47457627118644</v>
      </c>
      <c r="J34" s="14">
        <f>Tabla13[[#This Row],[Precio final en USD]]*$P$4</f>
        <v>173.5593220338983</v>
      </c>
    </row>
    <row r="35" spans="1:12" x14ac:dyDescent="0.2">
      <c r="A35" s="11">
        <v>10036</v>
      </c>
      <c r="B35" s="12" t="s">
        <v>52</v>
      </c>
      <c r="C35" s="13" t="s">
        <v>102</v>
      </c>
      <c r="D35" s="12" t="s">
        <v>54</v>
      </c>
      <c r="E35" s="10" t="s">
        <v>68</v>
      </c>
      <c r="F35" s="14"/>
      <c r="G35" s="15">
        <v>132000</v>
      </c>
      <c r="H35" s="21"/>
      <c r="I35" s="14">
        <f t="shared" si="0"/>
        <v>89.491525423728817</v>
      </c>
      <c r="J35" s="14">
        <f>Tabla13[[#This Row],[Precio final en USD]]*$P$4</f>
        <v>143.18644067796612</v>
      </c>
    </row>
    <row r="36" spans="1:12" x14ac:dyDescent="0.2">
      <c r="A36" s="11">
        <v>10037</v>
      </c>
      <c r="B36" s="12" t="s">
        <v>52</v>
      </c>
      <c r="C36" s="13" t="s">
        <v>103</v>
      </c>
      <c r="D36" s="12" t="s">
        <v>54</v>
      </c>
      <c r="E36" s="10" t="s">
        <v>55</v>
      </c>
      <c r="F36" s="14">
        <v>43.12</v>
      </c>
      <c r="G36" s="15"/>
      <c r="H36" s="21"/>
      <c r="I36" s="14">
        <f t="shared" si="0"/>
        <v>43.12</v>
      </c>
      <c r="J36" s="14">
        <f>Tabla13[[#This Row],[Precio final en USD]]*$P$4</f>
        <v>68.992000000000004</v>
      </c>
    </row>
    <row r="37" spans="1:12" x14ac:dyDescent="0.2">
      <c r="A37" s="11">
        <v>10041</v>
      </c>
      <c r="B37" s="12" t="s">
        <v>52</v>
      </c>
      <c r="C37" s="13" t="s">
        <v>104</v>
      </c>
      <c r="D37" s="12" t="s">
        <v>54</v>
      </c>
      <c r="E37" s="10" t="s">
        <v>55</v>
      </c>
      <c r="F37" s="14">
        <v>1153</v>
      </c>
      <c r="G37" s="15"/>
      <c r="H37" s="21"/>
      <c r="I37" s="14">
        <f t="shared" si="0"/>
        <v>1153</v>
      </c>
      <c r="J37" s="14">
        <f>Tabla13[[#This Row],[Precio final en USD]]*$P$4</f>
        <v>1844.8000000000002</v>
      </c>
      <c r="L37" s="10" t="s">
        <v>105</v>
      </c>
    </row>
    <row r="38" spans="1:12" x14ac:dyDescent="0.2">
      <c r="A38" s="11">
        <v>10047</v>
      </c>
      <c r="B38" s="12" t="s">
        <v>52</v>
      </c>
      <c r="C38" s="13" t="s">
        <v>106</v>
      </c>
      <c r="D38" s="12" t="s">
        <v>54</v>
      </c>
      <c r="E38" s="10" t="s">
        <v>68</v>
      </c>
      <c r="F38" s="14"/>
      <c r="G38" s="15">
        <v>240000</v>
      </c>
      <c r="H38" s="21"/>
      <c r="I38" s="14">
        <f t="shared" si="0"/>
        <v>162.71186440677965</v>
      </c>
      <c r="J38" s="14">
        <f>Tabla13[[#This Row],[Precio final en USD]]*$P$4</f>
        <v>260.33898305084745</v>
      </c>
    </row>
    <row r="39" spans="1:12" x14ac:dyDescent="0.2">
      <c r="A39" s="12">
        <v>10048</v>
      </c>
      <c r="B39" s="11" t="s">
        <v>52</v>
      </c>
      <c r="C39" s="13" t="s">
        <v>107</v>
      </c>
      <c r="D39" s="12" t="s">
        <v>58</v>
      </c>
      <c r="E39" s="10" t="s">
        <v>68</v>
      </c>
      <c r="F39" s="14"/>
      <c r="G39" s="15">
        <v>0</v>
      </c>
      <c r="I39" s="14">
        <f t="shared" si="0"/>
        <v>0</v>
      </c>
      <c r="J39" s="14">
        <f>Tabla13[[#This Row],[Precio final en USD]]*$P$4</f>
        <v>0</v>
      </c>
      <c r="K39" s="10" t="s">
        <v>60</v>
      </c>
    </row>
    <row r="40" spans="1:12" x14ac:dyDescent="0.2">
      <c r="A40" s="11">
        <v>10049</v>
      </c>
      <c r="B40" s="12" t="s">
        <v>52</v>
      </c>
      <c r="C40" s="13" t="s">
        <v>108</v>
      </c>
      <c r="D40" s="12" t="s">
        <v>54</v>
      </c>
      <c r="E40" s="10" t="s">
        <v>68</v>
      </c>
      <c r="F40" s="14"/>
      <c r="G40" s="15">
        <v>132000</v>
      </c>
      <c r="H40" s="21"/>
      <c r="I40" s="14">
        <f t="shared" si="0"/>
        <v>89.491525423728817</v>
      </c>
      <c r="J40" s="14">
        <f>Tabla13[[#This Row],[Precio final en USD]]*$P$4</f>
        <v>143.18644067796612</v>
      </c>
    </row>
    <row r="41" spans="1:12" x14ac:dyDescent="0.2">
      <c r="A41" s="11">
        <v>10050</v>
      </c>
      <c r="B41" s="12" t="s">
        <v>52</v>
      </c>
      <c r="C41" s="13" t="s">
        <v>109</v>
      </c>
      <c r="D41" s="12" t="s">
        <v>54</v>
      </c>
      <c r="E41" s="10" t="s">
        <v>68</v>
      </c>
      <c r="F41" s="14"/>
      <c r="G41" s="15">
        <v>220000</v>
      </c>
      <c r="H41" s="21"/>
      <c r="I41" s="14">
        <f t="shared" si="0"/>
        <v>149.15254237288136</v>
      </c>
      <c r="J41" s="14">
        <f>Tabla13[[#This Row],[Precio final en USD]]*$P$4</f>
        <v>238.64406779661019</v>
      </c>
    </row>
    <row r="42" spans="1:12" x14ac:dyDescent="0.2">
      <c r="A42" s="11">
        <v>10056</v>
      </c>
      <c r="B42" s="12" t="s">
        <v>52</v>
      </c>
      <c r="C42" s="13" t="s">
        <v>110</v>
      </c>
      <c r="D42" s="12" t="s">
        <v>54</v>
      </c>
      <c r="E42" s="10" t="s">
        <v>55</v>
      </c>
      <c r="F42" s="14">
        <v>293</v>
      </c>
      <c r="G42" s="15"/>
      <c r="H42" s="21"/>
      <c r="I42" s="14">
        <f t="shared" si="0"/>
        <v>293</v>
      </c>
      <c r="J42" s="14">
        <f>Tabla13[[#This Row],[Precio final en USD]]*$P$4</f>
        <v>468.8</v>
      </c>
    </row>
    <row r="43" spans="1:12" x14ac:dyDescent="0.2">
      <c r="A43" s="11">
        <v>10060</v>
      </c>
      <c r="B43" s="12" t="s">
        <v>52</v>
      </c>
      <c r="C43" s="13" t="s">
        <v>111</v>
      </c>
      <c r="D43" s="12" t="s">
        <v>54</v>
      </c>
      <c r="E43" s="10" t="s">
        <v>55</v>
      </c>
      <c r="F43" s="14">
        <v>336.27</v>
      </c>
      <c r="G43" s="15"/>
      <c r="H43" s="21"/>
      <c r="I43" s="14">
        <f t="shared" si="0"/>
        <v>336.27</v>
      </c>
      <c r="J43" s="14">
        <f>Tabla13[[#This Row],[Precio final en USD]]*$P$4</f>
        <v>538.03200000000004</v>
      </c>
    </row>
    <row r="44" spans="1:12" x14ac:dyDescent="0.2">
      <c r="A44" s="11">
        <v>10061</v>
      </c>
      <c r="B44" s="12" t="s">
        <v>52</v>
      </c>
      <c r="C44" s="13" t="s">
        <v>112</v>
      </c>
      <c r="D44" s="12" t="s">
        <v>54</v>
      </c>
      <c r="E44" s="10" t="s">
        <v>68</v>
      </c>
      <c r="F44" s="14"/>
      <c r="G44" s="15">
        <v>120000</v>
      </c>
      <c r="H44" s="21"/>
      <c r="I44" s="14">
        <f t="shared" si="0"/>
        <v>81.355932203389827</v>
      </c>
      <c r="J44" s="14">
        <f>Tabla13[[#This Row],[Precio final en USD]]*$P$4</f>
        <v>130.16949152542372</v>
      </c>
    </row>
    <row r="45" spans="1:12" x14ac:dyDescent="0.2">
      <c r="A45" s="11">
        <v>10063</v>
      </c>
      <c r="B45" s="12" t="s">
        <v>52</v>
      </c>
      <c r="C45" s="13" t="s">
        <v>113</v>
      </c>
      <c r="D45" s="12" t="s">
        <v>54</v>
      </c>
      <c r="E45" s="10" t="s">
        <v>99</v>
      </c>
      <c r="F45" s="14">
        <v>33.29</v>
      </c>
      <c r="G45" s="15"/>
      <c r="H45" s="21"/>
      <c r="I45" s="14">
        <f t="shared" si="0"/>
        <v>33.29</v>
      </c>
      <c r="J45" s="14">
        <f>Tabla13[[#This Row],[Precio final en USD]]*$P$4</f>
        <v>53.264000000000003</v>
      </c>
    </row>
    <row r="46" spans="1:12" x14ac:dyDescent="0.2">
      <c r="A46" s="11">
        <v>10064</v>
      </c>
      <c r="B46" s="12" t="s">
        <v>52</v>
      </c>
      <c r="C46" s="13" t="s">
        <v>114</v>
      </c>
      <c r="D46" s="12" t="s">
        <v>54</v>
      </c>
      <c r="E46" s="10" t="s">
        <v>55</v>
      </c>
      <c r="F46" s="14">
        <v>544.88</v>
      </c>
      <c r="G46" s="15"/>
      <c r="H46" s="21"/>
      <c r="I46" s="14">
        <f t="shared" si="0"/>
        <v>544.88</v>
      </c>
      <c r="J46" s="14">
        <f>Tabla13[[#This Row],[Precio final en USD]]*$P$4</f>
        <v>871.80799999999999</v>
      </c>
    </row>
    <row r="47" spans="1:12" x14ac:dyDescent="0.2">
      <c r="A47" s="11">
        <v>10065</v>
      </c>
      <c r="B47" s="12" t="s">
        <v>52</v>
      </c>
      <c r="C47" s="13" t="s">
        <v>115</v>
      </c>
      <c r="D47" s="12" t="s">
        <v>54</v>
      </c>
      <c r="E47" s="10" t="s">
        <v>68</v>
      </c>
      <c r="F47" s="14"/>
      <c r="G47" s="15">
        <v>303000</v>
      </c>
      <c r="H47" s="21"/>
      <c r="I47" s="14">
        <f t="shared" si="0"/>
        <v>205.42372881355934</v>
      </c>
      <c r="J47" s="14">
        <f>Tabla13[[#This Row],[Precio final en USD]]*$P$4</f>
        <v>328.67796610169495</v>
      </c>
    </row>
    <row r="48" spans="1:12" x14ac:dyDescent="0.2">
      <c r="A48" s="11">
        <v>10067</v>
      </c>
      <c r="B48" s="12" t="s">
        <v>52</v>
      </c>
      <c r="C48" s="13" t="s">
        <v>116</v>
      </c>
      <c r="D48" s="12" t="s">
        <v>54</v>
      </c>
      <c r="E48" s="10" t="s">
        <v>68</v>
      </c>
      <c r="F48" s="14"/>
      <c r="G48" s="15">
        <v>140000</v>
      </c>
      <c r="H48" s="21"/>
      <c r="I48" s="14">
        <f t="shared" si="0"/>
        <v>94.915254237288138</v>
      </c>
      <c r="J48" s="14">
        <f>Tabla13[[#This Row],[Precio final en USD]]*$P$4</f>
        <v>151.86440677966104</v>
      </c>
    </row>
    <row r="49" spans="1:11" x14ac:dyDescent="0.2">
      <c r="A49" s="11">
        <v>10068</v>
      </c>
      <c r="B49" s="12" t="s">
        <v>52</v>
      </c>
      <c r="C49" s="13" t="s">
        <v>117</v>
      </c>
      <c r="D49" s="12" t="s">
        <v>54</v>
      </c>
      <c r="E49" s="10" t="s">
        <v>68</v>
      </c>
      <c r="F49" s="14"/>
      <c r="G49" s="15">
        <v>269000</v>
      </c>
      <c r="H49" s="21"/>
      <c r="I49" s="14">
        <f t="shared" si="0"/>
        <v>182.37288135593221</v>
      </c>
      <c r="J49" s="14">
        <f>Tabla13[[#This Row],[Precio final en USD]]*$P$4</f>
        <v>291.79661016949154</v>
      </c>
    </row>
    <row r="50" spans="1:11" x14ac:dyDescent="0.2">
      <c r="A50" s="11">
        <v>10071</v>
      </c>
      <c r="B50" s="12" t="s">
        <v>52</v>
      </c>
      <c r="C50" s="13" t="s">
        <v>118</v>
      </c>
      <c r="D50" s="12" t="s">
        <v>54</v>
      </c>
      <c r="E50" s="10" t="s">
        <v>99</v>
      </c>
      <c r="F50" s="14">
        <v>700</v>
      </c>
      <c r="G50" s="15"/>
      <c r="H50" s="21"/>
      <c r="I50" s="14">
        <f t="shared" si="0"/>
        <v>700</v>
      </c>
      <c r="J50" s="14">
        <f>Tabla13[[#This Row],[Precio final en USD]]*$P$4</f>
        <v>1120</v>
      </c>
    </row>
    <row r="51" spans="1:11" x14ac:dyDescent="0.2">
      <c r="A51" s="11">
        <v>10072</v>
      </c>
      <c r="B51" s="12" t="s">
        <v>52</v>
      </c>
      <c r="C51" s="13" t="s">
        <v>119</v>
      </c>
      <c r="D51" s="12" t="s">
        <v>54</v>
      </c>
      <c r="E51" s="10" t="s">
        <v>68</v>
      </c>
      <c r="F51" s="14"/>
      <c r="G51" s="15">
        <v>83000</v>
      </c>
      <c r="H51" s="21"/>
      <c r="I51" s="14">
        <f t="shared" si="0"/>
        <v>56.271186440677965</v>
      </c>
      <c r="J51" s="14">
        <f>Tabla13[[#This Row],[Precio final en USD]]*$P$4</f>
        <v>90.033898305084747</v>
      </c>
    </row>
    <row r="52" spans="1:11" x14ac:dyDescent="0.2">
      <c r="A52" s="11">
        <v>10074</v>
      </c>
      <c r="B52" s="12" t="s">
        <v>52</v>
      </c>
      <c r="C52" s="13" t="s">
        <v>120</v>
      </c>
      <c r="D52" s="12" t="s">
        <v>54</v>
      </c>
      <c r="E52" s="10" t="s">
        <v>55</v>
      </c>
      <c r="F52" s="14">
        <v>65.88</v>
      </c>
      <c r="G52" s="15"/>
      <c r="H52" s="21"/>
      <c r="I52" s="14">
        <f t="shared" si="0"/>
        <v>65.88</v>
      </c>
      <c r="J52" s="14">
        <f>Tabla13[[#This Row],[Precio final en USD]]*$P$4</f>
        <v>105.408</v>
      </c>
    </row>
    <row r="53" spans="1:11" x14ac:dyDescent="0.2">
      <c r="A53" s="11">
        <v>10076</v>
      </c>
      <c r="B53" s="12" t="s">
        <v>52</v>
      </c>
      <c r="C53" s="13" t="s">
        <v>121</v>
      </c>
      <c r="D53" s="12" t="s">
        <v>54</v>
      </c>
      <c r="E53" s="10" t="s">
        <v>99</v>
      </c>
      <c r="F53" s="14">
        <v>447.85</v>
      </c>
      <c r="G53" s="15"/>
      <c r="H53" s="21"/>
      <c r="I53" s="14">
        <f t="shared" si="0"/>
        <v>447.85</v>
      </c>
      <c r="J53" s="14">
        <f>Tabla13[[#This Row],[Precio final en USD]]*$P$4</f>
        <v>716.56000000000006</v>
      </c>
    </row>
    <row r="54" spans="1:11" x14ac:dyDescent="0.2">
      <c r="A54" s="11">
        <v>10083</v>
      </c>
      <c r="B54" s="12" t="s">
        <v>52</v>
      </c>
      <c r="C54" s="13" t="s">
        <v>122</v>
      </c>
      <c r="D54" s="12" t="s">
        <v>54</v>
      </c>
      <c r="E54" s="10" t="s">
        <v>78</v>
      </c>
      <c r="F54" s="14">
        <v>98</v>
      </c>
      <c r="G54" s="15"/>
      <c r="H54" s="21"/>
      <c r="I54" s="14">
        <f t="shared" si="0"/>
        <v>98</v>
      </c>
      <c r="J54" s="14">
        <f>Tabla13[[#This Row],[Precio final en USD]]*$P$4</f>
        <v>156.80000000000001</v>
      </c>
      <c r="K54" s="10" t="s">
        <v>123</v>
      </c>
    </row>
    <row r="55" spans="1:11" x14ac:dyDescent="0.2">
      <c r="A55" s="11">
        <v>10084</v>
      </c>
      <c r="B55" s="12" t="s">
        <v>52</v>
      </c>
      <c r="C55" s="13" t="s">
        <v>124</v>
      </c>
      <c r="D55" s="12" t="s">
        <v>54</v>
      </c>
      <c r="E55" s="10" t="s">
        <v>68</v>
      </c>
      <c r="F55" s="14"/>
      <c r="G55" s="15">
        <v>193000</v>
      </c>
      <c r="H55" s="21"/>
      <c r="I55" s="14">
        <f t="shared" si="0"/>
        <v>130.84745762711864</v>
      </c>
      <c r="J55" s="14">
        <f>Tabla13[[#This Row],[Precio final en USD]]*$P$4</f>
        <v>209.35593220338984</v>
      </c>
    </row>
    <row r="56" spans="1:11" x14ac:dyDescent="0.2">
      <c r="A56" s="11">
        <v>10087</v>
      </c>
      <c r="B56" s="12" t="s">
        <v>52</v>
      </c>
      <c r="C56" s="13" t="s">
        <v>125</v>
      </c>
      <c r="D56" s="12" t="s">
        <v>54</v>
      </c>
      <c r="E56" s="10" t="s">
        <v>68</v>
      </c>
      <c r="F56" s="14"/>
      <c r="G56" s="15">
        <v>50000</v>
      </c>
      <c r="H56" s="21"/>
      <c r="I56" s="14">
        <f t="shared" si="0"/>
        <v>33.898305084745765</v>
      </c>
      <c r="J56" s="14">
        <f>Tabla13[[#This Row],[Precio final en USD]]*$P$4</f>
        <v>54.237288135593225</v>
      </c>
    </row>
    <row r="57" spans="1:11" x14ac:dyDescent="0.2">
      <c r="A57" s="11">
        <v>10088</v>
      </c>
      <c r="B57" s="12" t="s">
        <v>52</v>
      </c>
      <c r="C57" s="13" t="s">
        <v>126</v>
      </c>
      <c r="D57" s="12" t="s">
        <v>54</v>
      </c>
      <c r="E57" s="10" t="s">
        <v>91</v>
      </c>
      <c r="F57" s="14"/>
      <c r="G57" s="15">
        <v>102000</v>
      </c>
      <c r="H57" s="21"/>
      <c r="I57" s="14">
        <f t="shared" si="0"/>
        <v>69.152542372881356</v>
      </c>
      <c r="J57" s="14">
        <f>Tabla13[[#This Row],[Precio final en USD]]*$P$4</f>
        <v>110.64406779661017</v>
      </c>
    </row>
    <row r="58" spans="1:11" x14ac:dyDescent="0.2">
      <c r="A58" s="11">
        <v>10090</v>
      </c>
      <c r="B58" s="12" t="s">
        <v>52</v>
      </c>
      <c r="C58" s="13" t="s">
        <v>27</v>
      </c>
      <c r="D58" s="12" t="s">
        <v>54</v>
      </c>
      <c r="E58" s="10" t="s">
        <v>84</v>
      </c>
      <c r="F58" s="14"/>
      <c r="G58" s="15"/>
      <c r="H58" s="21">
        <v>170.64</v>
      </c>
      <c r="I58" s="14">
        <f t="shared" si="0"/>
        <v>198.40515254237289</v>
      </c>
      <c r="J58" s="14">
        <f>Tabla13[[#This Row],[Precio final en USD]]*$P$4</f>
        <v>317.44824406779662</v>
      </c>
    </row>
    <row r="59" spans="1:11" x14ac:dyDescent="0.2">
      <c r="A59" s="11">
        <v>10091</v>
      </c>
      <c r="B59" s="12" t="s">
        <v>52</v>
      </c>
      <c r="C59" s="13" t="s">
        <v>127</v>
      </c>
      <c r="D59" s="12" t="s">
        <v>54</v>
      </c>
      <c r="E59" s="10" t="s">
        <v>128</v>
      </c>
      <c r="F59" s="14">
        <v>81.22</v>
      </c>
      <c r="G59" s="15"/>
      <c r="H59" s="21"/>
      <c r="I59" s="14">
        <f t="shared" si="0"/>
        <v>81.22</v>
      </c>
      <c r="J59" s="14">
        <f>Tabla13[[#This Row],[Precio final en USD]]*$P$4</f>
        <v>129.952</v>
      </c>
    </row>
    <row r="60" spans="1:11" x14ac:dyDescent="0.2">
      <c r="A60" s="11">
        <v>10092</v>
      </c>
      <c r="B60" s="12" t="s">
        <v>52</v>
      </c>
      <c r="C60" s="13" t="s">
        <v>129</v>
      </c>
      <c r="D60" s="12" t="s">
        <v>54</v>
      </c>
      <c r="E60" s="10" t="s">
        <v>128</v>
      </c>
      <c r="F60" s="14">
        <v>14.22</v>
      </c>
      <c r="G60" s="15"/>
      <c r="H60" s="21"/>
      <c r="I60" s="14">
        <f t="shared" si="0"/>
        <v>14.22</v>
      </c>
      <c r="J60" s="14">
        <f>Tabla13[[#This Row],[Precio final en USD]]*$P$4</f>
        <v>22.752000000000002</v>
      </c>
    </row>
    <row r="61" spans="1:11" x14ac:dyDescent="0.2">
      <c r="A61" s="11">
        <v>10093</v>
      </c>
      <c r="B61" s="12" t="s">
        <v>52</v>
      </c>
      <c r="C61" s="13" t="s">
        <v>130</v>
      </c>
      <c r="D61" s="12" t="s">
        <v>54</v>
      </c>
      <c r="E61" s="10" t="s">
        <v>128</v>
      </c>
      <c r="F61" s="14">
        <v>10.49</v>
      </c>
      <c r="G61" s="15"/>
      <c r="H61" s="21"/>
      <c r="I61" s="14">
        <f t="shared" si="0"/>
        <v>10.49</v>
      </c>
      <c r="J61" s="14">
        <f>Tabla13[[#This Row],[Precio final en USD]]*$P$4</f>
        <v>16.784000000000002</v>
      </c>
    </row>
    <row r="62" spans="1:11" x14ac:dyDescent="0.2">
      <c r="A62" s="11">
        <v>10095</v>
      </c>
      <c r="B62" s="12" t="s">
        <v>52</v>
      </c>
      <c r="C62" s="13" t="s">
        <v>131</v>
      </c>
      <c r="D62" s="12" t="s">
        <v>54</v>
      </c>
      <c r="E62" s="10" t="s">
        <v>68</v>
      </c>
      <c r="F62" s="14"/>
      <c r="G62" s="15">
        <v>55000</v>
      </c>
      <c r="H62" s="21"/>
      <c r="I62" s="14">
        <f t="shared" si="0"/>
        <v>37.288135593220339</v>
      </c>
      <c r="J62" s="14">
        <f>Tabla13[[#This Row],[Precio final en USD]]*$P$4</f>
        <v>59.661016949152547</v>
      </c>
    </row>
    <row r="63" spans="1:11" x14ac:dyDescent="0.2">
      <c r="A63" s="11">
        <v>10100</v>
      </c>
      <c r="B63" s="12" t="s">
        <v>52</v>
      </c>
      <c r="C63" s="13" t="s">
        <v>132</v>
      </c>
      <c r="D63" s="12" t="s">
        <v>54</v>
      </c>
      <c r="E63" s="10" t="s">
        <v>128</v>
      </c>
      <c r="F63" s="14">
        <v>17.38</v>
      </c>
      <c r="G63" s="15"/>
      <c r="H63" s="21"/>
      <c r="I63" s="14">
        <f t="shared" si="0"/>
        <v>17.38</v>
      </c>
      <c r="J63" s="14">
        <f>Tabla13[[#This Row],[Precio final en USD]]*$P$4</f>
        <v>27.808</v>
      </c>
    </row>
    <row r="64" spans="1:11" x14ac:dyDescent="0.2">
      <c r="A64" s="11">
        <v>10102</v>
      </c>
      <c r="B64" s="12" t="s">
        <v>52</v>
      </c>
      <c r="C64" s="13" t="s">
        <v>133</v>
      </c>
      <c r="D64" s="12" t="s">
        <v>54</v>
      </c>
      <c r="E64" s="10" t="s">
        <v>68</v>
      </c>
      <c r="F64" s="14"/>
      <c r="G64" s="15">
        <v>10000</v>
      </c>
      <c r="H64" s="21"/>
      <c r="I64" s="14">
        <f t="shared" si="0"/>
        <v>6.7796610169491522</v>
      </c>
      <c r="J64" s="14">
        <f>Tabla13[[#This Row],[Precio final en USD]]*$P$4</f>
        <v>10.847457627118644</v>
      </c>
    </row>
    <row r="65" spans="1:11" x14ac:dyDescent="0.2">
      <c r="A65" s="11">
        <v>10103</v>
      </c>
      <c r="B65" s="12" t="s">
        <v>52</v>
      </c>
      <c r="C65" s="13" t="s">
        <v>134</v>
      </c>
      <c r="D65" s="12" t="s">
        <v>54</v>
      </c>
      <c r="E65" s="10" t="s">
        <v>68</v>
      </c>
      <c r="F65" s="14"/>
      <c r="G65" s="15">
        <v>10000</v>
      </c>
      <c r="H65" s="21"/>
      <c r="I65" s="14">
        <f t="shared" si="0"/>
        <v>6.7796610169491522</v>
      </c>
      <c r="J65" s="14">
        <f>Tabla13[[#This Row],[Precio final en USD]]*$P$4</f>
        <v>10.847457627118644</v>
      </c>
    </row>
    <row r="66" spans="1:11" x14ac:dyDescent="0.2">
      <c r="A66" s="12">
        <v>10106</v>
      </c>
      <c r="B66" s="11" t="s">
        <v>52</v>
      </c>
      <c r="C66" s="13" t="s">
        <v>135</v>
      </c>
      <c r="D66" s="12" t="s">
        <v>58</v>
      </c>
      <c r="E66" s="10" t="s">
        <v>68</v>
      </c>
      <c r="F66" s="14"/>
      <c r="G66" s="15">
        <v>0</v>
      </c>
      <c r="I66" s="14">
        <f t="shared" ref="I66:I129" si="1">IF(AND(F66="",G66="",H66=""),"",IF(F66&lt;&gt;"",F66,IF(G66&lt;&gt;"",G66/$O$1,IF(H66&lt;&gt;"",H66*$O$2,"ver"))))</f>
        <v>0</v>
      </c>
      <c r="J66" s="14">
        <f>Tabla13[[#This Row],[Precio final en USD]]*$P$4</f>
        <v>0</v>
      </c>
      <c r="K66" s="10" t="s">
        <v>60</v>
      </c>
    </row>
    <row r="67" spans="1:11" x14ac:dyDescent="0.2">
      <c r="A67" s="11">
        <v>10109</v>
      </c>
      <c r="B67" s="12" t="s">
        <v>52</v>
      </c>
      <c r="C67" s="13" t="s">
        <v>136</v>
      </c>
      <c r="D67" s="12" t="s">
        <v>54</v>
      </c>
      <c r="E67" s="10" t="s">
        <v>68</v>
      </c>
      <c r="F67" s="14"/>
      <c r="G67" s="15">
        <v>26000</v>
      </c>
      <c r="H67" s="21"/>
      <c r="I67" s="14">
        <f t="shared" si="1"/>
        <v>17.627118644067796</v>
      </c>
      <c r="J67" s="14">
        <f>Tabla13[[#This Row],[Precio final en USD]]*$P$4</f>
        <v>28.203389830508474</v>
      </c>
    </row>
    <row r="68" spans="1:11" x14ac:dyDescent="0.2">
      <c r="A68" s="11">
        <v>10110</v>
      </c>
      <c r="B68" s="12" t="s">
        <v>52</v>
      </c>
      <c r="C68" s="13" t="s">
        <v>137</v>
      </c>
      <c r="D68" s="12" t="s">
        <v>54</v>
      </c>
      <c r="E68" s="10" t="s">
        <v>68</v>
      </c>
      <c r="F68" s="14"/>
      <c r="G68" s="15">
        <v>26000</v>
      </c>
      <c r="H68" s="21"/>
      <c r="I68" s="14">
        <f t="shared" si="1"/>
        <v>17.627118644067796</v>
      </c>
      <c r="J68" s="14">
        <f>Tabla13[[#This Row],[Precio final en USD]]*$P$4</f>
        <v>28.203389830508474</v>
      </c>
    </row>
    <row r="69" spans="1:11" x14ac:dyDescent="0.2">
      <c r="A69" s="11">
        <v>10111</v>
      </c>
      <c r="B69" s="12" t="s">
        <v>52</v>
      </c>
      <c r="C69" s="13" t="s">
        <v>138</v>
      </c>
      <c r="D69" s="12" t="s">
        <v>54</v>
      </c>
      <c r="E69" s="10" t="s">
        <v>68</v>
      </c>
      <c r="F69" s="14"/>
      <c r="G69" s="15">
        <v>31000</v>
      </c>
      <c r="H69" s="21"/>
      <c r="I69" s="14">
        <f t="shared" si="1"/>
        <v>21.016949152542374</v>
      </c>
      <c r="J69" s="14">
        <f>Tabla13[[#This Row],[Precio final en USD]]*$P$4</f>
        <v>33.627118644067799</v>
      </c>
    </row>
    <row r="70" spans="1:11" x14ac:dyDescent="0.2">
      <c r="A70" s="11">
        <v>10112</v>
      </c>
      <c r="B70" s="12" t="s">
        <v>52</v>
      </c>
      <c r="C70" s="13" t="s">
        <v>139</v>
      </c>
      <c r="D70" s="12" t="s">
        <v>54</v>
      </c>
      <c r="E70" s="10" t="s">
        <v>68</v>
      </c>
      <c r="F70" s="14"/>
      <c r="G70" s="15">
        <v>25000</v>
      </c>
      <c r="H70" s="21"/>
      <c r="I70" s="14">
        <f t="shared" si="1"/>
        <v>16.949152542372882</v>
      </c>
      <c r="J70" s="14">
        <f>Tabla13[[#This Row],[Precio final en USD]]*$P$4</f>
        <v>27.118644067796613</v>
      </c>
    </row>
    <row r="71" spans="1:11" x14ac:dyDescent="0.2">
      <c r="A71" s="11">
        <v>10115</v>
      </c>
      <c r="B71" s="12" t="s">
        <v>52</v>
      </c>
      <c r="C71" s="13" t="s">
        <v>140</v>
      </c>
      <c r="D71" s="12" t="s">
        <v>54</v>
      </c>
      <c r="E71" s="10" t="s">
        <v>89</v>
      </c>
      <c r="F71" s="14"/>
      <c r="G71" s="15">
        <v>25326</v>
      </c>
      <c r="H71" s="21"/>
      <c r="I71" s="14">
        <f t="shared" si="1"/>
        <v>17.170169491525424</v>
      </c>
      <c r="J71" s="14">
        <f>Tabla13[[#This Row],[Precio final en USD]]*$P$4</f>
        <v>27.472271186440679</v>
      </c>
    </row>
    <row r="72" spans="1:11" x14ac:dyDescent="0.2">
      <c r="A72" s="11">
        <v>10116</v>
      </c>
      <c r="B72" s="12" t="s">
        <v>52</v>
      </c>
      <c r="C72" s="13" t="s">
        <v>141</v>
      </c>
      <c r="D72" s="12" t="s">
        <v>54</v>
      </c>
      <c r="E72" s="10" t="s">
        <v>84</v>
      </c>
      <c r="F72" s="14"/>
      <c r="G72" s="15"/>
      <c r="H72" s="21">
        <v>161.80000000000001</v>
      </c>
      <c r="I72" s="14">
        <f t="shared" si="1"/>
        <v>188.12677966101697</v>
      </c>
      <c r="J72" s="14">
        <f>Tabla13[[#This Row],[Precio final en USD]]*$P$4</f>
        <v>301.00284745762718</v>
      </c>
    </row>
    <row r="73" spans="1:11" x14ac:dyDescent="0.2">
      <c r="A73" s="11">
        <v>10117</v>
      </c>
      <c r="B73" s="12" t="s">
        <v>52</v>
      </c>
      <c r="C73" s="13" t="s">
        <v>142</v>
      </c>
      <c r="D73" s="12" t="s">
        <v>54</v>
      </c>
      <c r="E73" s="10" t="s">
        <v>84</v>
      </c>
      <c r="F73" s="14"/>
      <c r="G73" s="15"/>
      <c r="H73" s="21">
        <v>91.8</v>
      </c>
      <c r="I73" s="14">
        <f t="shared" si="1"/>
        <v>106.73694915254238</v>
      </c>
      <c r="J73" s="14">
        <f>Tabla13[[#This Row],[Precio final en USD]]*$P$4</f>
        <v>170.77911864406781</v>
      </c>
    </row>
    <row r="74" spans="1:11" x14ac:dyDescent="0.2">
      <c r="A74" s="11">
        <v>10118</v>
      </c>
      <c r="B74" s="12" t="s">
        <v>52</v>
      </c>
      <c r="C74" s="13" t="s">
        <v>143</v>
      </c>
      <c r="D74" s="12" t="s">
        <v>54</v>
      </c>
      <c r="E74" s="10" t="s">
        <v>84</v>
      </c>
      <c r="F74" s="14"/>
      <c r="G74" s="15"/>
      <c r="H74" s="21">
        <v>115.8</v>
      </c>
      <c r="I74" s="14">
        <f t="shared" si="1"/>
        <v>134.6420338983051</v>
      </c>
      <c r="J74" s="14">
        <f>Tabla13[[#This Row],[Precio final en USD]]*$P$4</f>
        <v>215.42725423728817</v>
      </c>
    </row>
    <row r="75" spans="1:11" x14ac:dyDescent="0.2">
      <c r="A75" s="11">
        <v>10119</v>
      </c>
      <c r="B75" s="12" t="s">
        <v>52</v>
      </c>
      <c r="C75" s="13" t="s">
        <v>144</v>
      </c>
      <c r="D75" s="12" t="s">
        <v>54</v>
      </c>
      <c r="E75" s="10" t="s">
        <v>84</v>
      </c>
      <c r="F75" s="14"/>
      <c r="G75" s="15"/>
      <c r="H75" s="21">
        <v>25.75</v>
      </c>
      <c r="I75" s="14">
        <f t="shared" si="1"/>
        <v>29.939830508474579</v>
      </c>
      <c r="J75" s="14">
        <f>Tabla13[[#This Row],[Precio final en USD]]*$P$4</f>
        <v>47.903728813559326</v>
      </c>
    </row>
    <row r="76" spans="1:11" x14ac:dyDescent="0.2">
      <c r="A76" s="11">
        <v>10120</v>
      </c>
      <c r="B76" s="12" t="s">
        <v>52</v>
      </c>
      <c r="C76" s="13" t="s">
        <v>145</v>
      </c>
      <c r="D76" s="12" t="s">
        <v>54</v>
      </c>
      <c r="E76" s="10" t="s">
        <v>84</v>
      </c>
      <c r="F76" s="14"/>
      <c r="G76" s="15"/>
      <c r="H76" s="21">
        <v>86.98</v>
      </c>
      <c r="I76" s="14">
        <f t="shared" si="1"/>
        <v>101.13267796610171</v>
      </c>
      <c r="J76" s="14">
        <f>Tabla13[[#This Row],[Precio final en USD]]*$P$4</f>
        <v>161.81228474576275</v>
      </c>
    </row>
    <row r="77" spans="1:11" x14ac:dyDescent="0.2">
      <c r="A77" s="11">
        <v>10121</v>
      </c>
      <c r="B77" s="12" t="s">
        <v>52</v>
      </c>
      <c r="C77" s="13" t="s">
        <v>146</v>
      </c>
      <c r="D77" s="12" t="s">
        <v>54</v>
      </c>
      <c r="E77" s="10" t="s">
        <v>128</v>
      </c>
      <c r="F77" s="14">
        <v>125.78</v>
      </c>
      <c r="G77" s="15"/>
      <c r="H77" s="21"/>
      <c r="I77" s="14">
        <f t="shared" si="1"/>
        <v>125.78</v>
      </c>
      <c r="J77" s="14">
        <f>Tabla13[[#This Row],[Precio final en USD]]*$P$4</f>
        <v>201.24800000000002</v>
      </c>
    </row>
    <row r="78" spans="1:11" x14ac:dyDescent="0.2">
      <c r="A78" s="11">
        <v>10122</v>
      </c>
      <c r="B78" s="12" t="s">
        <v>52</v>
      </c>
      <c r="C78" s="13" t="s">
        <v>147</v>
      </c>
      <c r="D78" s="12" t="s">
        <v>54</v>
      </c>
      <c r="E78" s="10" t="s">
        <v>128</v>
      </c>
      <c r="F78" s="14">
        <v>14.28</v>
      </c>
      <c r="G78" s="15"/>
      <c r="H78" s="21"/>
      <c r="I78" s="14">
        <f t="shared" si="1"/>
        <v>14.28</v>
      </c>
      <c r="J78" s="14">
        <f>Tabla13[[#This Row],[Precio final en USD]]*$P$4</f>
        <v>22.847999999999999</v>
      </c>
    </row>
    <row r="79" spans="1:11" x14ac:dyDescent="0.2">
      <c r="A79" s="12">
        <v>10131</v>
      </c>
      <c r="B79" s="11" t="s">
        <v>52</v>
      </c>
      <c r="C79" s="13" t="s">
        <v>148</v>
      </c>
      <c r="D79" s="12" t="s">
        <v>58</v>
      </c>
      <c r="E79" s="10" t="s">
        <v>149</v>
      </c>
      <c r="F79" s="14">
        <v>138.69</v>
      </c>
      <c r="G79" s="15"/>
      <c r="I79" s="14">
        <f t="shared" si="1"/>
        <v>138.69</v>
      </c>
      <c r="J79" s="14">
        <f>Tabla13[[#This Row],[Precio final en USD]]*$P$4</f>
        <v>221.904</v>
      </c>
    </row>
    <row r="80" spans="1:11" x14ac:dyDescent="0.2">
      <c r="A80" s="11">
        <v>10132</v>
      </c>
      <c r="B80" s="12" t="s">
        <v>52</v>
      </c>
      <c r="C80" s="13" t="s">
        <v>150</v>
      </c>
      <c r="D80" s="12" t="s">
        <v>54</v>
      </c>
      <c r="E80" s="10" t="s">
        <v>84</v>
      </c>
      <c r="F80" s="14"/>
      <c r="G80" s="15"/>
      <c r="H80" s="21">
        <v>0.18</v>
      </c>
      <c r="I80" s="14">
        <f t="shared" si="1"/>
        <v>0.20928813559322035</v>
      </c>
      <c r="J80" s="14">
        <f>Tabla13[[#This Row],[Precio final en USD]]*$P$4</f>
        <v>0.3348610169491526</v>
      </c>
    </row>
    <row r="81" spans="1:10" x14ac:dyDescent="0.2">
      <c r="A81" s="11">
        <v>10133</v>
      </c>
      <c r="B81" s="12" t="s">
        <v>52</v>
      </c>
      <c r="C81" s="13" t="s">
        <v>151</v>
      </c>
      <c r="D81" s="12" t="s">
        <v>54</v>
      </c>
      <c r="E81" s="10" t="s">
        <v>84</v>
      </c>
      <c r="F81" s="14"/>
      <c r="G81" s="15"/>
      <c r="H81" s="21">
        <v>7.67</v>
      </c>
      <c r="I81" s="14">
        <f t="shared" si="1"/>
        <v>8.918000000000001</v>
      </c>
      <c r="J81" s="14">
        <f>Tabla13[[#This Row],[Precio final en USD]]*$P$4</f>
        <v>14.268800000000002</v>
      </c>
    </row>
    <row r="82" spans="1:10" x14ac:dyDescent="0.2">
      <c r="A82" s="11">
        <v>10134</v>
      </c>
      <c r="B82" s="12" t="s">
        <v>52</v>
      </c>
      <c r="C82" s="13" t="s">
        <v>152</v>
      </c>
      <c r="D82" s="12" t="s">
        <v>54</v>
      </c>
      <c r="E82" s="10" t="s">
        <v>84</v>
      </c>
      <c r="F82" s="14"/>
      <c r="G82" s="15"/>
      <c r="H82" s="21">
        <v>0.32</v>
      </c>
      <c r="I82" s="14">
        <f t="shared" si="1"/>
        <v>0.37206779661016953</v>
      </c>
      <c r="J82" s="14">
        <f>Tabla13[[#This Row],[Precio final en USD]]*$P$4</f>
        <v>0.59530847457627123</v>
      </c>
    </row>
    <row r="83" spans="1:10" x14ac:dyDescent="0.2">
      <c r="A83" s="11">
        <v>10135</v>
      </c>
      <c r="B83" s="12" t="s">
        <v>52</v>
      </c>
      <c r="C83" s="13" t="s">
        <v>153</v>
      </c>
      <c r="D83" s="12" t="s">
        <v>54</v>
      </c>
      <c r="E83" s="10" t="s">
        <v>84</v>
      </c>
      <c r="F83" s="14"/>
      <c r="G83" s="15"/>
      <c r="H83" s="21">
        <v>11.84</v>
      </c>
      <c r="I83" s="14">
        <f t="shared" si="1"/>
        <v>13.766508474576272</v>
      </c>
      <c r="J83" s="14">
        <f>Tabla13[[#This Row],[Precio final en USD]]*$P$4</f>
        <v>22.026413559322037</v>
      </c>
    </row>
    <row r="84" spans="1:10" x14ac:dyDescent="0.2">
      <c r="A84" s="11">
        <v>10137</v>
      </c>
      <c r="B84" s="12" t="s">
        <v>52</v>
      </c>
      <c r="C84" s="13" t="s">
        <v>154</v>
      </c>
      <c r="D84" s="12" t="s">
        <v>54</v>
      </c>
      <c r="E84" s="10" t="s">
        <v>84</v>
      </c>
      <c r="F84" s="14"/>
      <c r="G84" s="15"/>
      <c r="H84" s="21">
        <v>126</v>
      </c>
      <c r="I84" s="14">
        <f t="shared" si="1"/>
        <v>146.50169491525426</v>
      </c>
      <c r="J84" s="14">
        <f>Tabla13[[#This Row],[Precio final en USD]]*$P$4</f>
        <v>234.40271186440683</v>
      </c>
    </row>
    <row r="85" spans="1:10" x14ac:dyDescent="0.2">
      <c r="A85" s="11">
        <v>10138</v>
      </c>
      <c r="B85" s="12" t="s">
        <v>52</v>
      </c>
      <c r="C85" s="13" t="s">
        <v>155</v>
      </c>
      <c r="D85" s="12" t="s">
        <v>54</v>
      </c>
      <c r="E85" s="10" t="s">
        <v>84</v>
      </c>
      <c r="F85" s="14"/>
      <c r="G85" s="15"/>
      <c r="H85" s="21">
        <v>11.86</v>
      </c>
      <c r="I85" s="14">
        <f t="shared" si="1"/>
        <v>13.789762711864407</v>
      </c>
      <c r="J85" s="14">
        <f>Tabla13[[#This Row],[Precio final en USD]]*$P$4</f>
        <v>22.063620338983053</v>
      </c>
    </row>
    <row r="86" spans="1:10" x14ac:dyDescent="0.2">
      <c r="A86" s="11">
        <v>10139</v>
      </c>
      <c r="B86" s="12" t="s">
        <v>52</v>
      </c>
      <c r="C86" s="13" t="s">
        <v>156</v>
      </c>
      <c r="D86" s="12" t="s">
        <v>54</v>
      </c>
      <c r="E86" s="10" t="s">
        <v>84</v>
      </c>
      <c r="F86" s="14"/>
      <c r="G86" s="15"/>
      <c r="H86" s="21">
        <v>4.1500000000000004</v>
      </c>
      <c r="I86" s="14">
        <f t="shared" si="1"/>
        <v>4.8252542372881368</v>
      </c>
      <c r="J86" s="14">
        <f>Tabla13[[#This Row],[Precio final en USD]]*$P$4</f>
        <v>7.720406779661019</v>
      </c>
    </row>
    <row r="87" spans="1:10" x14ac:dyDescent="0.2">
      <c r="A87" s="11">
        <v>10141</v>
      </c>
      <c r="B87" s="12" t="s">
        <v>52</v>
      </c>
      <c r="C87" s="13" t="s">
        <v>157</v>
      </c>
      <c r="D87" s="12" t="s">
        <v>54</v>
      </c>
      <c r="E87" s="10" t="s">
        <v>89</v>
      </c>
      <c r="F87" s="14"/>
      <c r="G87" s="15">
        <v>2000</v>
      </c>
      <c r="H87" s="21"/>
      <c r="I87" s="14">
        <f t="shared" si="1"/>
        <v>1.3559322033898304</v>
      </c>
      <c r="J87" s="14">
        <f>Tabla13[[#This Row],[Precio final en USD]]*$P$4</f>
        <v>2.1694915254237288</v>
      </c>
    </row>
    <row r="88" spans="1:10" x14ac:dyDescent="0.2">
      <c r="A88" s="11">
        <v>10143</v>
      </c>
      <c r="B88" s="12" t="s">
        <v>52</v>
      </c>
      <c r="C88" s="13" t="s">
        <v>158</v>
      </c>
      <c r="D88" s="12" t="s">
        <v>54</v>
      </c>
      <c r="E88" s="10" t="s">
        <v>68</v>
      </c>
      <c r="F88" s="14"/>
      <c r="G88" s="15">
        <v>124000</v>
      </c>
      <c r="H88" s="21"/>
      <c r="I88" s="14">
        <f t="shared" si="1"/>
        <v>84.067796610169495</v>
      </c>
      <c r="J88" s="14">
        <f>Tabla13[[#This Row],[Precio final en USD]]*$P$4</f>
        <v>134.5084745762712</v>
      </c>
    </row>
    <row r="89" spans="1:10" x14ac:dyDescent="0.2">
      <c r="A89" s="11">
        <v>10144</v>
      </c>
      <c r="B89" s="12" t="s">
        <v>52</v>
      </c>
      <c r="C89" s="13" t="s">
        <v>159</v>
      </c>
      <c r="D89" s="12" t="s">
        <v>54</v>
      </c>
      <c r="E89" s="10" t="s">
        <v>68</v>
      </c>
      <c r="F89" s="14"/>
      <c r="G89" s="15">
        <v>62000</v>
      </c>
      <c r="H89" s="21"/>
      <c r="I89" s="14">
        <f t="shared" si="1"/>
        <v>42.033898305084747</v>
      </c>
      <c r="J89" s="14">
        <f>Tabla13[[#This Row],[Precio final en USD]]*$P$4</f>
        <v>67.254237288135599</v>
      </c>
    </row>
    <row r="90" spans="1:10" x14ac:dyDescent="0.2">
      <c r="A90" s="11">
        <v>10145</v>
      </c>
      <c r="B90" s="12" t="s">
        <v>52</v>
      </c>
      <c r="C90" s="13" t="s">
        <v>160</v>
      </c>
      <c r="D90" s="12" t="s">
        <v>54</v>
      </c>
      <c r="E90" s="10" t="s">
        <v>68</v>
      </c>
      <c r="F90" s="14"/>
      <c r="G90" s="15">
        <v>78000</v>
      </c>
      <c r="H90" s="21"/>
      <c r="I90" s="14">
        <f t="shared" si="1"/>
        <v>52.881355932203391</v>
      </c>
      <c r="J90" s="14">
        <f>Tabla13[[#This Row],[Precio final en USD]]*$P$4</f>
        <v>84.610169491525426</v>
      </c>
    </row>
    <row r="91" spans="1:10" x14ac:dyDescent="0.2">
      <c r="A91" s="11">
        <v>10148</v>
      </c>
      <c r="B91" s="12" t="s">
        <v>52</v>
      </c>
      <c r="C91" s="13" t="s">
        <v>161</v>
      </c>
      <c r="D91" s="12" t="s">
        <v>54</v>
      </c>
      <c r="E91" s="10" t="s">
        <v>68</v>
      </c>
      <c r="F91" s="14"/>
      <c r="G91" s="15">
        <v>50000</v>
      </c>
      <c r="H91" s="21"/>
      <c r="I91" s="14">
        <f t="shared" si="1"/>
        <v>33.898305084745765</v>
      </c>
      <c r="J91" s="14">
        <f>Tabla13[[#This Row],[Precio final en USD]]*$P$4</f>
        <v>54.237288135593225</v>
      </c>
    </row>
    <row r="92" spans="1:10" x14ac:dyDescent="0.2">
      <c r="A92" s="11">
        <v>10150</v>
      </c>
      <c r="B92" s="12" t="s">
        <v>52</v>
      </c>
      <c r="C92" s="13" t="s">
        <v>162</v>
      </c>
      <c r="D92" s="12" t="s">
        <v>54</v>
      </c>
      <c r="E92" s="10" t="s">
        <v>89</v>
      </c>
      <c r="F92" s="14"/>
      <c r="G92" s="15">
        <v>71122</v>
      </c>
      <c r="H92" s="21"/>
      <c r="I92" s="14">
        <f t="shared" si="1"/>
        <v>48.218305084745765</v>
      </c>
      <c r="J92" s="14">
        <f>Tabla13[[#This Row],[Precio final en USD]]*$P$4</f>
        <v>77.149288135593224</v>
      </c>
    </row>
    <row r="93" spans="1:10" x14ac:dyDescent="0.2">
      <c r="A93" s="11">
        <v>10151</v>
      </c>
      <c r="B93" s="12" t="s">
        <v>52</v>
      </c>
      <c r="C93" s="13" t="s">
        <v>163</v>
      </c>
      <c r="D93" s="12" t="s">
        <v>54</v>
      </c>
      <c r="E93" s="10" t="s">
        <v>89</v>
      </c>
      <c r="F93" s="14"/>
      <c r="G93" s="15">
        <v>4779</v>
      </c>
      <c r="H93" s="21"/>
      <c r="I93" s="14">
        <f t="shared" si="1"/>
        <v>3.24</v>
      </c>
      <c r="J93" s="14">
        <f>Tabla13[[#This Row],[Precio final en USD]]*$P$4</f>
        <v>5.1840000000000011</v>
      </c>
    </row>
    <row r="94" spans="1:10" x14ac:dyDescent="0.2">
      <c r="A94" s="11">
        <v>10155</v>
      </c>
      <c r="B94" s="12" t="s">
        <v>52</v>
      </c>
      <c r="C94" s="13" t="s">
        <v>164</v>
      </c>
      <c r="D94" s="12" t="s">
        <v>54</v>
      </c>
      <c r="E94" s="10" t="s">
        <v>78</v>
      </c>
      <c r="F94" s="14">
        <v>158</v>
      </c>
      <c r="G94" s="15"/>
      <c r="H94" s="21"/>
      <c r="I94" s="14">
        <f t="shared" si="1"/>
        <v>158</v>
      </c>
      <c r="J94" s="14">
        <f>Tabla13[[#This Row],[Precio final en USD]]*$P$4</f>
        <v>252.8</v>
      </c>
    </row>
    <row r="95" spans="1:10" x14ac:dyDescent="0.2">
      <c r="A95" s="11">
        <v>10156</v>
      </c>
      <c r="B95" s="12" t="s">
        <v>52</v>
      </c>
      <c r="C95" s="13" t="s">
        <v>165</v>
      </c>
      <c r="D95" s="12" t="s">
        <v>54</v>
      </c>
      <c r="E95" s="10" t="s">
        <v>89</v>
      </c>
      <c r="F95" s="14"/>
      <c r="G95" s="15">
        <v>144000</v>
      </c>
      <c r="H95" s="21"/>
      <c r="I95" s="14">
        <f t="shared" si="1"/>
        <v>97.627118644067792</v>
      </c>
      <c r="J95" s="14">
        <f>Tabla13[[#This Row],[Precio final en USD]]*$P$4</f>
        <v>156.20338983050848</v>
      </c>
    </row>
    <row r="96" spans="1:10" x14ac:dyDescent="0.2">
      <c r="A96" s="11">
        <v>10158</v>
      </c>
      <c r="B96" s="12" t="s">
        <v>52</v>
      </c>
      <c r="C96" s="13" t="s">
        <v>166</v>
      </c>
      <c r="D96" s="12" t="s">
        <v>54</v>
      </c>
      <c r="E96" s="10" t="s">
        <v>89</v>
      </c>
      <c r="F96" s="14"/>
      <c r="G96" s="15">
        <v>55000</v>
      </c>
      <c r="H96" s="21"/>
      <c r="I96" s="14">
        <f t="shared" si="1"/>
        <v>37.288135593220339</v>
      </c>
      <c r="J96" s="14">
        <f>Tabla13[[#This Row],[Precio final en USD]]*$P$4</f>
        <v>59.661016949152547</v>
      </c>
    </row>
    <row r="97" spans="1:10" x14ac:dyDescent="0.2">
      <c r="A97" s="11">
        <v>10159</v>
      </c>
      <c r="B97" s="12" t="s">
        <v>52</v>
      </c>
      <c r="C97" s="13" t="s">
        <v>167</v>
      </c>
      <c r="D97" s="12" t="s">
        <v>54</v>
      </c>
      <c r="E97" s="10" t="s">
        <v>89</v>
      </c>
      <c r="F97" s="14"/>
      <c r="G97" s="15">
        <v>11339</v>
      </c>
      <c r="H97" s="21"/>
      <c r="I97" s="14">
        <f t="shared" si="1"/>
        <v>7.6874576271186443</v>
      </c>
      <c r="J97" s="14">
        <f>Tabla13[[#This Row],[Precio final en USD]]*$P$4</f>
        <v>12.299932203389831</v>
      </c>
    </row>
    <row r="98" spans="1:10" x14ac:dyDescent="0.2">
      <c r="A98" s="11">
        <v>10161</v>
      </c>
      <c r="B98" s="12" t="s">
        <v>52</v>
      </c>
      <c r="C98" s="13" t="s">
        <v>168</v>
      </c>
      <c r="D98" s="12" t="s">
        <v>54</v>
      </c>
      <c r="E98" s="10" t="s">
        <v>68</v>
      </c>
      <c r="F98" s="14"/>
      <c r="G98" s="15">
        <v>50000</v>
      </c>
      <c r="H98" s="21"/>
      <c r="I98" s="14">
        <f t="shared" si="1"/>
        <v>33.898305084745765</v>
      </c>
      <c r="J98" s="14">
        <f>Tabla13[[#This Row],[Precio final en USD]]*$P$4</f>
        <v>54.237288135593225</v>
      </c>
    </row>
    <row r="99" spans="1:10" x14ac:dyDescent="0.2">
      <c r="A99" s="11">
        <v>10164</v>
      </c>
      <c r="B99" s="12" t="s">
        <v>52</v>
      </c>
      <c r="C99" s="13" t="s">
        <v>169</v>
      </c>
      <c r="D99" s="12" t="s">
        <v>54</v>
      </c>
      <c r="E99" s="10" t="s">
        <v>68</v>
      </c>
      <c r="F99" s="14"/>
      <c r="G99" s="15">
        <v>199000</v>
      </c>
      <c r="H99" s="21"/>
      <c r="I99" s="14">
        <f t="shared" si="1"/>
        <v>134.91525423728814</v>
      </c>
      <c r="J99" s="14">
        <f>Tabla13[[#This Row],[Precio final en USD]]*$P$4</f>
        <v>215.86440677966104</v>
      </c>
    </row>
    <row r="100" spans="1:10" x14ac:dyDescent="0.2">
      <c r="A100" s="12">
        <v>10164</v>
      </c>
      <c r="B100" s="11" t="s">
        <v>52</v>
      </c>
      <c r="C100" s="13" t="s">
        <v>169</v>
      </c>
      <c r="D100" s="12" t="s">
        <v>58</v>
      </c>
      <c r="E100" s="10" t="s">
        <v>68</v>
      </c>
      <c r="F100" s="14"/>
      <c r="G100" s="15">
        <v>199000</v>
      </c>
      <c r="I100" s="14">
        <f t="shared" si="1"/>
        <v>134.91525423728814</v>
      </c>
      <c r="J100" s="14">
        <f>Tabla13[[#This Row],[Precio final en USD]]*$P$4</f>
        <v>215.86440677966104</v>
      </c>
    </row>
    <row r="101" spans="1:10" x14ac:dyDescent="0.2">
      <c r="A101" s="11">
        <v>10165</v>
      </c>
      <c r="B101" s="12" t="s">
        <v>52</v>
      </c>
      <c r="C101" s="13" t="s">
        <v>170</v>
      </c>
      <c r="D101" s="12" t="s">
        <v>54</v>
      </c>
      <c r="E101" s="10" t="s">
        <v>89</v>
      </c>
      <c r="F101" s="14"/>
      <c r="G101" s="15">
        <v>30000</v>
      </c>
      <c r="H101" s="21"/>
      <c r="I101" s="14">
        <f t="shared" si="1"/>
        <v>20.338983050847457</v>
      </c>
      <c r="J101" s="14">
        <f>Tabla13[[#This Row],[Precio final en USD]]*$P$4</f>
        <v>32.542372881355931</v>
      </c>
    </row>
    <row r="102" spans="1:10" x14ac:dyDescent="0.2">
      <c r="A102" s="11">
        <v>10168</v>
      </c>
      <c r="B102" s="12" t="s">
        <v>52</v>
      </c>
      <c r="C102" s="13" t="s">
        <v>171</v>
      </c>
      <c r="D102" s="12" t="s">
        <v>54</v>
      </c>
      <c r="E102" s="10" t="s">
        <v>172</v>
      </c>
      <c r="F102" s="14">
        <v>100.71</v>
      </c>
      <c r="G102" s="15"/>
      <c r="H102" s="21"/>
      <c r="I102" s="14">
        <f t="shared" si="1"/>
        <v>100.71</v>
      </c>
      <c r="J102" s="14">
        <f>Tabla13[[#This Row],[Precio final en USD]]*$P$4</f>
        <v>161.136</v>
      </c>
    </row>
    <row r="103" spans="1:10" x14ac:dyDescent="0.2">
      <c r="A103" s="11">
        <v>10169</v>
      </c>
      <c r="B103" s="12" t="s">
        <v>52</v>
      </c>
      <c r="C103" s="13" t="s">
        <v>173</v>
      </c>
      <c r="D103" s="12" t="s">
        <v>54</v>
      </c>
      <c r="E103" s="10" t="s">
        <v>172</v>
      </c>
      <c r="F103" s="14"/>
      <c r="G103" s="15">
        <v>40000</v>
      </c>
      <c r="H103" s="21"/>
      <c r="I103" s="14">
        <f t="shared" si="1"/>
        <v>27.118644067796609</v>
      </c>
      <c r="J103" s="14">
        <f>Tabla13[[#This Row],[Precio final en USD]]*$P$4</f>
        <v>43.389830508474574</v>
      </c>
    </row>
    <row r="104" spans="1:10" x14ac:dyDescent="0.2">
      <c r="A104" s="11">
        <v>10172</v>
      </c>
      <c r="B104" s="12" t="s">
        <v>52</v>
      </c>
      <c r="C104" s="13" t="s">
        <v>174</v>
      </c>
      <c r="D104" s="12" t="s">
        <v>54</v>
      </c>
      <c r="E104" s="10" t="s">
        <v>89</v>
      </c>
      <c r="F104" s="14"/>
      <c r="G104" s="15">
        <v>25563</v>
      </c>
      <c r="H104" s="21"/>
      <c r="I104" s="14">
        <f t="shared" si="1"/>
        <v>17.330847457627119</v>
      </c>
      <c r="J104" s="14">
        <f>Tabla13[[#This Row],[Precio final en USD]]*$P$4</f>
        <v>27.72935593220339</v>
      </c>
    </row>
    <row r="105" spans="1:10" x14ac:dyDescent="0.2">
      <c r="A105" s="11">
        <v>10173</v>
      </c>
      <c r="B105" s="12" t="s">
        <v>52</v>
      </c>
      <c r="C105" s="13" t="s">
        <v>175</v>
      </c>
      <c r="D105" s="12" t="s">
        <v>54</v>
      </c>
      <c r="E105" s="10" t="s">
        <v>89</v>
      </c>
      <c r="F105" s="14"/>
      <c r="G105" s="15">
        <v>22745</v>
      </c>
      <c r="H105" s="21"/>
      <c r="I105" s="14">
        <f t="shared" si="1"/>
        <v>15.420338983050847</v>
      </c>
      <c r="J105" s="14">
        <f>Tabla13[[#This Row],[Precio final en USD]]*$P$4</f>
        <v>24.672542372881356</v>
      </c>
    </row>
    <row r="106" spans="1:10" x14ac:dyDescent="0.2">
      <c r="A106" s="11">
        <v>10174</v>
      </c>
      <c r="B106" s="12" t="s">
        <v>52</v>
      </c>
      <c r="C106" s="13" t="s">
        <v>176</v>
      </c>
      <c r="D106" s="12" t="s">
        <v>54</v>
      </c>
      <c r="E106" s="10" t="s">
        <v>89</v>
      </c>
      <c r="F106" s="14"/>
      <c r="G106" s="15">
        <v>22745</v>
      </c>
      <c r="H106" s="21"/>
      <c r="I106" s="14">
        <f t="shared" si="1"/>
        <v>15.420338983050847</v>
      </c>
      <c r="J106" s="14">
        <f>Tabla13[[#This Row],[Precio final en USD]]*$P$4</f>
        <v>24.672542372881356</v>
      </c>
    </row>
    <row r="107" spans="1:10" x14ac:dyDescent="0.2">
      <c r="A107" s="11">
        <v>10175</v>
      </c>
      <c r="B107" s="12" t="s">
        <v>52</v>
      </c>
      <c r="C107" s="13" t="s">
        <v>177</v>
      </c>
      <c r="D107" s="12" t="s">
        <v>54</v>
      </c>
      <c r="E107" s="10" t="s">
        <v>89</v>
      </c>
      <c r="F107" s="14"/>
      <c r="G107" s="15">
        <v>13944</v>
      </c>
      <c r="H107" s="21"/>
      <c r="I107" s="14">
        <f t="shared" si="1"/>
        <v>9.4535593220338985</v>
      </c>
      <c r="J107" s="14">
        <f>Tabla13[[#This Row],[Precio final en USD]]*$P$4</f>
        <v>15.125694915254238</v>
      </c>
    </row>
    <row r="108" spans="1:10" x14ac:dyDescent="0.2">
      <c r="A108" s="11">
        <v>10181</v>
      </c>
      <c r="B108" s="12" t="s">
        <v>52</v>
      </c>
      <c r="C108" s="13" t="s">
        <v>178</v>
      </c>
      <c r="D108" s="12" t="s">
        <v>54</v>
      </c>
      <c r="E108" s="10" t="s">
        <v>89</v>
      </c>
      <c r="F108" s="14"/>
      <c r="G108" s="15">
        <v>600</v>
      </c>
      <c r="H108" s="21"/>
      <c r="I108" s="14">
        <f t="shared" si="1"/>
        <v>0.40677966101694918</v>
      </c>
      <c r="J108" s="14">
        <f>Tabla13[[#This Row],[Precio final en USD]]*$P$4</f>
        <v>0.65084745762711871</v>
      </c>
    </row>
    <row r="109" spans="1:10" x14ac:dyDescent="0.2">
      <c r="A109" s="11">
        <v>10182</v>
      </c>
      <c r="B109" s="12" t="s">
        <v>52</v>
      </c>
      <c r="C109" s="13" t="s">
        <v>179</v>
      </c>
      <c r="D109" s="12" t="s">
        <v>54</v>
      </c>
      <c r="E109" s="10" t="s">
        <v>89</v>
      </c>
      <c r="F109" s="14"/>
      <c r="G109" s="15">
        <v>27025</v>
      </c>
      <c r="H109" s="21"/>
      <c r="I109" s="14">
        <f t="shared" si="1"/>
        <v>18.322033898305083</v>
      </c>
      <c r="J109" s="14">
        <f>Tabla13[[#This Row],[Precio final en USD]]*$P$4</f>
        <v>29.315254237288134</v>
      </c>
    </row>
    <row r="110" spans="1:10" x14ac:dyDescent="0.2">
      <c r="A110" s="11">
        <v>10183</v>
      </c>
      <c r="B110" s="12" t="s">
        <v>52</v>
      </c>
      <c r="C110" s="13" t="s">
        <v>180</v>
      </c>
      <c r="D110" s="12" t="s">
        <v>54</v>
      </c>
      <c r="E110" s="10" t="s">
        <v>89</v>
      </c>
      <c r="F110" s="14"/>
      <c r="G110" s="15">
        <v>29999</v>
      </c>
      <c r="H110" s="21"/>
      <c r="I110" s="14">
        <f t="shared" si="1"/>
        <v>20.338305084745762</v>
      </c>
      <c r="J110" s="14">
        <f>Tabla13[[#This Row],[Precio final en USD]]*$P$4</f>
        <v>32.54128813559322</v>
      </c>
    </row>
    <row r="111" spans="1:10" x14ac:dyDescent="0.2">
      <c r="A111" s="11">
        <v>10187</v>
      </c>
      <c r="B111" s="12" t="s">
        <v>52</v>
      </c>
      <c r="C111" s="13" t="s">
        <v>181</v>
      </c>
      <c r="D111" s="12" t="s">
        <v>54</v>
      </c>
      <c r="E111" s="10" t="s">
        <v>89</v>
      </c>
      <c r="F111" s="14"/>
      <c r="G111" s="15">
        <v>15000</v>
      </c>
      <c r="H111" s="21"/>
      <c r="I111" s="14">
        <f t="shared" si="1"/>
        <v>10.169491525423728</v>
      </c>
      <c r="J111" s="14">
        <f>Tabla13[[#This Row],[Precio final en USD]]*$P$4</f>
        <v>16.271186440677965</v>
      </c>
    </row>
    <row r="112" spans="1:10" x14ac:dyDescent="0.2">
      <c r="A112" s="11">
        <v>10188</v>
      </c>
      <c r="B112" s="12" t="s">
        <v>52</v>
      </c>
      <c r="C112" s="13" t="s">
        <v>18</v>
      </c>
      <c r="D112" s="12" t="s">
        <v>54</v>
      </c>
      <c r="E112" s="10" t="s">
        <v>68</v>
      </c>
      <c r="F112" s="14"/>
      <c r="G112" s="15">
        <v>21000</v>
      </c>
      <c r="H112" s="21"/>
      <c r="I112" s="14">
        <f t="shared" si="1"/>
        <v>14.23728813559322</v>
      </c>
      <c r="J112" s="14">
        <f>Tabla13[[#This Row],[Precio final en USD]]*$P$4</f>
        <v>22.779661016949152</v>
      </c>
    </row>
    <row r="113" spans="1:14" x14ac:dyDescent="0.2">
      <c r="A113" s="12">
        <v>10189</v>
      </c>
      <c r="B113" s="11" t="s">
        <v>52</v>
      </c>
      <c r="C113" s="13" t="s">
        <v>182</v>
      </c>
      <c r="D113" s="12" t="s">
        <v>58</v>
      </c>
      <c r="E113" s="10" t="s">
        <v>84</v>
      </c>
      <c r="F113" s="14"/>
      <c r="G113" s="15"/>
      <c r="H113" s="10">
        <v>468.31</v>
      </c>
      <c r="I113" s="14">
        <f t="shared" si="1"/>
        <v>544.50959322033907</v>
      </c>
      <c r="J113" s="14">
        <f>Tabla13[[#This Row],[Precio final en USD]]*$P$4</f>
        <v>871.21534915254256</v>
      </c>
    </row>
    <row r="114" spans="1:14" x14ac:dyDescent="0.2">
      <c r="A114" s="11">
        <v>10190</v>
      </c>
      <c r="B114" s="12" t="s">
        <v>52</v>
      </c>
      <c r="C114" s="13" t="s">
        <v>183</v>
      </c>
      <c r="D114" s="12" t="s">
        <v>54</v>
      </c>
      <c r="E114" s="10" t="s">
        <v>84</v>
      </c>
      <c r="F114" s="14"/>
      <c r="G114" s="15"/>
      <c r="H114" s="23">
        <v>60.98</v>
      </c>
      <c r="I114" s="14">
        <f t="shared" si="1"/>
        <v>70.902169491525427</v>
      </c>
      <c r="J114" s="14">
        <f>Tabla13[[#This Row],[Precio final en USD]]*$P$4</f>
        <v>113.44347118644069</v>
      </c>
    </row>
    <row r="115" spans="1:14" x14ac:dyDescent="0.2">
      <c r="A115" s="11">
        <v>10191</v>
      </c>
      <c r="B115" s="12" t="s">
        <v>52</v>
      </c>
      <c r="C115" s="13" t="s">
        <v>184</v>
      </c>
      <c r="D115" s="12" t="s">
        <v>54</v>
      </c>
      <c r="E115" s="10" t="s">
        <v>84</v>
      </c>
      <c r="F115" s="14"/>
      <c r="G115" s="15"/>
      <c r="H115" s="21">
        <v>286.67</v>
      </c>
      <c r="I115" s="14">
        <f t="shared" si="1"/>
        <v>333.31461016949157</v>
      </c>
      <c r="J115" s="14">
        <f>Tabla13[[#This Row],[Precio final en USD]]*$P$4</f>
        <v>533.30337627118649</v>
      </c>
    </row>
    <row r="116" spans="1:14" x14ac:dyDescent="0.2">
      <c r="A116" s="11">
        <v>10193</v>
      </c>
      <c r="B116" s="12" t="s">
        <v>52</v>
      </c>
      <c r="C116" s="13" t="s">
        <v>185</v>
      </c>
      <c r="D116" s="12" t="s">
        <v>54</v>
      </c>
      <c r="E116" s="10" t="s">
        <v>84</v>
      </c>
      <c r="F116" s="14"/>
      <c r="G116" s="15"/>
      <c r="H116" s="21">
        <v>375.16</v>
      </c>
      <c r="I116" s="14">
        <f t="shared" si="1"/>
        <v>436.20298305084754</v>
      </c>
      <c r="J116" s="14">
        <f>Tabla13[[#This Row],[Precio final en USD]]*$P$4</f>
        <v>697.92477288135615</v>
      </c>
    </row>
    <row r="117" spans="1:14" x14ac:dyDescent="0.2">
      <c r="A117" s="12">
        <v>10194</v>
      </c>
      <c r="B117" s="11" t="s">
        <v>52</v>
      </c>
      <c r="C117" s="13" t="s">
        <v>186</v>
      </c>
      <c r="D117" s="12" t="s">
        <v>58</v>
      </c>
      <c r="E117" s="10" t="s">
        <v>84</v>
      </c>
      <c r="F117" s="14"/>
      <c r="G117" s="15"/>
      <c r="H117" s="10">
        <v>94.62</v>
      </c>
      <c r="I117" s="14">
        <f t="shared" si="1"/>
        <v>110.0157966101695</v>
      </c>
      <c r="J117" s="14">
        <f>Tabla13[[#This Row],[Precio final en USD]]*$P$4</f>
        <v>176.02527457627122</v>
      </c>
    </row>
    <row r="118" spans="1:14" x14ac:dyDescent="0.2">
      <c r="A118" s="11">
        <v>10199</v>
      </c>
      <c r="B118" s="12" t="s">
        <v>52</v>
      </c>
      <c r="C118" s="13" t="s">
        <v>187</v>
      </c>
      <c r="D118" s="12" t="s">
        <v>54</v>
      </c>
      <c r="E118" s="10" t="s">
        <v>84</v>
      </c>
      <c r="F118" s="14"/>
      <c r="G118" s="15"/>
      <c r="H118" s="21">
        <v>503.66</v>
      </c>
      <c r="I118" s="14">
        <f t="shared" si="1"/>
        <v>585.61145762711874</v>
      </c>
      <c r="J118" s="14">
        <f>Tabla13[[#This Row],[Precio final en USD]]*$P$4</f>
        <v>936.97833220338998</v>
      </c>
    </row>
    <row r="119" spans="1:14" x14ac:dyDescent="0.2">
      <c r="A119" s="12">
        <v>10200</v>
      </c>
      <c r="B119" s="11" t="s">
        <v>52</v>
      </c>
      <c r="C119" s="13" t="s">
        <v>188</v>
      </c>
      <c r="D119" s="12" t="s">
        <v>58</v>
      </c>
      <c r="E119" s="10" t="s">
        <v>59</v>
      </c>
      <c r="F119" s="14"/>
      <c r="G119" s="15"/>
      <c r="I119" s="14" t="str">
        <f t="shared" si="1"/>
        <v/>
      </c>
      <c r="J119" s="14" t="e">
        <f>Tabla13[[#This Row],[Precio final en USD]]*$P$4</f>
        <v>#VALUE!</v>
      </c>
      <c r="K119" s="10" t="s">
        <v>60</v>
      </c>
    </row>
    <row r="120" spans="1:14" x14ac:dyDescent="0.2">
      <c r="A120" s="11">
        <v>10202</v>
      </c>
      <c r="B120" s="12" t="s">
        <v>52</v>
      </c>
      <c r="C120" s="13" t="s">
        <v>189</v>
      </c>
      <c r="D120" s="12" t="s">
        <v>54</v>
      </c>
      <c r="E120" s="10" t="s">
        <v>68</v>
      </c>
      <c r="F120" s="14"/>
      <c r="G120" s="15">
        <v>20000</v>
      </c>
      <c r="H120" s="21"/>
      <c r="I120" s="14">
        <f t="shared" si="1"/>
        <v>13.559322033898304</v>
      </c>
      <c r="J120" s="14">
        <f>Tabla13[[#This Row],[Precio final en USD]]*$P$4</f>
        <v>21.694915254237287</v>
      </c>
    </row>
    <row r="121" spans="1:14" x14ac:dyDescent="0.2">
      <c r="A121" s="11">
        <v>10205</v>
      </c>
      <c r="B121" s="12" t="s">
        <v>52</v>
      </c>
      <c r="C121" s="13" t="s">
        <v>190</v>
      </c>
      <c r="D121" s="12" t="s">
        <v>54</v>
      </c>
      <c r="E121" s="10" t="s">
        <v>68</v>
      </c>
      <c r="F121" s="14"/>
      <c r="G121" s="15">
        <v>190000</v>
      </c>
      <c r="H121" s="21"/>
      <c r="I121" s="14">
        <f t="shared" si="1"/>
        <v>128.81355932203391</v>
      </c>
      <c r="J121" s="14">
        <f>Tabla13[[#This Row],[Precio final en USD]]*$P$4</f>
        <v>206.10169491525426</v>
      </c>
      <c r="N121" s="21"/>
    </row>
    <row r="122" spans="1:14" x14ac:dyDescent="0.2">
      <c r="A122" s="11">
        <v>10206</v>
      </c>
      <c r="B122" s="12" t="s">
        <v>52</v>
      </c>
      <c r="C122" s="13" t="s">
        <v>191</v>
      </c>
      <c r="D122" s="12" t="s">
        <v>54</v>
      </c>
      <c r="E122" s="10" t="s">
        <v>68</v>
      </c>
      <c r="F122" s="14"/>
      <c r="G122" s="15">
        <v>132000</v>
      </c>
      <c r="H122" s="21"/>
      <c r="I122" s="14">
        <f t="shared" si="1"/>
        <v>89.491525423728817</v>
      </c>
      <c r="J122" s="14">
        <f>Tabla13[[#This Row],[Precio final en USD]]*$P$4</f>
        <v>143.18644067796612</v>
      </c>
    </row>
    <row r="123" spans="1:14" x14ac:dyDescent="0.2">
      <c r="A123" s="11">
        <v>10207</v>
      </c>
      <c r="B123" s="12" t="s">
        <v>52</v>
      </c>
      <c r="C123" s="13" t="s">
        <v>192</v>
      </c>
      <c r="D123" s="12" t="s">
        <v>54</v>
      </c>
      <c r="E123" s="10" t="s">
        <v>172</v>
      </c>
      <c r="F123" s="14"/>
      <c r="G123" s="15">
        <v>40000</v>
      </c>
      <c r="H123" s="21"/>
      <c r="I123" s="14">
        <f t="shared" si="1"/>
        <v>27.118644067796609</v>
      </c>
      <c r="J123" s="14">
        <f>Tabla13[[#This Row],[Precio final en USD]]*$P$4</f>
        <v>43.389830508474574</v>
      </c>
    </row>
    <row r="124" spans="1:14" x14ac:dyDescent="0.2">
      <c r="A124" s="12">
        <v>10208</v>
      </c>
      <c r="B124" s="11" t="s">
        <v>52</v>
      </c>
      <c r="C124" s="24" t="s">
        <v>193</v>
      </c>
      <c r="D124" s="12" t="s">
        <v>58</v>
      </c>
      <c r="E124" s="10" t="s">
        <v>84</v>
      </c>
      <c r="F124" s="14"/>
      <c r="G124" s="15"/>
      <c r="H124" s="10">
        <v>38.81</v>
      </c>
      <c r="I124" s="14">
        <f t="shared" si="1"/>
        <v>45.124847457627126</v>
      </c>
      <c r="J124" s="14">
        <f>Tabla13[[#This Row],[Precio final en USD]]*$P$4</f>
        <v>72.199755932203402</v>
      </c>
    </row>
    <row r="125" spans="1:14" x14ac:dyDescent="0.2">
      <c r="A125" s="11">
        <v>10216</v>
      </c>
      <c r="B125" s="12" t="s">
        <v>52</v>
      </c>
      <c r="C125" s="13" t="s">
        <v>194</v>
      </c>
      <c r="D125" s="12" t="s">
        <v>54</v>
      </c>
      <c r="E125" s="10" t="s">
        <v>89</v>
      </c>
      <c r="F125" s="14"/>
      <c r="G125" s="15">
        <v>3009</v>
      </c>
      <c r="H125" s="21"/>
      <c r="I125" s="14">
        <f t="shared" si="1"/>
        <v>2.04</v>
      </c>
      <c r="J125" s="14">
        <f>Tabla13[[#This Row],[Precio final en USD]]*$P$4</f>
        <v>3.2640000000000002</v>
      </c>
      <c r="K125" s="10" t="s">
        <v>195</v>
      </c>
    </row>
    <row r="126" spans="1:14" x14ac:dyDescent="0.2">
      <c r="A126" s="11">
        <v>10217</v>
      </c>
      <c r="B126" s="12" t="s">
        <v>52</v>
      </c>
      <c r="C126" s="13" t="s">
        <v>196</v>
      </c>
      <c r="D126" s="12" t="s">
        <v>54</v>
      </c>
      <c r="E126" s="10" t="s">
        <v>68</v>
      </c>
      <c r="F126" s="14"/>
      <c r="G126" s="15">
        <v>31000</v>
      </c>
      <c r="H126" s="21"/>
      <c r="I126" s="14">
        <f t="shared" si="1"/>
        <v>21.016949152542374</v>
      </c>
      <c r="J126" s="14">
        <f>Tabla13[[#This Row],[Precio final en USD]]*$P$4</f>
        <v>33.627118644067799</v>
      </c>
    </row>
    <row r="127" spans="1:14" x14ac:dyDescent="0.2">
      <c r="A127" s="11">
        <v>10218</v>
      </c>
      <c r="B127" s="12" t="s">
        <v>52</v>
      </c>
      <c r="C127" s="13" t="s">
        <v>197</v>
      </c>
      <c r="D127" s="12" t="s">
        <v>54</v>
      </c>
      <c r="E127" s="10" t="s">
        <v>68</v>
      </c>
      <c r="F127" s="14"/>
      <c r="G127" s="15">
        <v>31000</v>
      </c>
      <c r="H127" s="21"/>
      <c r="I127" s="14">
        <f t="shared" si="1"/>
        <v>21.016949152542374</v>
      </c>
      <c r="J127" s="14">
        <f>Tabla13[[#This Row],[Precio final en USD]]*$P$4</f>
        <v>33.627118644067799</v>
      </c>
    </row>
    <row r="128" spans="1:14" x14ac:dyDescent="0.2">
      <c r="A128" s="11">
        <v>10219</v>
      </c>
      <c r="B128" s="12" t="s">
        <v>52</v>
      </c>
      <c r="C128" s="13" t="s">
        <v>198</v>
      </c>
      <c r="D128" s="12" t="s">
        <v>54</v>
      </c>
      <c r="E128" s="10" t="s">
        <v>68</v>
      </c>
      <c r="F128" s="14"/>
      <c r="G128" s="15">
        <v>40000</v>
      </c>
      <c r="H128" s="21"/>
      <c r="I128" s="14">
        <f t="shared" si="1"/>
        <v>27.118644067796609</v>
      </c>
      <c r="J128" s="14">
        <f>Tabla13[[#This Row],[Precio final en USD]]*$P$4</f>
        <v>43.389830508474574</v>
      </c>
    </row>
    <row r="129" spans="1:11" x14ac:dyDescent="0.2">
      <c r="A129" s="11">
        <v>10220</v>
      </c>
      <c r="B129" s="12" t="s">
        <v>52</v>
      </c>
      <c r="C129" s="13" t="s">
        <v>199</v>
      </c>
      <c r="D129" s="12" t="s">
        <v>54</v>
      </c>
      <c r="E129" s="10" t="s">
        <v>68</v>
      </c>
      <c r="F129" s="14"/>
      <c r="G129" s="15">
        <v>40000</v>
      </c>
      <c r="H129" s="21"/>
      <c r="I129" s="14">
        <f t="shared" si="1"/>
        <v>27.118644067796609</v>
      </c>
      <c r="J129" s="14">
        <f>Tabla13[[#This Row],[Precio final en USD]]*$P$4</f>
        <v>43.389830508474574</v>
      </c>
    </row>
    <row r="130" spans="1:11" x14ac:dyDescent="0.2">
      <c r="A130" s="11">
        <v>10221</v>
      </c>
      <c r="B130" s="12" t="s">
        <v>52</v>
      </c>
      <c r="C130" s="13" t="s">
        <v>200</v>
      </c>
      <c r="D130" s="12" t="s">
        <v>54</v>
      </c>
      <c r="E130" s="10" t="s">
        <v>68</v>
      </c>
      <c r="F130" s="14"/>
      <c r="G130" s="15">
        <v>46000</v>
      </c>
      <c r="H130" s="21"/>
      <c r="I130" s="14">
        <f t="shared" ref="I130:I193" si="2">IF(AND(F130="",G130="",H130=""),"",IF(F130&lt;&gt;"",F130,IF(G130&lt;&gt;"",G130/$O$1,IF(H130&lt;&gt;"",H130*$O$2,"ver"))))</f>
        <v>31.1864406779661</v>
      </c>
      <c r="J130" s="14">
        <f>Tabla13[[#This Row],[Precio final en USD]]*$P$4</f>
        <v>49.898305084745765</v>
      </c>
    </row>
    <row r="131" spans="1:11" x14ac:dyDescent="0.2">
      <c r="A131" s="11">
        <v>10222</v>
      </c>
      <c r="B131" s="12" t="s">
        <v>52</v>
      </c>
      <c r="C131" s="13" t="s">
        <v>201</v>
      </c>
      <c r="D131" s="12" t="s">
        <v>54</v>
      </c>
      <c r="E131" s="10" t="s">
        <v>68</v>
      </c>
      <c r="F131" s="14"/>
      <c r="G131" s="15">
        <v>14000</v>
      </c>
      <c r="H131" s="21"/>
      <c r="I131" s="14">
        <f t="shared" si="2"/>
        <v>9.4915254237288131</v>
      </c>
      <c r="J131" s="14">
        <f>Tabla13[[#This Row],[Precio final en USD]]*$P$4</f>
        <v>15.186440677966102</v>
      </c>
    </row>
    <row r="132" spans="1:11" x14ac:dyDescent="0.2">
      <c r="A132" s="11">
        <v>10223</v>
      </c>
      <c r="B132" s="12" t="s">
        <v>52</v>
      </c>
      <c r="C132" s="13" t="s">
        <v>202</v>
      </c>
      <c r="D132" s="12" t="s">
        <v>54</v>
      </c>
      <c r="E132" s="10" t="s">
        <v>59</v>
      </c>
      <c r="F132" s="14">
        <v>0</v>
      </c>
      <c r="G132" s="15"/>
      <c r="H132" s="21"/>
      <c r="I132" s="14">
        <f t="shared" si="2"/>
        <v>0</v>
      </c>
      <c r="J132" s="14">
        <f>Tabla13[[#This Row],[Precio final en USD]]*$P$4</f>
        <v>0</v>
      </c>
    </row>
    <row r="133" spans="1:11" x14ac:dyDescent="0.2">
      <c r="A133" s="12">
        <v>10223</v>
      </c>
      <c r="B133" s="11" t="s">
        <v>52</v>
      </c>
      <c r="C133" s="13" t="s">
        <v>202</v>
      </c>
      <c r="D133" s="12" t="s">
        <v>58</v>
      </c>
      <c r="E133" s="10" t="s">
        <v>59</v>
      </c>
      <c r="F133" s="14"/>
      <c r="G133" s="15"/>
      <c r="I133" s="14" t="str">
        <f t="shared" si="2"/>
        <v/>
      </c>
      <c r="J133" s="14" t="e">
        <f>Tabla13[[#This Row],[Precio final en USD]]*$P$4</f>
        <v>#VALUE!</v>
      </c>
      <c r="K133" s="10" t="s">
        <v>60</v>
      </c>
    </row>
    <row r="134" spans="1:11" x14ac:dyDescent="0.2">
      <c r="A134" s="11">
        <v>10225</v>
      </c>
      <c r="B134" s="12" t="s">
        <v>52</v>
      </c>
      <c r="C134" s="13" t="s">
        <v>203</v>
      </c>
      <c r="D134" s="12" t="s">
        <v>54</v>
      </c>
      <c r="E134" s="10" t="s">
        <v>89</v>
      </c>
      <c r="F134" s="14"/>
      <c r="G134" s="15">
        <v>24585</v>
      </c>
      <c r="H134" s="21"/>
      <c r="I134" s="14">
        <f t="shared" si="2"/>
        <v>16.667796610169493</v>
      </c>
      <c r="J134" s="14">
        <f>Tabla13[[#This Row],[Precio final en USD]]*$P$4</f>
        <v>26.668474576271191</v>
      </c>
    </row>
    <row r="135" spans="1:11" x14ac:dyDescent="0.2">
      <c r="A135" s="11">
        <v>10226</v>
      </c>
      <c r="B135" s="12" t="s">
        <v>52</v>
      </c>
      <c r="C135" s="13" t="s">
        <v>204</v>
      </c>
      <c r="D135" s="12" t="s">
        <v>54</v>
      </c>
      <c r="E135" s="10" t="s">
        <v>89</v>
      </c>
      <c r="F135" s="14"/>
      <c r="G135" s="15">
        <v>14350</v>
      </c>
      <c r="H135" s="21"/>
      <c r="I135" s="14">
        <f t="shared" si="2"/>
        <v>9.7288135593220346</v>
      </c>
      <c r="J135" s="14">
        <f>Tabla13[[#This Row],[Precio final en USD]]*$P$4</f>
        <v>15.566101694915256</v>
      </c>
    </row>
    <row r="136" spans="1:11" x14ac:dyDescent="0.2">
      <c r="A136" s="11">
        <v>10228</v>
      </c>
      <c r="B136" s="12" t="s">
        <v>52</v>
      </c>
      <c r="C136" s="13" t="s">
        <v>205</v>
      </c>
      <c r="D136" s="12" t="s">
        <v>54</v>
      </c>
      <c r="E136" s="10" t="s">
        <v>89</v>
      </c>
      <c r="F136" s="14"/>
      <c r="G136" s="15">
        <v>6500</v>
      </c>
      <c r="H136" s="21"/>
      <c r="I136" s="14">
        <f t="shared" si="2"/>
        <v>4.406779661016949</v>
      </c>
      <c r="J136" s="14">
        <f>Tabla13[[#This Row],[Precio final en USD]]*$P$4</f>
        <v>7.0508474576271185</v>
      </c>
    </row>
    <row r="137" spans="1:11" x14ac:dyDescent="0.2">
      <c r="A137" s="11">
        <v>10229</v>
      </c>
      <c r="B137" s="12" t="s">
        <v>52</v>
      </c>
      <c r="C137" s="13" t="s">
        <v>206</v>
      </c>
      <c r="D137" s="12" t="s">
        <v>54</v>
      </c>
      <c r="E137" s="10" t="s">
        <v>89</v>
      </c>
      <c r="F137" s="14"/>
      <c r="G137" s="15">
        <v>11107</v>
      </c>
      <c r="H137" s="21"/>
      <c r="I137" s="14">
        <f t="shared" si="2"/>
        <v>7.5301694915254238</v>
      </c>
      <c r="J137" s="14">
        <f>Tabla13[[#This Row],[Precio final en USD]]*$P$4</f>
        <v>12.04827118644068</v>
      </c>
    </row>
    <row r="138" spans="1:11" x14ac:dyDescent="0.2">
      <c r="A138" s="11">
        <v>10231</v>
      </c>
      <c r="B138" s="12" t="s">
        <v>52</v>
      </c>
      <c r="C138" s="13" t="s">
        <v>207</v>
      </c>
      <c r="D138" s="12" t="s">
        <v>54</v>
      </c>
      <c r="E138" s="10" t="s">
        <v>89</v>
      </c>
      <c r="F138" s="14"/>
      <c r="G138" s="15">
        <v>50000</v>
      </c>
      <c r="H138" s="21"/>
      <c r="I138" s="14">
        <f t="shared" si="2"/>
        <v>33.898305084745765</v>
      </c>
      <c r="J138" s="14">
        <f>Tabla13[[#This Row],[Precio final en USD]]*$P$4</f>
        <v>54.237288135593225</v>
      </c>
    </row>
    <row r="139" spans="1:11" x14ac:dyDescent="0.2">
      <c r="A139" s="11">
        <v>10236</v>
      </c>
      <c r="B139" s="12" t="s">
        <v>52</v>
      </c>
      <c r="C139" s="13" t="s">
        <v>208</v>
      </c>
      <c r="D139" s="12" t="s">
        <v>54</v>
      </c>
      <c r="E139" s="10" t="s">
        <v>89</v>
      </c>
      <c r="F139" s="14"/>
      <c r="G139" s="15">
        <v>24585</v>
      </c>
      <c r="H139" s="21"/>
      <c r="I139" s="14">
        <f t="shared" si="2"/>
        <v>16.667796610169493</v>
      </c>
      <c r="J139" s="14">
        <f>Tabla13[[#This Row],[Precio final en USD]]*$P$4</f>
        <v>26.668474576271191</v>
      </c>
    </row>
    <row r="140" spans="1:11" x14ac:dyDescent="0.2">
      <c r="A140" s="11">
        <v>10238</v>
      </c>
      <c r="B140" s="12" t="s">
        <v>52</v>
      </c>
      <c r="C140" s="13" t="s">
        <v>209</v>
      </c>
      <c r="D140" s="12" t="s">
        <v>54</v>
      </c>
      <c r="E140" s="10" t="s">
        <v>78</v>
      </c>
      <c r="F140" s="14">
        <v>158</v>
      </c>
      <c r="G140" s="15"/>
      <c r="H140" s="21"/>
      <c r="I140" s="14">
        <f t="shared" si="2"/>
        <v>158</v>
      </c>
      <c r="J140" s="14">
        <f>Tabla13[[#This Row],[Precio final en USD]]*$P$4</f>
        <v>252.8</v>
      </c>
    </row>
    <row r="141" spans="1:11" x14ac:dyDescent="0.2">
      <c r="A141" s="11">
        <v>10240</v>
      </c>
      <c r="B141" s="12" t="s">
        <v>52</v>
      </c>
      <c r="C141" s="13" t="s">
        <v>210</v>
      </c>
      <c r="D141" s="12" t="s">
        <v>54</v>
      </c>
      <c r="E141" s="10" t="s">
        <v>84</v>
      </c>
      <c r="F141" s="14"/>
      <c r="G141" s="15"/>
      <c r="H141" s="21">
        <v>34</v>
      </c>
      <c r="I141" s="14">
        <f t="shared" si="2"/>
        <v>39.532203389830514</v>
      </c>
      <c r="J141" s="14">
        <f>Tabla13[[#This Row],[Precio final en USD]]*$P$4</f>
        <v>63.251525423728822</v>
      </c>
    </row>
    <row r="142" spans="1:11" x14ac:dyDescent="0.2">
      <c r="A142" s="11">
        <v>10241</v>
      </c>
      <c r="B142" s="12" t="s">
        <v>52</v>
      </c>
      <c r="C142" s="13" t="s">
        <v>211</v>
      </c>
      <c r="D142" s="12" t="s">
        <v>54</v>
      </c>
      <c r="E142" s="10" t="s">
        <v>68</v>
      </c>
      <c r="F142" s="14"/>
      <c r="G142" s="15">
        <v>50000</v>
      </c>
      <c r="H142" s="21"/>
      <c r="I142" s="14">
        <f t="shared" si="2"/>
        <v>33.898305084745765</v>
      </c>
      <c r="J142" s="14">
        <f>Tabla13[[#This Row],[Precio final en USD]]*$P$4</f>
        <v>54.237288135593225</v>
      </c>
    </row>
    <row r="143" spans="1:11" x14ac:dyDescent="0.2">
      <c r="A143" s="11">
        <v>10242</v>
      </c>
      <c r="B143" s="12" t="s">
        <v>52</v>
      </c>
      <c r="C143" s="13" t="s">
        <v>212</v>
      </c>
      <c r="D143" s="12" t="s">
        <v>54</v>
      </c>
      <c r="E143" s="10" t="s">
        <v>68</v>
      </c>
      <c r="F143" s="14"/>
      <c r="G143" s="15">
        <v>180000</v>
      </c>
      <c r="H143" s="21"/>
      <c r="I143" s="14">
        <f t="shared" si="2"/>
        <v>122.03389830508475</v>
      </c>
      <c r="J143" s="14">
        <f>Tabla13[[#This Row],[Precio final en USD]]*$P$4</f>
        <v>195.25423728813561</v>
      </c>
    </row>
    <row r="144" spans="1:11" x14ac:dyDescent="0.2">
      <c r="A144" s="11">
        <v>10253</v>
      </c>
      <c r="B144" s="12" t="s">
        <v>52</v>
      </c>
      <c r="C144" s="13" t="s">
        <v>213</v>
      </c>
      <c r="D144" s="12" t="s">
        <v>54</v>
      </c>
      <c r="E144" s="10" t="s">
        <v>68</v>
      </c>
      <c r="F144" s="14"/>
      <c r="G144" s="15">
        <v>28000</v>
      </c>
      <c r="H144" s="21"/>
      <c r="I144" s="14">
        <f t="shared" si="2"/>
        <v>18.983050847457626</v>
      </c>
      <c r="J144" s="14">
        <f>Tabla13[[#This Row],[Precio final en USD]]*$P$4</f>
        <v>30.372881355932204</v>
      </c>
    </row>
    <row r="145" spans="1:11" x14ac:dyDescent="0.2">
      <c r="A145" s="11">
        <v>10254</v>
      </c>
      <c r="B145" s="12" t="s">
        <v>52</v>
      </c>
      <c r="C145" s="13" t="s">
        <v>214</v>
      </c>
      <c r="D145" s="12" t="s">
        <v>54</v>
      </c>
      <c r="F145" s="14"/>
      <c r="G145" s="15">
        <v>0</v>
      </c>
      <c r="I145" s="14">
        <f t="shared" si="2"/>
        <v>0</v>
      </c>
      <c r="J145" s="14">
        <f>Tabla13[[#This Row],[Precio final en USD]]*$P$4</f>
        <v>0</v>
      </c>
      <c r="K145" s="10" t="s">
        <v>215</v>
      </c>
    </row>
    <row r="146" spans="1:11" x14ac:dyDescent="0.2">
      <c r="A146" s="11">
        <v>10256</v>
      </c>
      <c r="B146" s="12" t="s">
        <v>52</v>
      </c>
      <c r="C146" s="13" t="s">
        <v>216</v>
      </c>
      <c r="D146" s="12" t="s">
        <v>54</v>
      </c>
      <c r="E146" s="10" t="s">
        <v>84</v>
      </c>
      <c r="F146" s="14"/>
      <c r="G146" s="15"/>
      <c r="H146" s="21">
        <v>25.76</v>
      </c>
      <c r="I146" s="14">
        <f t="shared" si="2"/>
        <v>29.95145762711865</v>
      </c>
      <c r="J146" s="14">
        <f>Tabla13[[#This Row],[Precio final en USD]]*$P$4</f>
        <v>47.922332203389843</v>
      </c>
    </row>
    <row r="147" spans="1:11" x14ac:dyDescent="0.2">
      <c r="A147" s="11">
        <v>10258</v>
      </c>
      <c r="B147" s="12" t="s">
        <v>52</v>
      </c>
      <c r="C147" s="13" t="s">
        <v>217</v>
      </c>
      <c r="D147" s="12" t="s">
        <v>54</v>
      </c>
      <c r="E147" s="10" t="s">
        <v>218</v>
      </c>
      <c r="F147" s="14"/>
      <c r="G147" s="15"/>
      <c r="H147" s="21">
        <v>149.75</v>
      </c>
      <c r="I147" s="14">
        <f t="shared" si="2"/>
        <v>174.11610169491527</v>
      </c>
      <c r="J147" s="14">
        <f>Tabla13[[#This Row],[Precio final en USD]]*$P$4</f>
        <v>278.58576271186445</v>
      </c>
    </row>
    <row r="148" spans="1:11" x14ac:dyDescent="0.2">
      <c r="A148" s="11">
        <v>10259</v>
      </c>
      <c r="B148" s="12" t="s">
        <v>52</v>
      </c>
      <c r="C148" s="13" t="s">
        <v>219</v>
      </c>
      <c r="D148" s="12" t="s">
        <v>54</v>
      </c>
      <c r="E148" s="10" t="s">
        <v>218</v>
      </c>
      <c r="F148" s="14"/>
      <c r="G148" s="15"/>
      <c r="H148" s="21">
        <v>131.11000000000001</v>
      </c>
      <c r="I148" s="14">
        <f t="shared" si="2"/>
        <v>152.4431525423729</v>
      </c>
      <c r="J148" s="14">
        <f>Tabla13[[#This Row],[Precio final en USD]]*$P$4</f>
        <v>243.90904406779666</v>
      </c>
    </row>
    <row r="149" spans="1:11" x14ac:dyDescent="0.2">
      <c r="A149" s="11">
        <v>10262</v>
      </c>
      <c r="B149" s="12" t="s">
        <v>52</v>
      </c>
      <c r="C149" s="13" t="s">
        <v>220</v>
      </c>
      <c r="D149" s="12" t="s">
        <v>54</v>
      </c>
      <c r="E149" s="10" t="s">
        <v>68</v>
      </c>
      <c r="F149" s="14"/>
      <c r="G149" s="15">
        <v>43000</v>
      </c>
      <c r="H149" s="21"/>
      <c r="I149" s="14">
        <f t="shared" si="2"/>
        <v>29.152542372881356</v>
      </c>
      <c r="J149" s="14">
        <f>Tabla13[[#This Row],[Precio final en USD]]*$P$4</f>
        <v>46.644067796610173</v>
      </c>
    </row>
    <row r="150" spans="1:11" x14ac:dyDescent="0.2">
      <c r="A150" s="11">
        <v>10263</v>
      </c>
      <c r="B150" s="12" t="s">
        <v>52</v>
      </c>
      <c r="C150" s="13" t="s">
        <v>221</v>
      </c>
      <c r="D150" s="12" t="s">
        <v>54</v>
      </c>
      <c r="E150" s="10" t="s">
        <v>68</v>
      </c>
      <c r="F150" s="14"/>
      <c r="G150" s="15">
        <v>57000</v>
      </c>
      <c r="H150" s="21"/>
      <c r="I150" s="14">
        <f t="shared" si="2"/>
        <v>38.644067796610166</v>
      </c>
      <c r="J150" s="14">
        <f>Tabla13[[#This Row],[Precio final en USD]]*$P$4</f>
        <v>61.83050847457627</v>
      </c>
    </row>
    <row r="151" spans="1:11" x14ac:dyDescent="0.2">
      <c r="A151" s="11">
        <v>10264</v>
      </c>
      <c r="B151" s="12" t="s">
        <v>52</v>
      </c>
      <c r="C151" s="13" t="s">
        <v>222</v>
      </c>
      <c r="D151" s="12" t="s">
        <v>54</v>
      </c>
      <c r="E151" s="10" t="s">
        <v>68</v>
      </c>
      <c r="F151" s="14"/>
      <c r="G151" s="15">
        <v>62000</v>
      </c>
      <c r="H151" s="21"/>
      <c r="I151" s="14">
        <f t="shared" si="2"/>
        <v>42.033898305084747</v>
      </c>
      <c r="J151" s="14">
        <f>Tabla13[[#This Row],[Precio final en USD]]*$P$4</f>
        <v>67.254237288135599</v>
      </c>
    </row>
    <row r="152" spans="1:11" x14ac:dyDescent="0.2">
      <c r="A152" s="11">
        <v>10265</v>
      </c>
      <c r="B152" s="12" t="s">
        <v>52</v>
      </c>
      <c r="C152" s="13" t="s">
        <v>223</v>
      </c>
      <c r="D152" s="12" t="s">
        <v>54</v>
      </c>
      <c r="E152" s="10" t="s">
        <v>68</v>
      </c>
      <c r="F152" s="14"/>
      <c r="G152" s="15">
        <v>43000</v>
      </c>
      <c r="H152" s="21"/>
      <c r="I152" s="14">
        <f t="shared" si="2"/>
        <v>29.152542372881356</v>
      </c>
      <c r="J152" s="14">
        <f>Tabla13[[#This Row],[Precio final en USD]]*$P$4</f>
        <v>46.644067796610173</v>
      </c>
    </row>
    <row r="153" spans="1:11" x14ac:dyDescent="0.2">
      <c r="A153" s="11">
        <v>10266</v>
      </c>
      <c r="B153" s="12" t="s">
        <v>52</v>
      </c>
      <c r="C153" s="13" t="s">
        <v>224</v>
      </c>
      <c r="D153" s="12" t="s">
        <v>54</v>
      </c>
      <c r="E153" s="10" t="s">
        <v>68</v>
      </c>
      <c r="F153" s="14"/>
      <c r="G153" s="15">
        <v>75000</v>
      </c>
      <c r="H153" s="21"/>
      <c r="I153" s="14">
        <f t="shared" si="2"/>
        <v>50.847457627118644</v>
      </c>
      <c r="J153" s="14">
        <f>Tabla13[[#This Row],[Precio final en USD]]*$P$4</f>
        <v>81.355932203389841</v>
      </c>
    </row>
    <row r="154" spans="1:11" x14ac:dyDescent="0.2">
      <c r="A154" s="11">
        <v>10267</v>
      </c>
      <c r="B154" s="12" t="s">
        <v>52</v>
      </c>
      <c r="C154" s="13" t="s">
        <v>21</v>
      </c>
      <c r="D154" s="12" t="s">
        <v>54</v>
      </c>
      <c r="E154" s="10" t="s">
        <v>68</v>
      </c>
      <c r="F154" s="14"/>
      <c r="G154" s="15">
        <v>18000</v>
      </c>
      <c r="H154" s="21"/>
      <c r="I154" s="14">
        <f t="shared" si="2"/>
        <v>12.203389830508474</v>
      </c>
      <c r="J154" s="14">
        <f>Tabla13[[#This Row],[Precio final en USD]]*$P$4</f>
        <v>19.525423728813561</v>
      </c>
    </row>
    <row r="155" spans="1:11" x14ac:dyDescent="0.2">
      <c r="A155" s="11">
        <v>10269</v>
      </c>
      <c r="B155" s="12" t="s">
        <v>52</v>
      </c>
      <c r="C155" s="13" t="s">
        <v>225</v>
      </c>
      <c r="D155" s="12" t="s">
        <v>54</v>
      </c>
      <c r="E155" s="10" t="s">
        <v>59</v>
      </c>
      <c r="F155" s="14">
        <v>0</v>
      </c>
      <c r="G155" s="15"/>
      <c r="H155" s="21"/>
      <c r="I155" s="14">
        <f t="shared" si="2"/>
        <v>0</v>
      </c>
      <c r="J155" s="14">
        <f>Tabla13[[#This Row],[Precio final en USD]]*$P$4</f>
        <v>0</v>
      </c>
      <c r="K155" s="10" t="s">
        <v>60</v>
      </c>
    </row>
    <row r="156" spans="1:11" x14ac:dyDescent="0.2">
      <c r="A156" s="11">
        <v>10270</v>
      </c>
      <c r="B156" s="12" t="s">
        <v>52</v>
      </c>
      <c r="C156" s="13" t="s">
        <v>226</v>
      </c>
      <c r="D156" s="12" t="s">
        <v>54</v>
      </c>
      <c r="E156" s="25" t="s">
        <v>227</v>
      </c>
      <c r="F156" s="14"/>
      <c r="G156" s="15">
        <v>9135</v>
      </c>
      <c r="H156" s="21"/>
      <c r="I156" s="14">
        <f t="shared" si="2"/>
        <v>6.1932203389830507</v>
      </c>
      <c r="J156" s="14">
        <f>Tabla13[[#This Row],[Precio final en USD]]*$P$4</f>
        <v>9.9091525423728815</v>
      </c>
    </row>
    <row r="157" spans="1:11" x14ac:dyDescent="0.2">
      <c r="A157" s="11">
        <v>10281</v>
      </c>
      <c r="B157" s="12" t="s">
        <v>52</v>
      </c>
      <c r="C157" s="13" t="s">
        <v>228</v>
      </c>
      <c r="D157" s="12" t="s">
        <v>54</v>
      </c>
      <c r="E157" s="10" t="s">
        <v>229</v>
      </c>
      <c r="F157" s="14"/>
      <c r="G157" s="15">
        <v>221000</v>
      </c>
      <c r="H157" s="21"/>
      <c r="I157" s="14">
        <f t="shared" si="2"/>
        <v>149.83050847457628</v>
      </c>
      <c r="J157" s="14">
        <f>Tabla13[[#This Row],[Precio final en USD]]*$P$4</f>
        <v>239.72881355932205</v>
      </c>
    </row>
    <row r="158" spans="1:11" x14ac:dyDescent="0.2">
      <c r="A158" s="11">
        <v>10283</v>
      </c>
      <c r="B158" s="12" t="s">
        <v>52</v>
      </c>
      <c r="C158" s="13" t="s">
        <v>230</v>
      </c>
      <c r="D158" s="12" t="s">
        <v>54</v>
      </c>
      <c r="E158" s="10" t="s">
        <v>231</v>
      </c>
      <c r="F158" s="14"/>
      <c r="G158" s="15">
        <v>20000</v>
      </c>
      <c r="H158" s="21"/>
      <c r="I158" s="14">
        <f t="shared" si="2"/>
        <v>13.559322033898304</v>
      </c>
      <c r="J158" s="14">
        <f>Tabla13[[#This Row],[Precio final en USD]]*$P$4</f>
        <v>21.694915254237287</v>
      </c>
    </row>
    <row r="159" spans="1:11" x14ac:dyDescent="0.2">
      <c r="A159" s="11">
        <v>10284</v>
      </c>
      <c r="B159" s="12" t="s">
        <v>52</v>
      </c>
      <c r="C159" s="13" t="s">
        <v>232</v>
      </c>
      <c r="D159" s="12" t="s">
        <v>54</v>
      </c>
      <c r="E159" s="10" t="s">
        <v>149</v>
      </c>
      <c r="F159" s="14">
        <v>55</v>
      </c>
      <c r="G159" s="15"/>
      <c r="H159" s="21"/>
      <c r="I159" s="14">
        <f t="shared" si="2"/>
        <v>55</v>
      </c>
      <c r="J159" s="14">
        <f>Tabla13[[#This Row],[Precio final en USD]]*$P$4</f>
        <v>88</v>
      </c>
    </row>
    <row r="160" spans="1:11" x14ac:dyDescent="0.2">
      <c r="A160" s="11">
        <v>10286</v>
      </c>
      <c r="B160" s="12" t="s">
        <v>52</v>
      </c>
      <c r="C160" s="13" t="s">
        <v>233</v>
      </c>
      <c r="D160" s="12" t="s">
        <v>54</v>
      </c>
      <c r="E160" s="10" t="s">
        <v>234</v>
      </c>
      <c r="F160" s="14"/>
      <c r="G160" s="15">
        <v>40000</v>
      </c>
      <c r="H160" s="21"/>
      <c r="I160" s="14">
        <f t="shared" si="2"/>
        <v>27.118644067796609</v>
      </c>
      <c r="J160" s="14">
        <f>Tabla13[[#This Row],[Precio final en USD]]*$P$4</f>
        <v>43.389830508474574</v>
      </c>
    </row>
    <row r="161" spans="1:11" x14ac:dyDescent="0.2">
      <c r="A161" s="11">
        <v>10296</v>
      </c>
      <c r="B161" s="12" t="s">
        <v>52</v>
      </c>
      <c r="C161" s="13" t="s">
        <v>235</v>
      </c>
      <c r="D161" s="12" t="s">
        <v>54</v>
      </c>
      <c r="E161" s="10" t="s">
        <v>68</v>
      </c>
      <c r="F161" s="14"/>
      <c r="G161" s="15">
        <v>9000</v>
      </c>
      <c r="H161" s="21"/>
      <c r="I161" s="14">
        <f t="shared" si="2"/>
        <v>6.101694915254237</v>
      </c>
      <c r="J161" s="14">
        <f>Tabla13[[#This Row],[Precio final en USD]]*$P$4</f>
        <v>9.7627118644067803</v>
      </c>
    </row>
    <row r="162" spans="1:11" x14ac:dyDescent="0.2">
      <c r="A162" s="11">
        <v>10298</v>
      </c>
      <c r="B162" s="12" t="s">
        <v>52</v>
      </c>
      <c r="C162" s="13" t="s">
        <v>236</v>
      </c>
      <c r="D162" s="12" t="s">
        <v>54</v>
      </c>
      <c r="E162" s="10" t="s">
        <v>229</v>
      </c>
      <c r="F162" s="14"/>
      <c r="G162" s="15">
        <v>44000</v>
      </c>
      <c r="H162" s="21"/>
      <c r="I162" s="14">
        <f t="shared" si="2"/>
        <v>29.83050847457627</v>
      </c>
      <c r="J162" s="14">
        <f>Tabla13[[#This Row],[Precio final en USD]]*$P$4</f>
        <v>47.728813559322035</v>
      </c>
    </row>
    <row r="163" spans="1:11" x14ac:dyDescent="0.2">
      <c r="A163" s="11">
        <v>10299</v>
      </c>
      <c r="B163" s="12" t="s">
        <v>52</v>
      </c>
      <c r="C163" s="13" t="s">
        <v>237</v>
      </c>
      <c r="D163" s="12" t="s">
        <v>54</v>
      </c>
      <c r="E163" s="10" t="s">
        <v>89</v>
      </c>
      <c r="F163" s="14"/>
      <c r="G163" s="15">
        <v>434996</v>
      </c>
      <c r="H163" s="21"/>
      <c r="I163" s="14">
        <f t="shared" si="2"/>
        <v>294.91254237288138</v>
      </c>
      <c r="J163" s="14">
        <f>Tabla13[[#This Row],[Precio final en USD]]*$P$4</f>
        <v>471.86006779661022</v>
      </c>
    </row>
    <row r="164" spans="1:11" x14ac:dyDescent="0.2">
      <c r="A164" s="11">
        <v>10300</v>
      </c>
      <c r="B164" s="12" t="s">
        <v>52</v>
      </c>
      <c r="C164" s="13" t="s">
        <v>238</v>
      </c>
      <c r="D164" s="12" t="s">
        <v>54</v>
      </c>
      <c r="E164" s="10" t="s">
        <v>68</v>
      </c>
      <c r="F164" s="14"/>
      <c r="G164" s="15">
        <v>62000</v>
      </c>
      <c r="H164" s="21"/>
      <c r="I164" s="14">
        <f t="shared" si="2"/>
        <v>42.033898305084747</v>
      </c>
      <c r="J164" s="14">
        <f>Tabla13[[#This Row],[Precio final en USD]]*$P$4</f>
        <v>67.254237288135599</v>
      </c>
    </row>
    <row r="165" spans="1:11" x14ac:dyDescent="0.2">
      <c r="A165" s="11">
        <v>10301</v>
      </c>
      <c r="B165" s="12" t="s">
        <v>52</v>
      </c>
      <c r="C165" s="13" t="s">
        <v>239</v>
      </c>
      <c r="D165" s="12" t="s">
        <v>54</v>
      </c>
      <c r="E165" s="10" t="s">
        <v>68</v>
      </c>
      <c r="F165" s="14"/>
      <c r="G165" s="15">
        <v>52000</v>
      </c>
      <c r="H165" s="21"/>
      <c r="I165" s="14">
        <f t="shared" si="2"/>
        <v>35.254237288135592</v>
      </c>
      <c r="J165" s="14">
        <f>Tabla13[[#This Row],[Precio final en USD]]*$P$4</f>
        <v>56.406779661016948</v>
      </c>
    </row>
    <row r="166" spans="1:11" x14ac:dyDescent="0.2">
      <c r="A166" s="11">
        <v>10302</v>
      </c>
      <c r="B166" s="12" t="s">
        <v>52</v>
      </c>
      <c r="C166" s="13" t="s">
        <v>240</v>
      </c>
      <c r="D166" s="12" t="s">
        <v>54</v>
      </c>
      <c r="E166" s="10" t="s">
        <v>68</v>
      </c>
      <c r="F166" s="14"/>
      <c r="G166" s="15">
        <v>96000</v>
      </c>
      <c r="H166" s="21"/>
      <c r="I166" s="14">
        <f t="shared" si="2"/>
        <v>65.084745762711862</v>
      </c>
      <c r="J166" s="14">
        <f>Tabla13[[#This Row],[Precio final en USD]]*$P$4</f>
        <v>104.13559322033899</v>
      </c>
    </row>
    <row r="167" spans="1:11" x14ac:dyDescent="0.2">
      <c r="A167" s="11">
        <v>10303</v>
      </c>
      <c r="B167" s="12" t="s">
        <v>52</v>
      </c>
      <c r="C167" s="13" t="s">
        <v>241</v>
      </c>
      <c r="D167" s="12" t="s">
        <v>54</v>
      </c>
      <c r="E167" s="10" t="s">
        <v>68</v>
      </c>
      <c r="F167" s="14"/>
      <c r="G167" s="15">
        <v>122000</v>
      </c>
      <c r="H167" s="21"/>
      <c r="I167" s="14">
        <f t="shared" si="2"/>
        <v>82.711864406779668</v>
      </c>
      <c r="J167" s="14">
        <f>Tabla13[[#This Row],[Precio final en USD]]*$P$4</f>
        <v>132.33898305084747</v>
      </c>
    </row>
    <row r="168" spans="1:11" x14ac:dyDescent="0.2">
      <c r="A168" s="11">
        <v>10304</v>
      </c>
      <c r="B168" s="12" t="s">
        <v>52</v>
      </c>
      <c r="C168" s="13" t="s">
        <v>242</v>
      </c>
      <c r="D168" s="12" t="s">
        <v>54</v>
      </c>
      <c r="E168" s="10" t="s">
        <v>68</v>
      </c>
      <c r="F168" s="14"/>
      <c r="G168" s="15">
        <v>96000</v>
      </c>
      <c r="H168" s="21"/>
      <c r="I168" s="14">
        <f t="shared" si="2"/>
        <v>65.084745762711862</v>
      </c>
      <c r="J168" s="14">
        <f>Tabla13[[#This Row],[Precio final en USD]]*$P$4</f>
        <v>104.13559322033899</v>
      </c>
    </row>
    <row r="169" spans="1:11" x14ac:dyDescent="0.2">
      <c r="A169" s="11">
        <v>10305</v>
      </c>
      <c r="B169" s="12" t="s">
        <v>52</v>
      </c>
      <c r="C169" s="13" t="s">
        <v>243</v>
      </c>
      <c r="D169" s="12" t="s">
        <v>54</v>
      </c>
      <c r="E169" s="10" t="s">
        <v>68</v>
      </c>
      <c r="F169" s="14"/>
      <c r="G169" s="15">
        <v>117000</v>
      </c>
      <c r="H169" s="21"/>
      <c r="I169" s="14">
        <f t="shared" si="2"/>
        <v>79.322033898305079</v>
      </c>
      <c r="J169" s="14">
        <f>Tabla13[[#This Row],[Precio final en USD]]*$P$4</f>
        <v>126.91525423728814</v>
      </c>
    </row>
    <row r="170" spans="1:11" x14ac:dyDescent="0.2">
      <c r="A170" s="11">
        <v>10307</v>
      </c>
      <c r="B170" s="12" t="s">
        <v>52</v>
      </c>
      <c r="C170" s="13" t="s">
        <v>244</v>
      </c>
      <c r="D170" s="12" t="s">
        <v>54</v>
      </c>
      <c r="E170" s="10" t="s">
        <v>245</v>
      </c>
      <c r="F170" s="14">
        <v>20.86</v>
      </c>
      <c r="G170" s="15"/>
      <c r="H170" s="21"/>
      <c r="I170" s="14">
        <f t="shared" si="2"/>
        <v>20.86</v>
      </c>
      <c r="J170" s="14">
        <f>Tabla13[[#This Row],[Precio final en USD]]*$P$4</f>
        <v>33.375999999999998</v>
      </c>
    </row>
    <row r="171" spans="1:11" x14ac:dyDescent="0.2">
      <c r="A171" s="11">
        <v>10308</v>
      </c>
      <c r="B171" s="12" t="s">
        <v>52</v>
      </c>
      <c r="C171" s="13" t="s">
        <v>246</v>
      </c>
      <c r="D171" s="12" t="s">
        <v>54</v>
      </c>
      <c r="F171" s="14"/>
      <c r="G171" s="15">
        <v>0</v>
      </c>
      <c r="I171" s="14">
        <f t="shared" si="2"/>
        <v>0</v>
      </c>
      <c r="J171" s="14">
        <f>Tabla13[[#This Row],[Precio final en USD]]*$P$4</f>
        <v>0</v>
      </c>
      <c r="K171" s="10" t="s">
        <v>247</v>
      </c>
    </row>
    <row r="172" spans="1:11" x14ac:dyDescent="0.2">
      <c r="A172" s="11">
        <v>10309</v>
      </c>
      <c r="B172" s="12" t="s">
        <v>52</v>
      </c>
      <c r="C172" s="13" t="s">
        <v>248</v>
      </c>
      <c r="D172" s="12" t="s">
        <v>54</v>
      </c>
      <c r="E172" s="10" t="s">
        <v>68</v>
      </c>
      <c r="F172" s="14"/>
      <c r="G172" s="15">
        <v>20000</v>
      </c>
      <c r="H172" s="21"/>
      <c r="I172" s="14">
        <f t="shared" si="2"/>
        <v>13.559322033898304</v>
      </c>
      <c r="J172" s="14">
        <f>Tabla13[[#This Row],[Precio final en USD]]*$P$4</f>
        <v>21.694915254237287</v>
      </c>
    </row>
    <row r="173" spans="1:11" x14ac:dyDescent="0.2">
      <c r="A173" s="11">
        <v>10313</v>
      </c>
      <c r="B173" s="12" t="s">
        <v>52</v>
      </c>
      <c r="C173" s="13" t="s">
        <v>249</v>
      </c>
      <c r="D173" s="12" t="s">
        <v>54</v>
      </c>
      <c r="E173" s="10" t="s">
        <v>89</v>
      </c>
      <c r="F173" s="14"/>
      <c r="G173" s="15"/>
      <c r="H173" s="21">
        <v>46</v>
      </c>
      <c r="I173" s="14">
        <f t="shared" si="2"/>
        <v>53.484745762711867</v>
      </c>
      <c r="J173" s="14">
        <f>Tabla13[[#This Row],[Precio final en USD]]*$P$4</f>
        <v>85.575593220338988</v>
      </c>
    </row>
    <row r="174" spans="1:11" x14ac:dyDescent="0.2">
      <c r="A174" s="11">
        <v>10314</v>
      </c>
      <c r="B174" s="12" t="s">
        <v>52</v>
      </c>
      <c r="C174" s="13" t="s">
        <v>250</v>
      </c>
      <c r="D174" s="12" t="s">
        <v>54</v>
      </c>
      <c r="E174" s="10" t="s">
        <v>68</v>
      </c>
      <c r="F174" s="14"/>
      <c r="G174" s="15">
        <v>30000</v>
      </c>
      <c r="H174" s="21"/>
      <c r="I174" s="14">
        <f t="shared" si="2"/>
        <v>20.338983050847457</v>
      </c>
      <c r="J174" s="14">
        <f>Tabla13[[#This Row],[Precio final en USD]]*$P$4</f>
        <v>32.542372881355931</v>
      </c>
    </row>
    <row r="175" spans="1:11" x14ac:dyDescent="0.2">
      <c r="A175" s="11">
        <v>10315</v>
      </c>
      <c r="B175" s="12" t="s">
        <v>52</v>
      </c>
      <c r="C175" s="13" t="s">
        <v>251</v>
      </c>
      <c r="D175" s="12" t="s">
        <v>54</v>
      </c>
      <c r="E175" s="10" t="s">
        <v>68</v>
      </c>
      <c r="F175" s="14"/>
      <c r="G175" s="15">
        <v>62000</v>
      </c>
      <c r="H175" s="21"/>
      <c r="I175" s="14">
        <f t="shared" si="2"/>
        <v>42.033898305084747</v>
      </c>
      <c r="J175" s="14">
        <f>Tabla13[[#This Row],[Precio final en USD]]*$P$4</f>
        <v>67.254237288135599</v>
      </c>
    </row>
    <row r="176" spans="1:11" x14ac:dyDescent="0.2">
      <c r="A176" s="11">
        <v>10316</v>
      </c>
      <c r="B176" s="12" t="s">
        <v>52</v>
      </c>
      <c r="C176" s="13" t="s">
        <v>252</v>
      </c>
      <c r="D176" s="12" t="s">
        <v>54</v>
      </c>
      <c r="E176" s="10" t="s">
        <v>68</v>
      </c>
      <c r="F176" s="14"/>
      <c r="G176" s="15">
        <v>87000</v>
      </c>
      <c r="H176" s="21"/>
      <c r="I176" s="14">
        <f t="shared" si="2"/>
        <v>58.983050847457626</v>
      </c>
      <c r="J176" s="14">
        <f>Tabla13[[#This Row],[Precio final en USD]]*$P$4</f>
        <v>94.372881355932208</v>
      </c>
    </row>
    <row r="177" spans="1:15" x14ac:dyDescent="0.2">
      <c r="A177" s="11">
        <v>10320</v>
      </c>
      <c r="B177" s="12" t="s">
        <v>52</v>
      </c>
      <c r="C177" s="13" t="s">
        <v>12</v>
      </c>
      <c r="D177" s="12" t="s">
        <v>54</v>
      </c>
      <c r="E177" s="10" t="s">
        <v>55</v>
      </c>
      <c r="F177" s="14">
        <v>248.89</v>
      </c>
      <c r="G177" s="15"/>
      <c r="H177" s="21"/>
      <c r="I177" s="14">
        <f t="shared" si="2"/>
        <v>248.89</v>
      </c>
      <c r="J177" s="14">
        <f>Tabla13[[#This Row],[Precio final en USD]]*$P$4</f>
        <v>398.22399999999999</v>
      </c>
    </row>
    <row r="178" spans="1:15" x14ac:dyDescent="0.2">
      <c r="A178" s="11">
        <v>10321</v>
      </c>
      <c r="B178" s="12" t="s">
        <v>52</v>
      </c>
      <c r="C178" s="13" t="s">
        <v>253</v>
      </c>
      <c r="D178" s="12" t="s">
        <v>54</v>
      </c>
      <c r="E178" s="10" t="s">
        <v>149</v>
      </c>
      <c r="F178" s="14"/>
      <c r="G178" s="15">
        <v>93000</v>
      </c>
      <c r="H178" s="21"/>
      <c r="I178" s="14">
        <f t="shared" si="2"/>
        <v>63.050847457627121</v>
      </c>
      <c r="J178" s="14">
        <f>Tabla13[[#This Row],[Precio final en USD]]*$P$4</f>
        <v>100.88135593220341</v>
      </c>
    </row>
    <row r="179" spans="1:15" x14ac:dyDescent="0.2">
      <c r="A179" s="11">
        <v>10323</v>
      </c>
      <c r="B179" s="12" t="s">
        <v>52</v>
      </c>
      <c r="C179" s="13" t="s">
        <v>254</v>
      </c>
      <c r="D179" s="12" t="s">
        <v>54</v>
      </c>
      <c r="E179" s="10" t="s">
        <v>255</v>
      </c>
      <c r="F179" s="14">
        <v>112.56</v>
      </c>
      <c r="G179" s="15"/>
      <c r="H179" s="21"/>
      <c r="I179" s="14">
        <f t="shared" si="2"/>
        <v>112.56</v>
      </c>
      <c r="J179" s="14">
        <f>Tabla13[[#This Row],[Precio final en USD]]*$P$4</f>
        <v>180.096</v>
      </c>
    </row>
    <row r="180" spans="1:15" x14ac:dyDescent="0.2">
      <c r="A180" s="11">
        <v>10324</v>
      </c>
      <c r="B180" s="12" t="s">
        <v>52</v>
      </c>
      <c r="C180" s="13" t="s">
        <v>256</v>
      </c>
      <c r="D180" s="12" t="s">
        <v>54</v>
      </c>
      <c r="E180" s="10" t="s">
        <v>84</v>
      </c>
      <c r="F180" s="14"/>
      <c r="G180" s="15"/>
      <c r="H180" s="21">
        <v>10.92</v>
      </c>
      <c r="I180" s="14">
        <f t="shared" si="2"/>
        <v>12.696813559322035</v>
      </c>
      <c r="J180" s="14">
        <f>Tabla13[[#This Row],[Precio final en USD]]*$P$4</f>
        <v>20.314901694915257</v>
      </c>
    </row>
    <row r="181" spans="1:15" x14ac:dyDescent="0.2">
      <c r="A181" s="11">
        <v>10325</v>
      </c>
      <c r="B181" s="12" t="s">
        <v>52</v>
      </c>
      <c r="C181" s="13" t="s">
        <v>257</v>
      </c>
      <c r="D181" s="12" t="s">
        <v>54</v>
      </c>
      <c r="E181" s="10" t="s">
        <v>84</v>
      </c>
      <c r="F181" s="14"/>
      <c r="G181" s="15"/>
      <c r="H181" s="21">
        <v>22.96</v>
      </c>
      <c r="I181" s="14">
        <f t="shared" si="2"/>
        <v>26.695864406779663</v>
      </c>
      <c r="J181" s="14">
        <f>Tabla13[[#This Row],[Precio final en USD]]*$P$4</f>
        <v>42.713383050847462</v>
      </c>
    </row>
    <row r="182" spans="1:15" x14ac:dyDescent="0.2">
      <c r="A182" s="11">
        <v>10327</v>
      </c>
      <c r="B182" s="12" t="s">
        <v>52</v>
      </c>
      <c r="C182" s="13" t="s">
        <v>258</v>
      </c>
      <c r="D182" s="12" t="s">
        <v>54</v>
      </c>
      <c r="E182" s="10" t="s">
        <v>84</v>
      </c>
      <c r="F182" s="14"/>
      <c r="G182" s="15"/>
      <c r="H182" s="21">
        <v>12.53</v>
      </c>
      <c r="I182" s="14">
        <f t="shared" si="2"/>
        <v>14.568779661016949</v>
      </c>
      <c r="J182" s="14">
        <f>Tabla13[[#This Row],[Precio final en USD]]*$P$4</f>
        <v>23.310047457627121</v>
      </c>
    </row>
    <row r="183" spans="1:15" x14ac:dyDescent="0.2">
      <c r="A183" s="11">
        <v>10328</v>
      </c>
      <c r="B183" s="12" t="s">
        <v>52</v>
      </c>
      <c r="C183" s="13" t="s">
        <v>259</v>
      </c>
      <c r="D183" s="12" t="s">
        <v>54</v>
      </c>
      <c r="E183" s="10" t="s">
        <v>84</v>
      </c>
      <c r="F183" s="14"/>
      <c r="G183" s="15"/>
      <c r="H183" s="21">
        <v>10.01</v>
      </c>
      <c r="I183" s="14">
        <f t="shared" si="2"/>
        <v>11.638745762711865</v>
      </c>
      <c r="J183" s="14">
        <f>Tabla13[[#This Row],[Precio final en USD]]*$P$4</f>
        <v>18.621993220338986</v>
      </c>
      <c r="O183" s="21"/>
    </row>
    <row r="184" spans="1:15" x14ac:dyDescent="0.2">
      <c r="A184" s="11">
        <v>10330</v>
      </c>
      <c r="B184" s="12" t="s">
        <v>52</v>
      </c>
      <c r="C184" s="13" t="s">
        <v>260</v>
      </c>
      <c r="D184" s="12" t="s">
        <v>54</v>
      </c>
      <c r="E184" s="10" t="s">
        <v>84</v>
      </c>
      <c r="F184" s="14"/>
      <c r="G184" s="15"/>
      <c r="H184" s="21">
        <v>2.02</v>
      </c>
      <c r="I184" s="14">
        <f t="shared" si="2"/>
        <v>2.348677966101695</v>
      </c>
      <c r="J184" s="14">
        <f>Tabla13[[#This Row],[Precio final en USD]]*$P$4</f>
        <v>3.7578847457627123</v>
      </c>
    </row>
    <row r="185" spans="1:15" x14ac:dyDescent="0.2">
      <c r="A185" s="11">
        <v>10331</v>
      </c>
      <c r="B185" s="12" t="s">
        <v>52</v>
      </c>
      <c r="C185" s="13" t="s">
        <v>261</v>
      </c>
      <c r="D185" s="12" t="s">
        <v>54</v>
      </c>
      <c r="E185" s="10" t="s">
        <v>84</v>
      </c>
      <c r="F185" s="14"/>
      <c r="G185" s="15"/>
      <c r="H185" s="23">
        <v>0.94</v>
      </c>
      <c r="I185" s="14">
        <f t="shared" si="2"/>
        <v>1.0929491525423729</v>
      </c>
      <c r="J185" s="14">
        <f>Tabla13[[#This Row],[Precio final en USD]]*$P$4</f>
        <v>1.7487186440677966</v>
      </c>
    </row>
    <row r="186" spans="1:15" x14ac:dyDescent="0.2">
      <c r="A186" s="11">
        <v>10332</v>
      </c>
      <c r="B186" s="12" t="s">
        <v>52</v>
      </c>
      <c r="C186" s="13" t="s">
        <v>262</v>
      </c>
      <c r="D186" s="12" t="s">
        <v>54</v>
      </c>
      <c r="E186" s="10" t="s">
        <v>84</v>
      </c>
      <c r="F186" s="14"/>
      <c r="G186" s="15"/>
      <c r="H186" s="23">
        <v>0.32</v>
      </c>
      <c r="I186" s="14">
        <f t="shared" si="2"/>
        <v>0.37206779661016953</v>
      </c>
      <c r="J186" s="14">
        <f>Tabla13[[#This Row],[Precio final en USD]]*$P$4</f>
        <v>0.59530847457627123</v>
      </c>
    </row>
    <row r="187" spans="1:15" x14ac:dyDescent="0.2">
      <c r="A187" s="12">
        <v>10333</v>
      </c>
      <c r="B187" s="11" t="s">
        <v>52</v>
      </c>
      <c r="C187" s="13" t="s">
        <v>13</v>
      </c>
      <c r="D187" s="12" t="s">
        <v>58</v>
      </c>
      <c r="E187" s="10" t="s">
        <v>84</v>
      </c>
      <c r="F187" s="14"/>
      <c r="G187" s="15"/>
      <c r="H187" s="10">
        <v>16.78</v>
      </c>
      <c r="I187" s="14">
        <f t="shared" si="2"/>
        <v>19.510305084745767</v>
      </c>
      <c r="J187" s="14">
        <f>Tabla13[[#This Row],[Precio final en USD]]*$P$4</f>
        <v>31.216488135593227</v>
      </c>
    </row>
    <row r="188" spans="1:15" x14ac:dyDescent="0.2">
      <c r="A188" s="12">
        <v>10334</v>
      </c>
      <c r="B188" s="11" t="s">
        <v>52</v>
      </c>
      <c r="C188" s="13" t="s">
        <v>14</v>
      </c>
      <c r="D188" s="12" t="s">
        <v>58</v>
      </c>
      <c r="E188" s="10" t="s">
        <v>84</v>
      </c>
      <c r="F188" s="14"/>
      <c r="G188" s="15"/>
      <c r="H188" s="10">
        <v>13.92</v>
      </c>
      <c r="I188" s="14">
        <f t="shared" si="2"/>
        <v>16.184949152542373</v>
      </c>
      <c r="J188" s="14">
        <f>Tabla13[[#This Row],[Precio final en USD]]*$P$4</f>
        <v>25.895918644067798</v>
      </c>
    </row>
    <row r="189" spans="1:15" x14ac:dyDescent="0.2">
      <c r="A189" s="11">
        <v>10335</v>
      </c>
      <c r="B189" s="12" t="s">
        <v>52</v>
      </c>
      <c r="C189" s="13" t="s">
        <v>263</v>
      </c>
      <c r="D189" s="12" t="s">
        <v>54</v>
      </c>
      <c r="E189" s="10" t="s">
        <v>84</v>
      </c>
      <c r="F189" s="14"/>
      <c r="G189" s="15"/>
      <c r="H189" s="23">
        <v>17.62</v>
      </c>
      <c r="I189" s="14">
        <f t="shared" si="2"/>
        <v>20.48698305084746</v>
      </c>
      <c r="J189" s="14">
        <f>Tabla13[[#This Row],[Precio final en USD]]*$P$4</f>
        <v>32.77917288135594</v>
      </c>
    </row>
    <row r="190" spans="1:15" x14ac:dyDescent="0.2">
      <c r="A190" s="11">
        <v>10336</v>
      </c>
      <c r="B190" s="12" t="s">
        <v>52</v>
      </c>
      <c r="C190" s="13" t="s">
        <v>264</v>
      </c>
      <c r="D190" s="12" t="s">
        <v>54</v>
      </c>
      <c r="E190" s="10" t="s">
        <v>84</v>
      </c>
      <c r="F190" s="14"/>
      <c r="G190" s="15"/>
      <c r="H190" s="23">
        <v>5.44</v>
      </c>
      <c r="I190" s="14">
        <f t="shared" si="2"/>
        <v>6.3251525423728827</v>
      </c>
      <c r="J190" s="14">
        <f>Tabla13[[#This Row],[Precio final en USD]]*$P$4</f>
        <v>10.120244067796612</v>
      </c>
    </row>
    <row r="191" spans="1:15" x14ac:dyDescent="0.2">
      <c r="A191" s="11">
        <v>10338</v>
      </c>
      <c r="B191" s="12" t="s">
        <v>52</v>
      </c>
      <c r="C191" s="13" t="s">
        <v>265</v>
      </c>
      <c r="D191" s="12" t="s">
        <v>54</v>
      </c>
      <c r="E191" s="10" t="s">
        <v>84</v>
      </c>
      <c r="F191" s="14"/>
      <c r="G191" s="15"/>
      <c r="H191" s="23">
        <v>18.64</v>
      </c>
      <c r="I191" s="14">
        <f t="shared" si="2"/>
        <v>21.672949152542376</v>
      </c>
      <c r="J191" s="14">
        <f>Tabla13[[#This Row],[Precio final en USD]]*$P$4</f>
        <v>34.676718644067805</v>
      </c>
    </row>
    <row r="192" spans="1:15" x14ac:dyDescent="0.2">
      <c r="A192" s="12">
        <v>10340</v>
      </c>
      <c r="B192" s="11" t="s">
        <v>52</v>
      </c>
      <c r="C192" s="13" t="s">
        <v>34</v>
      </c>
      <c r="D192" s="12" t="s">
        <v>58</v>
      </c>
      <c r="E192" s="10" t="s">
        <v>84</v>
      </c>
      <c r="F192" s="14">
        <v>5</v>
      </c>
      <c r="G192" s="15"/>
      <c r="I192" s="14">
        <f t="shared" si="2"/>
        <v>5</v>
      </c>
      <c r="J192" s="14">
        <f>Tabla13[[#This Row],[Precio final en USD]]*$P$4</f>
        <v>8</v>
      </c>
    </row>
    <row r="193" spans="1:15" x14ac:dyDescent="0.2">
      <c r="A193" s="11">
        <v>10341</v>
      </c>
      <c r="B193" s="12" t="s">
        <v>52</v>
      </c>
      <c r="C193" s="13" t="s">
        <v>266</v>
      </c>
      <c r="D193" s="12" t="s">
        <v>54</v>
      </c>
      <c r="E193" s="10" t="s">
        <v>84</v>
      </c>
      <c r="F193" s="14"/>
      <c r="G193" s="15"/>
      <c r="H193" s="23">
        <v>5.53</v>
      </c>
      <c r="I193" s="14">
        <f t="shared" si="2"/>
        <v>6.4297966101694923</v>
      </c>
      <c r="J193" s="14">
        <f>Tabla13[[#This Row],[Precio final en USD]]*$P$4</f>
        <v>10.287674576271188</v>
      </c>
    </row>
    <row r="194" spans="1:15" x14ac:dyDescent="0.2">
      <c r="A194" s="11">
        <v>10342</v>
      </c>
      <c r="B194" s="12" t="s">
        <v>52</v>
      </c>
      <c r="C194" s="13" t="s">
        <v>267</v>
      </c>
      <c r="D194" s="12" t="s">
        <v>54</v>
      </c>
      <c r="E194" s="10" t="s">
        <v>84</v>
      </c>
      <c r="F194" s="14"/>
      <c r="G194" s="15"/>
      <c r="H194" s="23">
        <v>163.18</v>
      </c>
      <c r="I194" s="14">
        <f t="shared" ref="I194:I257" si="3">IF(AND(F194="",G194="",H194=""),"",IF(F194&lt;&gt;"",F194,IF(G194&lt;&gt;"",G194/$O$1,IF(H194&lt;&gt;"",H194*$O$2,"ver"))))</f>
        <v>189.73132203389832</v>
      </c>
      <c r="J194" s="14">
        <f>Tabla13[[#This Row],[Precio final en USD]]*$P$4</f>
        <v>303.57011525423735</v>
      </c>
      <c r="N194" s="21"/>
      <c r="O194" s="21"/>
    </row>
    <row r="195" spans="1:15" x14ac:dyDescent="0.2">
      <c r="A195" s="11">
        <v>10343</v>
      </c>
      <c r="B195" s="12" t="s">
        <v>52</v>
      </c>
      <c r="C195" s="13" t="s">
        <v>268</v>
      </c>
      <c r="D195" s="12" t="s">
        <v>54</v>
      </c>
      <c r="E195" s="10" t="s">
        <v>68</v>
      </c>
      <c r="F195" s="14"/>
      <c r="G195" s="15">
        <v>55000</v>
      </c>
      <c r="I195" s="14">
        <f t="shared" si="3"/>
        <v>37.288135593220339</v>
      </c>
      <c r="J195" s="14">
        <f>Tabla13[[#This Row],[Precio final en USD]]*$P$4</f>
        <v>59.661016949152547</v>
      </c>
    </row>
    <row r="196" spans="1:15" x14ac:dyDescent="0.2">
      <c r="A196" s="11">
        <v>10344</v>
      </c>
      <c r="B196" s="12" t="s">
        <v>52</v>
      </c>
      <c r="C196" s="13" t="s">
        <v>269</v>
      </c>
      <c r="D196" s="12" t="s">
        <v>54</v>
      </c>
      <c r="E196" s="10" t="s">
        <v>68</v>
      </c>
      <c r="F196" s="14"/>
      <c r="G196" s="15">
        <v>67000</v>
      </c>
      <c r="I196" s="14">
        <f t="shared" si="3"/>
        <v>45.423728813559322</v>
      </c>
      <c r="J196" s="14">
        <f>Tabla13[[#This Row],[Precio final en USD]]*$P$4</f>
        <v>72.677966101694921</v>
      </c>
    </row>
    <row r="197" spans="1:15" x14ac:dyDescent="0.2">
      <c r="A197" s="11">
        <v>10345</v>
      </c>
      <c r="B197" s="12" t="s">
        <v>52</v>
      </c>
      <c r="C197" s="13" t="s">
        <v>270</v>
      </c>
      <c r="D197" s="12" t="s">
        <v>54</v>
      </c>
      <c r="E197" s="10" t="s">
        <v>68</v>
      </c>
      <c r="F197" s="14"/>
      <c r="G197" s="15">
        <v>42000</v>
      </c>
      <c r="I197" s="14">
        <f t="shared" si="3"/>
        <v>28.474576271186439</v>
      </c>
      <c r="J197" s="14">
        <f>Tabla13[[#This Row],[Precio final en USD]]*$P$4</f>
        <v>45.559322033898304</v>
      </c>
      <c r="N197" s="21"/>
    </row>
    <row r="198" spans="1:15" x14ac:dyDescent="0.2">
      <c r="A198" s="11">
        <v>10346</v>
      </c>
      <c r="B198" s="12" t="s">
        <v>52</v>
      </c>
      <c r="C198" s="13" t="s">
        <v>271</v>
      </c>
      <c r="D198" s="12" t="s">
        <v>54</v>
      </c>
      <c r="E198" s="10" t="s">
        <v>68</v>
      </c>
      <c r="F198" s="14"/>
      <c r="G198" s="15">
        <v>42000</v>
      </c>
      <c r="I198" s="14">
        <f t="shared" si="3"/>
        <v>28.474576271186439</v>
      </c>
      <c r="J198" s="14">
        <f>Tabla13[[#This Row],[Precio final en USD]]*$P$4</f>
        <v>45.559322033898304</v>
      </c>
    </row>
    <row r="199" spans="1:15" x14ac:dyDescent="0.2">
      <c r="A199" s="11">
        <v>10350</v>
      </c>
      <c r="B199" s="12" t="s">
        <v>52</v>
      </c>
      <c r="C199" s="13" t="s">
        <v>272</v>
      </c>
      <c r="D199" s="12" t="s">
        <v>54</v>
      </c>
      <c r="E199" s="10" t="s">
        <v>255</v>
      </c>
      <c r="F199" s="14">
        <v>180.9</v>
      </c>
      <c r="G199" s="15"/>
      <c r="I199" s="14">
        <f t="shared" si="3"/>
        <v>180.9</v>
      </c>
      <c r="J199" s="14">
        <f>Tabla13[[#This Row],[Precio final en USD]]*$P$4</f>
        <v>289.44</v>
      </c>
    </row>
    <row r="200" spans="1:15" x14ac:dyDescent="0.2">
      <c r="A200" s="12">
        <v>10351</v>
      </c>
      <c r="B200" s="11" t="s">
        <v>52</v>
      </c>
      <c r="C200" s="13" t="s">
        <v>273</v>
      </c>
      <c r="D200" s="12" t="s">
        <v>58</v>
      </c>
      <c r="E200" s="10" t="s">
        <v>59</v>
      </c>
      <c r="F200" s="14"/>
      <c r="G200" s="15"/>
      <c r="I200" s="14" t="str">
        <f t="shared" si="3"/>
        <v/>
      </c>
      <c r="J200" s="14" t="e">
        <f>Tabla13[[#This Row],[Precio final en USD]]*$P$4</f>
        <v>#VALUE!</v>
      </c>
      <c r="K200" s="10" t="s">
        <v>60</v>
      </c>
    </row>
    <row r="201" spans="1:15" x14ac:dyDescent="0.2">
      <c r="A201" s="12">
        <v>10352</v>
      </c>
      <c r="B201" s="11" t="s">
        <v>52</v>
      </c>
      <c r="C201" s="13" t="s">
        <v>274</v>
      </c>
      <c r="D201" s="12" t="s">
        <v>58</v>
      </c>
      <c r="E201" s="10" t="s">
        <v>59</v>
      </c>
      <c r="F201" s="14"/>
      <c r="G201" s="15"/>
      <c r="I201" s="14" t="str">
        <f t="shared" si="3"/>
        <v/>
      </c>
      <c r="J201" s="14" t="e">
        <f>Tabla13[[#This Row],[Precio final en USD]]*$P$4</f>
        <v>#VALUE!</v>
      </c>
      <c r="K201" s="10" t="s">
        <v>60</v>
      </c>
    </row>
    <row r="202" spans="1:15" x14ac:dyDescent="0.2">
      <c r="A202" s="11">
        <v>10357</v>
      </c>
      <c r="B202" s="12" t="s">
        <v>52</v>
      </c>
      <c r="C202" s="13" t="s">
        <v>275</v>
      </c>
      <c r="D202" s="12" t="s">
        <v>54</v>
      </c>
      <c r="E202" s="10" t="s">
        <v>89</v>
      </c>
      <c r="F202" s="14"/>
      <c r="G202" s="15">
        <v>200000</v>
      </c>
      <c r="I202" s="14">
        <f t="shared" si="3"/>
        <v>135.59322033898306</v>
      </c>
      <c r="J202" s="14">
        <f>Tabla13[[#This Row],[Precio final en USD]]*$P$4</f>
        <v>216.9491525423729</v>
      </c>
    </row>
    <row r="203" spans="1:15" x14ac:dyDescent="0.2">
      <c r="A203" s="11">
        <v>10359</v>
      </c>
      <c r="B203" s="12" t="s">
        <v>52</v>
      </c>
      <c r="C203" s="13" t="s">
        <v>276</v>
      </c>
      <c r="D203" s="12" t="s">
        <v>54</v>
      </c>
      <c r="E203" s="10" t="s">
        <v>68</v>
      </c>
      <c r="F203" s="14"/>
      <c r="G203" s="15">
        <v>11000</v>
      </c>
      <c r="I203" s="14">
        <f t="shared" si="3"/>
        <v>7.4576271186440675</v>
      </c>
      <c r="J203" s="14">
        <f>Tabla13[[#This Row],[Precio final en USD]]*$P$4</f>
        <v>11.932203389830509</v>
      </c>
    </row>
    <row r="204" spans="1:15" x14ac:dyDescent="0.2">
      <c r="A204" s="11">
        <v>10363</v>
      </c>
      <c r="B204" s="12" t="s">
        <v>52</v>
      </c>
      <c r="C204" s="13" t="s">
        <v>277</v>
      </c>
      <c r="D204" s="12" t="s">
        <v>54</v>
      </c>
      <c r="E204" s="10" t="s">
        <v>149</v>
      </c>
      <c r="F204" s="14"/>
      <c r="G204" s="15">
        <v>25000</v>
      </c>
      <c r="H204" s="23"/>
      <c r="I204" s="14">
        <f t="shared" si="3"/>
        <v>16.949152542372882</v>
      </c>
      <c r="J204" s="14">
        <f>Tabla13[[#This Row],[Precio final en USD]]*$P$4</f>
        <v>27.118644067796613</v>
      </c>
    </row>
    <row r="205" spans="1:15" x14ac:dyDescent="0.2">
      <c r="A205" s="11">
        <v>10366</v>
      </c>
      <c r="B205" s="12" t="s">
        <v>52</v>
      </c>
      <c r="C205" s="13" t="s">
        <v>278</v>
      </c>
      <c r="D205" s="12" t="s">
        <v>54</v>
      </c>
      <c r="E205" s="10" t="s">
        <v>68</v>
      </c>
      <c r="F205" s="14"/>
      <c r="G205" s="15">
        <v>62000</v>
      </c>
      <c r="I205" s="14">
        <f t="shared" si="3"/>
        <v>42.033898305084747</v>
      </c>
      <c r="J205" s="14">
        <f>Tabla13[[#This Row],[Precio final en USD]]*$P$4</f>
        <v>67.254237288135599</v>
      </c>
    </row>
    <row r="206" spans="1:15" x14ac:dyDescent="0.2">
      <c r="A206" s="11">
        <v>10367</v>
      </c>
      <c r="B206" s="12" t="s">
        <v>52</v>
      </c>
      <c r="C206" s="13" t="s">
        <v>279</v>
      </c>
      <c r="D206" s="12" t="s">
        <v>54</v>
      </c>
      <c r="E206" s="10" t="s">
        <v>68</v>
      </c>
      <c r="F206" s="14"/>
      <c r="G206" s="15">
        <v>81000</v>
      </c>
      <c r="I206" s="14">
        <f t="shared" si="3"/>
        <v>54.915254237288138</v>
      </c>
      <c r="J206" s="14">
        <f>Tabla13[[#This Row],[Precio final en USD]]*$P$4</f>
        <v>87.864406779661024</v>
      </c>
    </row>
    <row r="207" spans="1:15" x14ac:dyDescent="0.2">
      <c r="A207" s="11">
        <v>10368</v>
      </c>
      <c r="B207" s="12" t="s">
        <v>52</v>
      </c>
      <c r="C207" s="13" t="s">
        <v>280</v>
      </c>
      <c r="D207" s="12" t="s">
        <v>54</v>
      </c>
      <c r="E207" s="10" t="s">
        <v>68</v>
      </c>
      <c r="F207" s="14"/>
      <c r="G207" s="15">
        <v>62000</v>
      </c>
      <c r="I207" s="14">
        <f t="shared" si="3"/>
        <v>42.033898305084747</v>
      </c>
      <c r="J207" s="14">
        <f>Tabla13[[#This Row],[Precio final en USD]]*$P$4</f>
        <v>67.254237288135599</v>
      </c>
    </row>
    <row r="208" spans="1:15" x14ac:dyDescent="0.2">
      <c r="A208" s="11">
        <v>10369</v>
      </c>
      <c r="B208" s="12" t="s">
        <v>52</v>
      </c>
      <c r="C208" s="13" t="s">
        <v>281</v>
      </c>
      <c r="D208" s="12" t="s">
        <v>54</v>
      </c>
      <c r="E208" s="10" t="s">
        <v>68</v>
      </c>
      <c r="F208" s="14"/>
      <c r="G208" s="15">
        <v>87000</v>
      </c>
      <c r="I208" s="14">
        <f t="shared" si="3"/>
        <v>58.983050847457626</v>
      </c>
      <c r="J208" s="14">
        <f>Tabla13[[#This Row],[Precio final en USD]]*$P$4</f>
        <v>94.372881355932208</v>
      </c>
    </row>
    <row r="209" spans="1:11" x14ac:dyDescent="0.2">
      <c r="A209" s="11">
        <v>10370</v>
      </c>
      <c r="B209" s="12" t="s">
        <v>52</v>
      </c>
      <c r="C209" s="13" t="s">
        <v>282</v>
      </c>
      <c r="D209" s="12" t="s">
        <v>54</v>
      </c>
      <c r="E209" s="10" t="s">
        <v>68</v>
      </c>
      <c r="F209" s="14"/>
      <c r="G209" s="15">
        <v>36000</v>
      </c>
      <c r="I209" s="14">
        <f t="shared" si="3"/>
        <v>24.406779661016948</v>
      </c>
      <c r="J209" s="14">
        <f>Tabla13[[#This Row],[Precio final en USD]]*$P$4</f>
        <v>39.050847457627121</v>
      </c>
    </row>
    <row r="210" spans="1:11" x14ac:dyDescent="0.2">
      <c r="A210" s="12">
        <v>10373</v>
      </c>
      <c r="B210" s="11" t="s">
        <v>52</v>
      </c>
      <c r="C210" s="13" t="s">
        <v>283</v>
      </c>
      <c r="D210" s="12" t="s">
        <v>58</v>
      </c>
      <c r="E210" s="10" t="s">
        <v>84</v>
      </c>
      <c r="F210" s="14"/>
      <c r="G210" s="15"/>
      <c r="H210" s="10">
        <v>503.66</v>
      </c>
      <c r="I210" s="14">
        <f t="shared" si="3"/>
        <v>585.61145762711874</v>
      </c>
      <c r="J210" s="14">
        <f>Tabla13[[#This Row],[Precio final en USD]]*$P$4</f>
        <v>936.97833220338998</v>
      </c>
    </row>
    <row r="211" spans="1:11" x14ac:dyDescent="0.2">
      <c r="A211" s="11">
        <v>10374</v>
      </c>
      <c r="B211" s="12" t="s">
        <v>52</v>
      </c>
      <c r="C211" s="13" t="s">
        <v>284</v>
      </c>
      <c r="D211" s="12" t="s">
        <v>54</v>
      </c>
      <c r="E211" s="10" t="s">
        <v>285</v>
      </c>
      <c r="F211" s="14"/>
      <c r="G211" s="15">
        <v>800000</v>
      </c>
      <c r="I211" s="14">
        <f t="shared" si="3"/>
        <v>542.37288135593224</v>
      </c>
      <c r="J211" s="14">
        <f>Tabla13[[#This Row],[Precio final en USD]]*$P$4</f>
        <v>867.7966101694916</v>
      </c>
    </row>
    <row r="212" spans="1:11" x14ac:dyDescent="0.2">
      <c r="A212" s="11">
        <v>10376</v>
      </c>
      <c r="B212" s="12" t="s">
        <v>52</v>
      </c>
      <c r="C212" s="13" t="s">
        <v>286</v>
      </c>
      <c r="D212" s="12" t="s">
        <v>54</v>
      </c>
      <c r="E212" s="10" t="s">
        <v>287</v>
      </c>
      <c r="F212" s="14">
        <v>56.34</v>
      </c>
      <c r="G212" s="15"/>
      <c r="I212" s="14">
        <f t="shared" si="3"/>
        <v>56.34</v>
      </c>
      <c r="J212" s="14">
        <f>Tabla13[[#This Row],[Precio final en USD]]*$P$4</f>
        <v>90.144000000000005</v>
      </c>
    </row>
    <row r="213" spans="1:11" x14ac:dyDescent="0.2">
      <c r="A213" s="11">
        <v>10377</v>
      </c>
      <c r="B213" s="12" t="s">
        <v>52</v>
      </c>
      <c r="C213" s="13" t="s">
        <v>288</v>
      </c>
      <c r="D213" s="12" t="s">
        <v>54</v>
      </c>
      <c r="E213" s="10" t="s">
        <v>285</v>
      </c>
      <c r="F213" s="14"/>
      <c r="G213" s="15">
        <v>72497</v>
      </c>
      <c r="I213" s="14">
        <f t="shared" si="3"/>
        <v>49.15050847457627</v>
      </c>
      <c r="J213" s="14">
        <f>Tabla13[[#This Row],[Precio final en USD]]*$P$4</f>
        <v>78.640813559322041</v>
      </c>
    </row>
    <row r="214" spans="1:11" x14ac:dyDescent="0.2">
      <c r="A214" s="11">
        <v>10378</v>
      </c>
      <c r="B214" s="12" t="s">
        <v>52</v>
      </c>
      <c r="C214" s="13" t="s">
        <v>289</v>
      </c>
      <c r="D214" s="12" t="s">
        <v>54</v>
      </c>
      <c r="E214" s="10" t="s">
        <v>218</v>
      </c>
      <c r="F214" s="14"/>
      <c r="G214" s="15"/>
      <c r="H214" s="21">
        <v>67</v>
      </c>
      <c r="I214" s="14">
        <f t="shared" si="3"/>
        <v>77.90169491525424</v>
      </c>
      <c r="J214" s="14">
        <f>Tabla13[[#This Row],[Precio final en USD]]*$P$4</f>
        <v>124.64271186440679</v>
      </c>
    </row>
    <row r="215" spans="1:11" x14ac:dyDescent="0.2">
      <c r="A215" s="12">
        <v>10379</v>
      </c>
      <c r="B215" s="11" t="s">
        <v>52</v>
      </c>
      <c r="C215" s="13" t="s">
        <v>290</v>
      </c>
      <c r="D215" s="12" t="s">
        <v>58</v>
      </c>
      <c r="E215" s="10" t="s">
        <v>59</v>
      </c>
      <c r="F215" s="14"/>
      <c r="G215" s="15"/>
      <c r="I215" s="14" t="str">
        <f t="shared" si="3"/>
        <v/>
      </c>
      <c r="J215" s="14" t="e">
        <f>Tabla13[[#This Row],[Precio final en USD]]*$P$4</f>
        <v>#VALUE!</v>
      </c>
      <c r="K215" s="10" t="s">
        <v>60</v>
      </c>
    </row>
    <row r="216" spans="1:11" x14ac:dyDescent="0.2">
      <c r="A216" s="11">
        <v>10381</v>
      </c>
      <c r="B216" s="12" t="s">
        <v>52</v>
      </c>
      <c r="C216" s="13" t="s">
        <v>291</v>
      </c>
      <c r="D216" s="12" t="s">
        <v>54</v>
      </c>
      <c r="E216" s="10" t="s">
        <v>84</v>
      </c>
      <c r="F216" s="14"/>
      <c r="G216" s="15"/>
      <c r="H216" s="23">
        <f>286.67/2</f>
        <v>143.33500000000001</v>
      </c>
      <c r="I216" s="14">
        <f t="shared" si="3"/>
        <v>166.65730508474579</v>
      </c>
      <c r="J216" s="14">
        <f>Tabla13[[#This Row],[Precio final en USD]]*$P$4</f>
        <v>266.65168813559325</v>
      </c>
    </row>
    <row r="217" spans="1:11" ht="15" customHeight="1" x14ac:dyDescent="0.2">
      <c r="A217" s="11">
        <v>10382</v>
      </c>
      <c r="B217" s="12" t="s">
        <v>52</v>
      </c>
      <c r="C217" s="13" t="s">
        <v>292</v>
      </c>
      <c r="D217" s="12" t="s">
        <v>54</v>
      </c>
      <c r="E217" s="10" t="s">
        <v>84</v>
      </c>
      <c r="F217" s="14"/>
      <c r="G217" s="15"/>
      <c r="H217" s="23">
        <f>369.23</f>
        <v>369.23</v>
      </c>
      <c r="I217" s="14">
        <f t="shared" si="3"/>
        <v>429.30810169491531</v>
      </c>
      <c r="J217" s="14">
        <f>Tabla13[[#This Row],[Precio final en USD]]*$P$4</f>
        <v>686.89296271186458</v>
      </c>
    </row>
    <row r="218" spans="1:11" x14ac:dyDescent="0.2">
      <c r="A218" s="11">
        <v>10385</v>
      </c>
      <c r="B218" s="12" t="s">
        <v>52</v>
      </c>
      <c r="C218" s="13" t="s">
        <v>293</v>
      </c>
      <c r="D218" s="12" t="s">
        <v>54</v>
      </c>
      <c r="E218" s="10" t="s">
        <v>68</v>
      </c>
      <c r="F218" s="14"/>
      <c r="G218" s="15">
        <v>140000</v>
      </c>
      <c r="I218" s="14">
        <f t="shared" si="3"/>
        <v>94.915254237288138</v>
      </c>
      <c r="J218" s="14">
        <f>Tabla13[[#This Row],[Precio final en USD]]*$P$4</f>
        <v>151.86440677966104</v>
      </c>
    </row>
    <row r="219" spans="1:11" x14ac:dyDescent="0.2">
      <c r="A219" s="11">
        <v>10407</v>
      </c>
      <c r="B219" s="12" t="s">
        <v>52</v>
      </c>
      <c r="C219" s="13" t="s">
        <v>36</v>
      </c>
      <c r="D219" s="12" t="s">
        <v>54</v>
      </c>
      <c r="E219" s="10" t="s">
        <v>84</v>
      </c>
      <c r="F219" s="14"/>
      <c r="G219" s="15"/>
      <c r="H219" s="23">
        <v>75</v>
      </c>
      <c r="I219" s="14">
        <f t="shared" si="3"/>
        <v>87.203389830508485</v>
      </c>
      <c r="J219" s="14">
        <f>Tabla13[[#This Row],[Precio final en USD]]*$P$4</f>
        <v>139.52542372881359</v>
      </c>
    </row>
    <row r="220" spans="1:11" x14ac:dyDescent="0.2">
      <c r="A220" s="11">
        <v>10410</v>
      </c>
      <c r="B220" s="12" t="s">
        <v>52</v>
      </c>
      <c r="C220" s="13" t="s">
        <v>294</v>
      </c>
      <c r="D220" s="12" t="s">
        <v>54</v>
      </c>
      <c r="E220" s="10" t="s">
        <v>84</v>
      </c>
      <c r="F220" s="14"/>
      <c r="G220" s="15"/>
      <c r="H220" s="23">
        <v>42.4</v>
      </c>
      <c r="I220" s="14">
        <f t="shared" si="3"/>
        <v>49.298983050847461</v>
      </c>
      <c r="J220" s="14">
        <f>Tabla13[[#This Row],[Precio final en USD]]*$P$4</f>
        <v>78.878372881355943</v>
      </c>
    </row>
    <row r="221" spans="1:11" x14ac:dyDescent="0.2">
      <c r="A221" s="11">
        <v>10411</v>
      </c>
      <c r="B221" s="12" t="s">
        <v>52</v>
      </c>
      <c r="C221" s="13" t="s">
        <v>295</v>
      </c>
      <c r="D221" s="12" t="s">
        <v>54</v>
      </c>
      <c r="E221" s="10" t="s">
        <v>84</v>
      </c>
      <c r="F221" s="14"/>
      <c r="G221" s="15"/>
      <c r="H221" s="23">
        <v>2.02</v>
      </c>
      <c r="I221" s="14">
        <f t="shared" si="3"/>
        <v>2.348677966101695</v>
      </c>
      <c r="J221" s="14">
        <f>Tabla13[[#This Row],[Precio final en USD]]*$P$4</f>
        <v>3.7578847457627123</v>
      </c>
    </row>
    <row r="222" spans="1:11" x14ac:dyDescent="0.2">
      <c r="A222" s="11">
        <v>10413</v>
      </c>
      <c r="B222" s="12" t="s">
        <v>52</v>
      </c>
      <c r="C222" s="13" t="s">
        <v>296</v>
      </c>
      <c r="D222" s="12" t="s">
        <v>54</v>
      </c>
      <c r="E222" s="10" t="s">
        <v>84</v>
      </c>
      <c r="F222" s="14"/>
      <c r="G222" s="15"/>
      <c r="H222" s="23">
        <v>13.15</v>
      </c>
      <c r="I222" s="14">
        <f t="shared" si="3"/>
        <v>15.289661016949154</v>
      </c>
      <c r="J222" s="14">
        <f>Tabla13[[#This Row],[Precio final en USD]]*$P$4</f>
        <v>24.463457627118647</v>
      </c>
    </row>
    <row r="223" spans="1:11" x14ac:dyDescent="0.2">
      <c r="A223" s="11">
        <v>10414</v>
      </c>
      <c r="B223" s="12" t="s">
        <v>52</v>
      </c>
      <c r="C223" s="13" t="s">
        <v>297</v>
      </c>
      <c r="D223" s="12" t="s">
        <v>54</v>
      </c>
      <c r="E223" s="10" t="s">
        <v>84</v>
      </c>
      <c r="F223" s="14"/>
      <c r="G223" s="15"/>
      <c r="H223" s="23">
        <v>4.72</v>
      </c>
      <c r="I223" s="14">
        <f t="shared" si="3"/>
        <v>5.4880000000000004</v>
      </c>
      <c r="J223" s="14">
        <f>Tabla13[[#This Row],[Precio final en USD]]*$P$4</f>
        <v>8.780800000000001</v>
      </c>
    </row>
    <row r="224" spans="1:11" x14ac:dyDescent="0.2">
      <c r="A224" s="11">
        <v>10415</v>
      </c>
      <c r="B224" s="12" t="s">
        <v>52</v>
      </c>
      <c r="C224" s="13" t="s">
        <v>298</v>
      </c>
      <c r="D224" s="12" t="s">
        <v>54</v>
      </c>
      <c r="E224" s="10" t="s">
        <v>84</v>
      </c>
      <c r="F224" s="14"/>
      <c r="G224" s="15"/>
      <c r="H224" s="23">
        <v>1.82</v>
      </c>
      <c r="I224" s="14">
        <f t="shared" si="3"/>
        <v>2.1161355932203394</v>
      </c>
      <c r="J224" s="14">
        <f>Tabla13[[#This Row],[Precio final en USD]]*$P$4</f>
        <v>3.3858169491525434</v>
      </c>
    </row>
    <row r="225" spans="1:10" x14ac:dyDescent="0.2">
      <c r="A225" s="11">
        <v>10416</v>
      </c>
      <c r="B225" s="12" t="s">
        <v>52</v>
      </c>
      <c r="C225" s="13" t="s">
        <v>299</v>
      </c>
      <c r="D225" s="12" t="s">
        <v>54</v>
      </c>
      <c r="E225" s="10" t="s">
        <v>84</v>
      </c>
      <c r="F225" s="14"/>
      <c r="G225" s="15"/>
      <c r="H225" s="23">
        <v>3.26</v>
      </c>
      <c r="I225" s="14">
        <f t="shared" si="3"/>
        <v>3.7904406779661017</v>
      </c>
      <c r="J225" s="14">
        <f>Tabla13[[#This Row],[Precio final en USD]]*$P$4</f>
        <v>6.0647050847457633</v>
      </c>
    </row>
    <row r="226" spans="1:10" x14ac:dyDescent="0.2">
      <c r="A226" s="11">
        <v>10417</v>
      </c>
      <c r="B226" s="12" t="s">
        <v>52</v>
      </c>
      <c r="C226" s="13" t="s">
        <v>300</v>
      </c>
      <c r="D226" s="12" t="s">
        <v>54</v>
      </c>
      <c r="E226" s="10" t="s">
        <v>84</v>
      </c>
      <c r="F226" s="14"/>
      <c r="G226" s="15"/>
      <c r="H226" s="23">
        <v>7.48</v>
      </c>
      <c r="I226" s="14">
        <f t="shared" si="3"/>
        <v>8.6970847457627123</v>
      </c>
      <c r="J226" s="14">
        <f>Tabla13[[#This Row],[Precio final en USD]]*$P$4</f>
        <v>13.915335593220341</v>
      </c>
    </row>
    <row r="227" spans="1:10" x14ac:dyDescent="0.2">
      <c r="A227" s="12">
        <v>10418</v>
      </c>
      <c r="B227" s="11" t="s">
        <v>52</v>
      </c>
      <c r="C227" s="13" t="s">
        <v>301</v>
      </c>
      <c r="D227" s="12" t="s">
        <v>58</v>
      </c>
      <c r="E227" s="10" t="s">
        <v>84</v>
      </c>
      <c r="F227" s="14"/>
      <c r="G227" s="15"/>
      <c r="H227" s="10">
        <v>41.84</v>
      </c>
      <c r="I227" s="14">
        <f t="shared" si="3"/>
        <v>48.647864406779668</v>
      </c>
      <c r="J227" s="14">
        <f>Tabla13[[#This Row],[Precio final en USD]]*$P$4</f>
        <v>77.83658305084748</v>
      </c>
    </row>
    <row r="228" spans="1:10" x14ac:dyDescent="0.2">
      <c r="A228" s="11">
        <v>10419</v>
      </c>
      <c r="B228" s="12" t="s">
        <v>52</v>
      </c>
      <c r="C228" s="13" t="s">
        <v>302</v>
      </c>
      <c r="D228" s="12" t="s">
        <v>54</v>
      </c>
      <c r="E228" s="10" t="s">
        <v>84</v>
      </c>
      <c r="F228" s="14"/>
      <c r="G228" s="15"/>
      <c r="H228" s="23">
        <v>161.97999999999999</v>
      </c>
      <c r="I228" s="14">
        <f t="shared" si="3"/>
        <v>188.33606779661017</v>
      </c>
      <c r="J228" s="14">
        <f>Tabla13[[#This Row],[Precio final en USD]]*$P$4</f>
        <v>301.33770847457629</v>
      </c>
    </row>
    <row r="229" spans="1:10" x14ac:dyDescent="0.2">
      <c r="A229" s="11">
        <v>10420</v>
      </c>
      <c r="B229" s="12" t="s">
        <v>52</v>
      </c>
      <c r="C229" s="13" t="s">
        <v>303</v>
      </c>
      <c r="D229" s="12" t="s">
        <v>54</v>
      </c>
      <c r="E229" s="10" t="s">
        <v>84</v>
      </c>
      <c r="F229" s="14"/>
      <c r="G229" s="15"/>
      <c r="H229" s="23">
        <v>285.8</v>
      </c>
      <c r="I229" s="14">
        <f t="shared" si="3"/>
        <v>332.30305084745765</v>
      </c>
      <c r="J229" s="14">
        <f>Tabla13[[#This Row],[Precio final en USD]]*$P$4</f>
        <v>531.68488135593225</v>
      </c>
    </row>
    <row r="230" spans="1:10" x14ac:dyDescent="0.2">
      <c r="A230" s="12">
        <v>10420</v>
      </c>
      <c r="B230" s="11" t="s">
        <v>52</v>
      </c>
      <c r="C230" s="13" t="s">
        <v>30</v>
      </c>
      <c r="D230" s="12" t="s">
        <v>58</v>
      </c>
      <c r="E230" s="10" t="s">
        <v>84</v>
      </c>
      <c r="F230" s="14"/>
      <c r="G230" s="15"/>
      <c r="H230" s="23">
        <v>285.8</v>
      </c>
      <c r="I230" s="14">
        <f t="shared" si="3"/>
        <v>332.30305084745765</v>
      </c>
      <c r="J230" s="14">
        <f>Tabla13[[#This Row],[Precio final en USD]]*$P$4</f>
        <v>531.68488135593225</v>
      </c>
    </row>
    <row r="231" spans="1:10" x14ac:dyDescent="0.2">
      <c r="A231" s="12">
        <v>10421</v>
      </c>
      <c r="B231" s="11" t="s">
        <v>52</v>
      </c>
      <c r="C231" s="13" t="s">
        <v>304</v>
      </c>
      <c r="D231" s="12" t="s">
        <v>58</v>
      </c>
      <c r="E231" s="10" t="s">
        <v>84</v>
      </c>
      <c r="F231" s="14"/>
      <c r="G231" s="15"/>
      <c r="H231" s="23">
        <v>127</v>
      </c>
      <c r="I231" s="14">
        <f t="shared" si="3"/>
        <v>147.66440677966102</v>
      </c>
      <c r="J231" s="14">
        <f>Tabla13[[#This Row],[Precio final en USD]]*$P$4</f>
        <v>236.26305084745763</v>
      </c>
    </row>
    <row r="232" spans="1:10" x14ac:dyDescent="0.2">
      <c r="A232" s="11">
        <v>10422</v>
      </c>
      <c r="B232" s="12" t="s">
        <v>52</v>
      </c>
      <c r="C232" s="13" t="s">
        <v>305</v>
      </c>
      <c r="D232" s="12" t="s">
        <v>54</v>
      </c>
      <c r="E232" s="10" t="s">
        <v>84</v>
      </c>
      <c r="F232" s="14"/>
      <c r="G232" s="15"/>
      <c r="H232" s="23">
        <v>51.51</v>
      </c>
      <c r="I232" s="14">
        <f t="shared" si="3"/>
        <v>59.891288135593221</v>
      </c>
      <c r="J232" s="14">
        <f>Tabla13[[#This Row],[Precio final en USD]]*$P$4</f>
        <v>95.826061016949154</v>
      </c>
    </row>
    <row r="233" spans="1:10" x14ac:dyDescent="0.2">
      <c r="A233" s="11">
        <v>10423</v>
      </c>
      <c r="B233" s="12" t="s">
        <v>52</v>
      </c>
      <c r="C233" s="13" t="s">
        <v>306</v>
      </c>
      <c r="D233" s="12" t="s">
        <v>54</v>
      </c>
      <c r="E233" s="10" t="s">
        <v>84</v>
      </c>
      <c r="F233" s="14"/>
      <c r="G233" s="15"/>
      <c r="H233" s="23">
        <v>58.6</v>
      </c>
      <c r="I233" s="14">
        <f t="shared" si="3"/>
        <v>68.134915254237299</v>
      </c>
      <c r="J233" s="14">
        <f>Tabla13[[#This Row],[Precio final en USD]]*$P$4</f>
        <v>109.01586440677968</v>
      </c>
    </row>
    <row r="234" spans="1:10" x14ac:dyDescent="0.2">
      <c r="A234" s="11">
        <v>10424</v>
      </c>
      <c r="B234" s="12" t="s">
        <v>52</v>
      </c>
      <c r="C234" s="13" t="s">
        <v>307</v>
      </c>
      <c r="D234" s="12" t="s">
        <v>54</v>
      </c>
      <c r="E234" s="10" t="s">
        <v>84</v>
      </c>
      <c r="F234" s="14"/>
      <c r="G234" s="15"/>
      <c r="H234" s="23">
        <v>370</v>
      </c>
      <c r="I234" s="14">
        <f t="shared" si="3"/>
        <v>430.20338983050851</v>
      </c>
      <c r="J234" s="14">
        <f>Tabla13[[#This Row],[Precio final en USD]]*$P$4</f>
        <v>688.32542372881369</v>
      </c>
    </row>
    <row r="235" spans="1:10" x14ac:dyDescent="0.2">
      <c r="A235" s="11">
        <v>10426</v>
      </c>
      <c r="B235" s="12" t="s">
        <v>52</v>
      </c>
      <c r="C235" s="13" t="s">
        <v>308</v>
      </c>
      <c r="D235" s="12" t="s">
        <v>54</v>
      </c>
      <c r="E235" s="10" t="s">
        <v>84</v>
      </c>
      <c r="F235" s="14"/>
      <c r="G235" s="15"/>
      <c r="H235" s="23">
        <v>178.42</v>
      </c>
      <c r="I235" s="14">
        <f t="shared" si="3"/>
        <v>207.45105084745762</v>
      </c>
      <c r="J235" s="14">
        <f>Tabla13[[#This Row],[Precio final en USD]]*$P$4</f>
        <v>331.92168135593221</v>
      </c>
    </row>
    <row r="236" spans="1:10" x14ac:dyDescent="0.2">
      <c r="A236" s="11">
        <v>10427</v>
      </c>
      <c r="B236" s="12" t="s">
        <v>52</v>
      </c>
      <c r="C236" s="13" t="s">
        <v>309</v>
      </c>
      <c r="D236" s="12" t="s">
        <v>54</v>
      </c>
      <c r="E236" s="10" t="s">
        <v>84</v>
      </c>
      <c r="F236" s="14"/>
      <c r="G236" s="15"/>
      <c r="H236" s="23">
        <v>12.9</v>
      </c>
      <c r="I236" s="14">
        <f t="shared" si="3"/>
        <v>14.998983050847459</v>
      </c>
      <c r="J236" s="14">
        <f>Tabla13[[#This Row],[Precio final en USD]]*$P$4</f>
        <v>23.998372881355934</v>
      </c>
    </row>
    <row r="237" spans="1:10" x14ac:dyDescent="0.2">
      <c r="A237" s="11">
        <v>10428</v>
      </c>
      <c r="B237" s="12" t="s">
        <v>52</v>
      </c>
      <c r="C237" s="13" t="s">
        <v>310</v>
      </c>
      <c r="D237" s="12" t="s">
        <v>54</v>
      </c>
      <c r="E237" s="10" t="s">
        <v>84</v>
      </c>
      <c r="F237" s="14"/>
      <c r="G237" s="15"/>
      <c r="H237" s="23">
        <v>10.220000000000001</v>
      </c>
      <c r="I237" s="14">
        <f t="shared" si="3"/>
        <v>11.88291525423729</v>
      </c>
      <c r="J237" s="14">
        <f>Tabla13[[#This Row],[Precio final en USD]]*$P$4</f>
        <v>19.012664406779663</v>
      </c>
    </row>
    <row r="238" spans="1:10" x14ac:dyDescent="0.2">
      <c r="A238" s="11">
        <v>10429</v>
      </c>
      <c r="B238" s="12" t="s">
        <v>52</v>
      </c>
      <c r="C238" s="13" t="s">
        <v>311</v>
      </c>
      <c r="D238" s="12" t="s">
        <v>54</v>
      </c>
      <c r="E238" s="10" t="s">
        <v>84</v>
      </c>
      <c r="F238" s="14"/>
      <c r="G238" s="15"/>
      <c r="H238" s="23">
        <v>3.46</v>
      </c>
      <c r="I238" s="14">
        <f t="shared" si="3"/>
        <v>4.0229830508474578</v>
      </c>
      <c r="J238" s="14">
        <f>Tabla13[[#This Row],[Precio final en USD]]*$P$4</f>
        <v>6.4367728813559326</v>
      </c>
    </row>
    <row r="239" spans="1:10" x14ac:dyDescent="0.2">
      <c r="A239" s="11">
        <v>10430</v>
      </c>
      <c r="B239" s="12" t="s">
        <v>52</v>
      </c>
      <c r="C239" s="13" t="s">
        <v>312</v>
      </c>
      <c r="D239" s="12" t="s">
        <v>54</v>
      </c>
      <c r="E239" s="10" t="s">
        <v>84</v>
      </c>
      <c r="F239" s="14"/>
      <c r="G239" s="15"/>
      <c r="H239" s="23">
        <v>4.9800000000000004</v>
      </c>
      <c r="I239" s="14">
        <f t="shared" si="3"/>
        <v>5.7903050847457633</v>
      </c>
      <c r="J239" s="14">
        <f>Tabla13[[#This Row],[Precio final en USD]]*$P$4</f>
        <v>9.264488135593222</v>
      </c>
    </row>
    <row r="240" spans="1:10" x14ac:dyDescent="0.2">
      <c r="A240" s="11">
        <v>10431</v>
      </c>
      <c r="B240" s="12" t="s">
        <v>52</v>
      </c>
      <c r="C240" s="13" t="s">
        <v>313</v>
      </c>
      <c r="D240" s="12" t="s">
        <v>54</v>
      </c>
      <c r="E240" s="10" t="s">
        <v>84</v>
      </c>
      <c r="F240" s="14"/>
      <c r="G240" s="15"/>
      <c r="H240" s="23">
        <v>239.14</v>
      </c>
      <c r="I240" s="14">
        <f t="shared" si="3"/>
        <v>278.05091525423728</v>
      </c>
      <c r="J240" s="14">
        <f>Tabla13[[#This Row],[Precio final en USD]]*$P$4</f>
        <v>444.88146440677968</v>
      </c>
    </row>
    <row r="241" spans="1:11" x14ac:dyDescent="0.2">
      <c r="A241" s="11">
        <v>10433</v>
      </c>
      <c r="B241" s="12" t="s">
        <v>52</v>
      </c>
      <c r="C241" s="13" t="s">
        <v>23</v>
      </c>
      <c r="D241" s="12" t="s">
        <v>54</v>
      </c>
      <c r="E241" s="10" t="s">
        <v>84</v>
      </c>
      <c r="F241" s="14"/>
      <c r="G241" s="15"/>
      <c r="H241" s="23">
        <v>115.8</v>
      </c>
      <c r="I241" s="14">
        <f t="shared" si="3"/>
        <v>134.6420338983051</v>
      </c>
      <c r="J241" s="14">
        <f>Tabla13[[#This Row],[Precio final en USD]]*$P$4</f>
        <v>215.42725423728817</v>
      </c>
    </row>
    <row r="242" spans="1:11" x14ac:dyDescent="0.2">
      <c r="A242" s="11">
        <v>10434</v>
      </c>
      <c r="B242" s="12" t="s">
        <v>52</v>
      </c>
      <c r="C242" s="13" t="s">
        <v>25</v>
      </c>
      <c r="D242" s="12" t="s">
        <v>54</v>
      </c>
      <c r="E242" s="10" t="s">
        <v>84</v>
      </c>
      <c r="F242" s="14"/>
      <c r="G242" s="15"/>
      <c r="H242" s="23">
        <v>239.8</v>
      </c>
      <c r="I242" s="14">
        <f t="shared" si="3"/>
        <v>278.81830508474582</v>
      </c>
      <c r="J242" s="14">
        <f>Tabla13[[#This Row],[Precio final en USD]]*$P$4</f>
        <v>446.10928813559332</v>
      </c>
    </row>
    <row r="243" spans="1:11" x14ac:dyDescent="0.2">
      <c r="A243" s="11">
        <v>10435</v>
      </c>
      <c r="B243" s="12" t="s">
        <v>52</v>
      </c>
      <c r="C243" s="13" t="s">
        <v>26</v>
      </c>
      <c r="D243" s="12" t="s">
        <v>54</v>
      </c>
      <c r="E243" s="10" t="s">
        <v>84</v>
      </c>
      <c r="F243" s="14"/>
      <c r="G243" s="15"/>
      <c r="H243" s="23">
        <v>48.98</v>
      </c>
      <c r="I243" s="14">
        <f t="shared" si="3"/>
        <v>56.949627118644067</v>
      </c>
      <c r="J243" s="14">
        <f>Tabla13[[#This Row],[Precio final en USD]]*$P$4</f>
        <v>91.119403389830509</v>
      </c>
    </row>
    <row r="244" spans="1:11" x14ac:dyDescent="0.2">
      <c r="A244" s="11">
        <v>10436</v>
      </c>
      <c r="B244" s="12" t="s">
        <v>52</v>
      </c>
      <c r="C244" s="13" t="s">
        <v>314</v>
      </c>
      <c r="D244" s="12" t="s">
        <v>54</v>
      </c>
      <c r="E244" s="10" t="s">
        <v>84</v>
      </c>
      <c r="F244" s="14"/>
      <c r="G244" s="15"/>
      <c r="H244" s="23">
        <v>136.97999999999999</v>
      </c>
      <c r="I244" s="14">
        <f t="shared" si="3"/>
        <v>159.26827118644067</v>
      </c>
      <c r="J244" s="14">
        <f>Tabla13[[#This Row],[Precio final en USD]]*$P$4</f>
        <v>254.82923389830509</v>
      </c>
    </row>
    <row r="245" spans="1:11" x14ac:dyDescent="0.2">
      <c r="A245" s="12">
        <v>10465</v>
      </c>
      <c r="B245" s="11" t="s">
        <v>52</v>
      </c>
      <c r="C245" s="13" t="s">
        <v>315</v>
      </c>
      <c r="D245" s="12" t="s">
        <v>58</v>
      </c>
      <c r="E245" s="10" t="s">
        <v>59</v>
      </c>
      <c r="F245" s="14"/>
      <c r="G245" s="15"/>
      <c r="I245" s="14" t="str">
        <f t="shared" si="3"/>
        <v/>
      </c>
      <c r="J245" s="14" t="e">
        <f>Tabla13[[#This Row],[Precio final en USD]]*$P$4</f>
        <v>#VALUE!</v>
      </c>
      <c r="K245" s="10" t="s">
        <v>60</v>
      </c>
    </row>
    <row r="246" spans="1:11" x14ac:dyDescent="0.2">
      <c r="A246" s="11">
        <v>10466</v>
      </c>
      <c r="B246" s="12" t="s">
        <v>52</v>
      </c>
      <c r="C246" s="13" t="s">
        <v>316</v>
      </c>
      <c r="D246" s="12" t="s">
        <v>54</v>
      </c>
      <c r="E246" s="10" t="s">
        <v>84</v>
      </c>
      <c r="F246" s="14"/>
      <c r="G246" s="15"/>
      <c r="H246" s="23">
        <v>93.38</v>
      </c>
      <c r="I246" s="14">
        <f t="shared" si="3"/>
        <v>108.57403389830509</v>
      </c>
      <c r="J246" s="14">
        <f>Tabla13[[#This Row],[Precio final en USD]]*$P$4</f>
        <v>173.71845423728814</v>
      </c>
    </row>
    <row r="247" spans="1:11" x14ac:dyDescent="0.2">
      <c r="A247" s="11">
        <v>10472</v>
      </c>
      <c r="B247" s="12" t="s">
        <v>52</v>
      </c>
      <c r="C247" s="13" t="s">
        <v>317</v>
      </c>
      <c r="D247" s="12" t="s">
        <v>54</v>
      </c>
      <c r="E247" s="10" t="s">
        <v>84</v>
      </c>
      <c r="F247" s="14"/>
      <c r="G247" s="15"/>
      <c r="H247" s="23">
        <v>196.83</v>
      </c>
      <c r="I247" s="14">
        <f t="shared" si="3"/>
        <v>228.85657627118647</v>
      </c>
      <c r="J247" s="14">
        <f>Tabla13[[#This Row],[Precio final en USD]]*$P$4</f>
        <v>366.17052203389835</v>
      </c>
    </row>
    <row r="248" spans="1:11" x14ac:dyDescent="0.2">
      <c r="A248" s="11">
        <v>10473</v>
      </c>
      <c r="B248" s="12" t="s">
        <v>52</v>
      </c>
      <c r="C248" s="13" t="s">
        <v>318</v>
      </c>
      <c r="D248" s="12" t="s">
        <v>54</v>
      </c>
      <c r="E248" s="10" t="s">
        <v>84</v>
      </c>
      <c r="F248" s="14"/>
      <c r="G248" s="15"/>
      <c r="H248" s="23">
        <v>34</v>
      </c>
      <c r="I248" s="14">
        <f t="shared" si="3"/>
        <v>39.532203389830514</v>
      </c>
      <c r="J248" s="14">
        <f>Tabla13[[#This Row],[Precio final en USD]]*$P$4</f>
        <v>63.251525423728822</v>
      </c>
    </row>
    <row r="249" spans="1:11" x14ac:dyDescent="0.2">
      <c r="A249" s="11">
        <v>10474</v>
      </c>
      <c r="B249" s="12" t="s">
        <v>52</v>
      </c>
      <c r="C249" s="13" t="s">
        <v>319</v>
      </c>
      <c r="D249" s="12" t="s">
        <v>54</v>
      </c>
      <c r="E249" s="10" t="s">
        <v>84</v>
      </c>
      <c r="F249" s="14"/>
      <c r="G249" s="15"/>
      <c r="H249" s="23">
        <v>11.86</v>
      </c>
      <c r="I249" s="14">
        <f t="shared" si="3"/>
        <v>13.789762711864407</v>
      </c>
      <c r="J249" s="14">
        <f>Tabla13[[#This Row],[Precio final en USD]]*$P$4</f>
        <v>22.063620338983053</v>
      </c>
    </row>
    <row r="250" spans="1:11" x14ac:dyDescent="0.2">
      <c r="A250" s="11">
        <v>10475</v>
      </c>
      <c r="B250" s="12" t="s">
        <v>52</v>
      </c>
      <c r="C250" s="13" t="s">
        <v>320</v>
      </c>
      <c r="D250" s="12" t="s">
        <v>54</v>
      </c>
      <c r="E250" s="10" t="s">
        <v>84</v>
      </c>
      <c r="F250" s="14"/>
      <c r="G250" s="15"/>
      <c r="H250" s="23">
        <v>12.16</v>
      </c>
      <c r="I250" s="14">
        <f t="shared" si="3"/>
        <v>14.138576271186443</v>
      </c>
      <c r="J250" s="14">
        <f>Tabla13[[#This Row],[Precio final en USD]]*$P$4</f>
        <v>22.621722033898308</v>
      </c>
    </row>
    <row r="251" spans="1:11" x14ac:dyDescent="0.2">
      <c r="A251" s="11">
        <v>10476</v>
      </c>
      <c r="B251" s="12" t="s">
        <v>52</v>
      </c>
      <c r="C251" s="13" t="s">
        <v>321</v>
      </c>
      <c r="D251" s="12" t="s">
        <v>54</v>
      </c>
      <c r="E251" s="10" t="s">
        <v>84</v>
      </c>
      <c r="F251" s="14"/>
      <c r="G251" s="15"/>
      <c r="H251" s="23">
        <v>0.54</v>
      </c>
      <c r="I251" s="14">
        <f t="shared" si="3"/>
        <v>0.62786440677966115</v>
      </c>
      <c r="J251" s="14">
        <f>Tabla13[[#This Row],[Precio final en USD]]*$P$4</f>
        <v>1.0045830508474578</v>
      </c>
    </row>
    <row r="252" spans="1:11" x14ac:dyDescent="0.2">
      <c r="A252" s="11">
        <v>10478</v>
      </c>
      <c r="B252" s="12" t="s">
        <v>52</v>
      </c>
      <c r="C252" s="13" t="s">
        <v>322</v>
      </c>
      <c r="D252" s="12" t="s">
        <v>54</v>
      </c>
      <c r="E252" s="10" t="s">
        <v>84</v>
      </c>
      <c r="F252" s="14"/>
      <c r="G252" s="15"/>
      <c r="H252" s="23">
        <v>65.98</v>
      </c>
      <c r="I252" s="14">
        <f t="shared" si="3"/>
        <v>76.715728813559338</v>
      </c>
      <c r="J252" s="14">
        <f>Tabla13[[#This Row],[Precio final en USD]]*$P$4</f>
        <v>122.74516610169495</v>
      </c>
    </row>
    <row r="253" spans="1:11" x14ac:dyDescent="0.2">
      <c r="A253" s="11">
        <v>10479</v>
      </c>
      <c r="B253" s="12" t="s">
        <v>52</v>
      </c>
      <c r="C253" s="13" t="s">
        <v>323</v>
      </c>
      <c r="D253" s="12" t="s">
        <v>54</v>
      </c>
      <c r="E253" s="10" t="s">
        <v>84</v>
      </c>
      <c r="F253" s="14"/>
      <c r="G253" s="15"/>
      <c r="H253" s="23">
        <v>2.84</v>
      </c>
      <c r="I253" s="14">
        <f t="shared" si="3"/>
        <v>3.3021016949152542</v>
      </c>
      <c r="J253" s="14">
        <f>Tabla13[[#This Row],[Precio final en USD]]*$P$4</f>
        <v>5.2833627118644069</v>
      </c>
    </row>
    <row r="254" spans="1:11" ht="14.5" customHeight="1" x14ac:dyDescent="0.2">
      <c r="A254" s="11">
        <v>10481</v>
      </c>
      <c r="B254" s="12" t="s">
        <v>52</v>
      </c>
      <c r="C254" s="13" t="s">
        <v>324</v>
      </c>
      <c r="D254" s="12" t="s">
        <v>54</v>
      </c>
      <c r="E254" s="10" t="s">
        <v>84</v>
      </c>
      <c r="F254" s="14"/>
      <c r="G254" s="15"/>
      <c r="H254" s="23">
        <v>1.94</v>
      </c>
      <c r="I254" s="14">
        <f t="shared" si="3"/>
        <v>2.2556610169491527</v>
      </c>
      <c r="J254" s="14">
        <f>Tabla13[[#This Row],[Precio final en USD]]*$P$4</f>
        <v>3.6090576271186445</v>
      </c>
    </row>
    <row r="255" spans="1:11" x14ac:dyDescent="0.2">
      <c r="A255" s="11">
        <v>10482</v>
      </c>
      <c r="B255" s="12" t="s">
        <v>52</v>
      </c>
      <c r="C255" s="13" t="s">
        <v>325</v>
      </c>
      <c r="D255" s="12" t="s">
        <v>54</v>
      </c>
      <c r="E255" s="10" t="s">
        <v>84</v>
      </c>
      <c r="F255" s="14"/>
      <c r="G255" s="15"/>
      <c r="H255" s="19">
        <v>98.38</v>
      </c>
      <c r="I255" s="14">
        <f t="shared" si="3"/>
        <v>114.38759322033899</v>
      </c>
      <c r="J255" s="14">
        <f>Tabla13[[#This Row],[Precio final en USD]]*$P$4</f>
        <v>183.02014915254239</v>
      </c>
    </row>
    <row r="256" spans="1:11" x14ac:dyDescent="0.2">
      <c r="A256" s="11">
        <v>10483</v>
      </c>
      <c r="B256" s="12" t="s">
        <v>52</v>
      </c>
      <c r="C256" s="13" t="s">
        <v>326</v>
      </c>
      <c r="D256" s="12" t="s">
        <v>54</v>
      </c>
      <c r="E256" s="10" t="s">
        <v>84</v>
      </c>
      <c r="F256" s="14"/>
      <c r="G256" s="15"/>
      <c r="H256" s="23">
        <v>0.32</v>
      </c>
      <c r="I256" s="14">
        <f t="shared" si="3"/>
        <v>0.37206779661016953</v>
      </c>
      <c r="J256" s="14">
        <f>Tabla13[[#This Row],[Precio final en USD]]*$P$4</f>
        <v>0.59530847457627123</v>
      </c>
    </row>
    <row r="257" spans="1:10" x14ac:dyDescent="0.2">
      <c r="A257" s="11">
        <v>10484</v>
      </c>
      <c r="B257" s="12" t="s">
        <v>52</v>
      </c>
      <c r="C257" s="13" t="s">
        <v>327</v>
      </c>
      <c r="D257" s="12" t="s">
        <v>54</v>
      </c>
      <c r="E257" s="10" t="s">
        <v>84</v>
      </c>
      <c r="F257" s="14"/>
      <c r="G257" s="15"/>
      <c r="H257" s="23">
        <v>2.2400000000000002</v>
      </c>
      <c r="I257" s="14">
        <f t="shared" si="3"/>
        <v>2.6044745762711869</v>
      </c>
      <c r="J257" s="14">
        <f>Tabla13[[#This Row],[Precio final en USD]]*$P$4</f>
        <v>4.1671593220338989</v>
      </c>
    </row>
    <row r="258" spans="1:10" x14ac:dyDescent="0.2">
      <c r="A258" s="11">
        <v>10485</v>
      </c>
      <c r="B258" s="12" t="s">
        <v>52</v>
      </c>
      <c r="C258" s="13" t="s">
        <v>328</v>
      </c>
      <c r="D258" s="12" t="s">
        <v>54</v>
      </c>
      <c r="E258" s="10" t="s">
        <v>84</v>
      </c>
      <c r="F258" s="14"/>
      <c r="G258" s="15"/>
      <c r="H258" s="23">
        <v>3.06</v>
      </c>
      <c r="I258" s="14">
        <f t="shared" ref="I258:I321" si="4">IF(AND(F258="",G258="",H258=""),"",IF(F258&lt;&gt;"",F258,IF(G258&lt;&gt;"",G258/$O$1,IF(H258&lt;&gt;"",H258*$O$2,"ver"))))</f>
        <v>3.5578983050847461</v>
      </c>
      <c r="J258" s="14">
        <f>Tabla13[[#This Row],[Precio final en USD]]*$P$4</f>
        <v>5.692637288135594</v>
      </c>
    </row>
    <row r="259" spans="1:10" x14ac:dyDescent="0.2">
      <c r="A259" s="11">
        <v>10486</v>
      </c>
      <c r="B259" s="12" t="s">
        <v>52</v>
      </c>
      <c r="C259" s="13" t="s">
        <v>329</v>
      </c>
      <c r="D259" s="12" t="s">
        <v>54</v>
      </c>
      <c r="E259" s="10" t="s">
        <v>84</v>
      </c>
      <c r="F259" s="14"/>
      <c r="G259" s="15"/>
      <c r="H259" s="23">
        <v>0.74</v>
      </c>
      <c r="I259" s="14">
        <f t="shared" si="4"/>
        <v>0.86040677966101697</v>
      </c>
      <c r="J259" s="14">
        <f>Tabla13[[#This Row],[Precio final en USD]]*$P$4</f>
        <v>1.3766508474576273</v>
      </c>
    </row>
    <row r="260" spans="1:10" x14ac:dyDescent="0.2">
      <c r="A260" s="11">
        <v>10487</v>
      </c>
      <c r="B260" s="12" t="s">
        <v>52</v>
      </c>
      <c r="C260" s="13" t="s">
        <v>330</v>
      </c>
      <c r="D260" s="12" t="s">
        <v>54</v>
      </c>
      <c r="E260" s="10" t="s">
        <v>84</v>
      </c>
      <c r="F260" s="14"/>
      <c r="G260" s="15"/>
      <c r="H260" s="23">
        <v>2.2400000000000002</v>
      </c>
      <c r="I260" s="14">
        <f t="shared" si="4"/>
        <v>2.6044745762711869</v>
      </c>
      <c r="J260" s="14">
        <f>Tabla13[[#This Row],[Precio final en USD]]*$P$4</f>
        <v>4.1671593220338989</v>
      </c>
    </row>
    <row r="261" spans="1:10" x14ac:dyDescent="0.2">
      <c r="A261" s="11">
        <v>10488</v>
      </c>
      <c r="B261" s="12" t="s">
        <v>52</v>
      </c>
      <c r="C261" s="13" t="s">
        <v>331</v>
      </c>
      <c r="D261" s="12" t="s">
        <v>54</v>
      </c>
      <c r="E261" s="10" t="s">
        <v>84</v>
      </c>
      <c r="F261" s="14"/>
      <c r="G261" s="15"/>
      <c r="H261" s="23">
        <v>38.619999999999997</v>
      </c>
      <c r="I261" s="14">
        <f t="shared" si="4"/>
        <v>44.903932203389829</v>
      </c>
      <c r="J261" s="14">
        <f>Tabla13[[#This Row],[Precio final en USD]]*$P$4</f>
        <v>71.846291525423723</v>
      </c>
    </row>
    <row r="262" spans="1:10" x14ac:dyDescent="0.2">
      <c r="A262" s="11">
        <v>10489</v>
      </c>
      <c r="B262" s="12" t="s">
        <v>52</v>
      </c>
      <c r="C262" s="13" t="s">
        <v>332</v>
      </c>
      <c r="D262" s="12" t="s">
        <v>54</v>
      </c>
      <c r="E262" s="10" t="s">
        <v>84</v>
      </c>
      <c r="F262" s="14"/>
      <c r="G262" s="15"/>
      <c r="H262" s="23">
        <v>12.48</v>
      </c>
      <c r="I262" s="14">
        <f t="shared" si="4"/>
        <v>14.510644067796612</v>
      </c>
      <c r="J262" s="14">
        <f>Tabla13[[#This Row],[Precio final en USD]]*$P$4</f>
        <v>23.217030508474579</v>
      </c>
    </row>
    <row r="263" spans="1:10" x14ac:dyDescent="0.2">
      <c r="A263" s="11">
        <v>10490</v>
      </c>
      <c r="B263" s="12" t="s">
        <v>52</v>
      </c>
      <c r="C263" s="13" t="s">
        <v>333</v>
      </c>
      <c r="D263" s="12" t="s">
        <v>54</v>
      </c>
      <c r="E263" s="10" t="s">
        <v>84</v>
      </c>
      <c r="F263" s="14"/>
      <c r="G263" s="15"/>
      <c r="H263" s="23">
        <v>0.54</v>
      </c>
      <c r="I263" s="14">
        <f t="shared" si="4"/>
        <v>0.62786440677966115</v>
      </c>
      <c r="J263" s="14">
        <f>Tabla13[[#This Row],[Precio final en USD]]*$P$4</f>
        <v>1.0045830508474578</v>
      </c>
    </row>
    <row r="264" spans="1:10" x14ac:dyDescent="0.2">
      <c r="A264" s="11">
        <v>10491</v>
      </c>
      <c r="B264" s="12" t="s">
        <v>52</v>
      </c>
      <c r="C264" s="13" t="s">
        <v>35</v>
      </c>
      <c r="D264" s="12" t="s">
        <v>54</v>
      </c>
      <c r="E264" s="10" t="s">
        <v>84</v>
      </c>
      <c r="F264" s="14"/>
      <c r="G264" s="15"/>
      <c r="H264" s="23">
        <v>11.86</v>
      </c>
      <c r="I264" s="14">
        <f t="shared" si="4"/>
        <v>13.789762711864407</v>
      </c>
      <c r="J264" s="14">
        <f>Tabla13[[#This Row],[Precio final en USD]]*$P$4</f>
        <v>22.063620338983053</v>
      </c>
    </row>
    <row r="265" spans="1:10" x14ac:dyDescent="0.2">
      <c r="A265" s="11">
        <v>10492</v>
      </c>
      <c r="B265" s="12" t="s">
        <v>52</v>
      </c>
      <c r="C265" s="13" t="s">
        <v>334</v>
      </c>
      <c r="D265" s="12" t="s">
        <v>54</v>
      </c>
      <c r="E265" s="10" t="s">
        <v>84</v>
      </c>
      <c r="F265" s="14"/>
      <c r="G265" s="15"/>
      <c r="H265" s="23">
        <v>19.510000000000002</v>
      </c>
      <c r="I265" s="14">
        <f t="shared" si="4"/>
        <v>22.684508474576276</v>
      </c>
      <c r="J265" s="14">
        <f>Tabla13[[#This Row],[Precio final en USD]]*$P$4</f>
        <v>36.295213559322043</v>
      </c>
    </row>
    <row r="266" spans="1:10" x14ac:dyDescent="0.2">
      <c r="A266" s="11">
        <v>10494</v>
      </c>
      <c r="B266" s="12" t="s">
        <v>52</v>
      </c>
      <c r="C266" s="13" t="s">
        <v>335</v>
      </c>
      <c r="D266" s="12" t="s">
        <v>54</v>
      </c>
      <c r="E266" s="10" t="s">
        <v>84</v>
      </c>
      <c r="F266" s="14"/>
      <c r="G266" s="15"/>
      <c r="H266" s="23">
        <v>27.66</v>
      </c>
      <c r="I266" s="14">
        <f t="shared" si="4"/>
        <v>32.160610169491527</v>
      </c>
      <c r="J266" s="14">
        <f>Tabla13[[#This Row],[Precio final en USD]]*$P$4</f>
        <v>51.456976271186448</v>
      </c>
    </row>
    <row r="267" spans="1:10" x14ac:dyDescent="0.2">
      <c r="A267" s="11">
        <v>10495</v>
      </c>
      <c r="B267" s="12" t="s">
        <v>52</v>
      </c>
      <c r="C267" s="13" t="s">
        <v>336</v>
      </c>
      <c r="D267" s="12" t="s">
        <v>54</v>
      </c>
      <c r="E267" s="10" t="s">
        <v>84</v>
      </c>
      <c r="F267" s="14"/>
      <c r="G267" s="15"/>
      <c r="H267" s="23">
        <v>2.02</v>
      </c>
      <c r="I267" s="14">
        <f t="shared" si="4"/>
        <v>2.348677966101695</v>
      </c>
      <c r="J267" s="14">
        <f>Tabla13[[#This Row],[Precio final en USD]]*$P$4</f>
        <v>3.7578847457627123</v>
      </c>
    </row>
    <row r="268" spans="1:10" x14ac:dyDescent="0.2">
      <c r="A268" s="11">
        <v>10497</v>
      </c>
      <c r="B268" s="12" t="s">
        <v>52</v>
      </c>
      <c r="C268" s="13" t="s">
        <v>337</v>
      </c>
      <c r="D268" s="12" t="s">
        <v>54</v>
      </c>
      <c r="E268" s="10" t="s">
        <v>84</v>
      </c>
      <c r="F268" s="14"/>
      <c r="G268" s="15"/>
      <c r="H268" s="23">
        <v>2.2400000000000002</v>
      </c>
      <c r="I268" s="14">
        <f t="shared" si="4"/>
        <v>2.6044745762711869</v>
      </c>
      <c r="J268" s="14">
        <f>Tabla13[[#This Row],[Precio final en USD]]*$P$4</f>
        <v>4.1671593220338989</v>
      </c>
    </row>
    <row r="269" spans="1:10" x14ac:dyDescent="0.2">
      <c r="A269" s="11">
        <v>10498</v>
      </c>
      <c r="B269" s="12" t="s">
        <v>52</v>
      </c>
      <c r="C269" s="13" t="s">
        <v>338</v>
      </c>
      <c r="D269" s="12" t="s">
        <v>54</v>
      </c>
      <c r="E269" s="10" t="s">
        <v>84</v>
      </c>
      <c r="F269" s="14"/>
      <c r="G269" s="15"/>
      <c r="H269" s="23">
        <v>36.43</v>
      </c>
      <c r="I269" s="14">
        <f t="shared" si="4"/>
        <v>42.357593220338984</v>
      </c>
      <c r="J269" s="14">
        <f>Tabla13[[#This Row],[Precio final en USD]]*$P$4</f>
        <v>67.772149152542383</v>
      </c>
    </row>
    <row r="270" spans="1:10" x14ac:dyDescent="0.2">
      <c r="A270" s="11">
        <v>10499</v>
      </c>
      <c r="B270" s="12" t="s">
        <v>52</v>
      </c>
      <c r="C270" s="13" t="s">
        <v>339</v>
      </c>
      <c r="D270" s="12" t="s">
        <v>54</v>
      </c>
      <c r="E270" s="10" t="s">
        <v>84</v>
      </c>
      <c r="F270" s="14"/>
      <c r="G270" s="15"/>
      <c r="H270" s="23">
        <v>94.48</v>
      </c>
      <c r="I270" s="14">
        <f t="shared" si="4"/>
        <v>109.85301694915256</v>
      </c>
      <c r="J270" s="14">
        <f>Tabla13[[#This Row],[Precio final en USD]]*$P$4</f>
        <v>175.76482711864412</v>
      </c>
    </row>
    <row r="271" spans="1:10" x14ac:dyDescent="0.2">
      <c r="A271" s="11">
        <v>10500</v>
      </c>
      <c r="B271" s="12" t="s">
        <v>52</v>
      </c>
      <c r="C271" s="13" t="s">
        <v>31</v>
      </c>
      <c r="D271" s="12" t="s">
        <v>54</v>
      </c>
      <c r="E271" s="10" t="s">
        <v>84</v>
      </c>
      <c r="F271" s="14"/>
      <c r="G271" s="15"/>
      <c r="H271" s="23">
        <v>19.079999999999998</v>
      </c>
      <c r="I271" s="14">
        <f t="shared" si="4"/>
        <v>22.184542372881356</v>
      </c>
      <c r="J271" s="14">
        <f>Tabla13[[#This Row],[Precio final en USD]]*$P$4</f>
        <v>35.495267796610172</v>
      </c>
    </row>
    <row r="272" spans="1:10" x14ac:dyDescent="0.2">
      <c r="A272" s="11">
        <v>10501</v>
      </c>
      <c r="B272" s="12" t="s">
        <v>52</v>
      </c>
      <c r="C272" s="13" t="s">
        <v>340</v>
      </c>
      <c r="D272" s="12" t="s">
        <v>54</v>
      </c>
      <c r="E272" s="10" t="s">
        <v>84</v>
      </c>
      <c r="F272" s="14"/>
      <c r="G272" s="15"/>
      <c r="H272" s="23">
        <v>0.94</v>
      </c>
      <c r="I272" s="14">
        <f t="shared" si="4"/>
        <v>1.0929491525423729</v>
      </c>
      <c r="J272" s="14">
        <f>Tabla13[[#This Row],[Precio final en USD]]*$P$4</f>
        <v>1.7487186440677966</v>
      </c>
    </row>
    <row r="273" spans="1:11" x14ac:dyDescent="0.2">
      <c r="A273" s="11">
        <v>10502</v>
      </c>
      <c r="B273" s="12" t="s">
        <v>52</v>
      </c>
      <c r="C273" s="13" t="s">
        <v>341</v>
      </c>
      <c r="D273" s="12" t="s">
        <v>54</v>
      </c>
      <c r="E273" s="10" t="s">
        <v>84</v>
      </c>
      <c r="F273" s="14"/>
      <c r="G273" s="15"/>
      <c r="H273" s="23">
        <v>40.159999999999997</v>
      </c>
      <c r="I273" s="14">
        <f t="shared" si="4"/>
        <v>46.694508474576274</v>
      </c>
      <c r="J273" s="14">
        <f>Tabla13[[#This Row],[Precio final en USD]]*$P$4</f>
        <v>74.711213559322047</v>
      </c>
    </row>
    <row r="274" spans="1:11" x14ac:dyDescent="0.2">
      <c r="A274" s="11">
        <v>10503</v>
      </c>
      <c r="B274" s="12" t="s">
        <v>52</v>
      </c>
      <c r="C274" s="13" t="s">
        <v>342</v>
      </c>
      <c r="D274" s="12" t="s">
        <v>54</v>
      </c>
      <c r="E274" s="10" t="s">
        <v>84</v>
      </c>
      <c r="F274" s="14"/>
      <c r="G274" s="15"/>
      <c r="H274" s="23">
        <v>14.47</v>
      </c>
      <c r="I274" s="14">
        <f t="shared" si="4"/>
        <v>16.824440677966106</v>
      </c>
      <c r="J274" s="14">
        <f>Tabla13[[#This Row],[Precio final en USD]]*$P$4</f>
        <v>26.91910508474577</v>
      </c>
    </row>
    <row r="275" spans="1:11" x14ac:dyDescent="0.2">
      <c r="A275" s="12">
        <v>10504</v>
      </c>
      <c r="B275" s="11" t="s">
        <v>52</v>
      </c>
      <c r="C275" s="13" t="s">
        <v>343</v>
      </c>
      <c r="D275" s="12" t="s">
        <v>58</v>
      </c>
      <c r="E275" s="10" t="s">
        <v>59</v>
      </c>
      <c r="F275" s="14"/>
      <c r="G275" s="15"/>
      <c r="I275" s="14" t="str">
        <f t="shared" si="4"/>
        <v/>
      </c>
      <c r="J275" s="14" t="e">
        <f>Tabla13[[#This Row],[Precio final en USD]]*$P$4</f>
        <v>#VALUE!</v>
      </c>
      <c r="K275" s="10" t="s">
        <v>60</v>
      </c>
    </row>
    <row r="276" spans="1:11" x14ac:dyDescent="0.2">
      <c r="A276" s="11">
        <v>10505</v>
      </c>
      <c r="B276" s="12" t="s">
        <v>52</v>
      </c>
      <c r="C276" s="13" t="s">
        <v>344</v>
      </c>
      <c r="D276" s="12" t="s">
        <v>54</v>
      </c>
      <c r="E276" s="10" t="s">
        <v>68</v>
      </c>
      <c r="F276" s="14"/>
      <c r="G276" s="15"/>
      <c r="I276" s="14" t="str">
        <f t="shared" si="4"/>
        <v/>
      </c>
      <c r="J276" s="14" t="e">
        <f>Tabla13[[#This Row],[Precio final en USD]]*$P$4</f>
        <v>#VALUE!</v>
      </c>
      <c r="K276" s="10" t="s">
        <v>345</v>
      </c>
    </row>
    <row r="277" spans="1:11" x14ac:dyDescent="0.2">
      <c r="A277" s="11">
        <v>10506</v>
      </c>
      <c r="B277" s="12" t="s">
        <v>52</v>
      </c>
      <c r="C277" s="13" t="s">
        <v>346</v>
      </c>
      <c r="D277" s="12" t="s">
        <v>54</v>
      </c>
      <c r="E277" s="10" t="s">
        <v>68</v>
      </c>
      <c r="F277" s="14"/>
      <c r="G277" s="15"/>
      <c r="I277" s="14" t="str">
        <f t="shared" si="4"/>
        <v/>
      </c>
      <c r="J277" s="14" t="e">
        <f>Tabla13[[#This Row],[Precio final en USD]]*$P$4</f>
        <v>#VALUE!</v>
      </c>
      <c r="K277" s="10" t="s">
        <v>345</v>
      </c>
    </row>
    <row r="278" spans="1:11" x14ac:dyDescent="0.2">
      <c r="A278" s="11">
        <v>10507</v>
      </c>
      <c r="B278" s="12" t="s">
        <v>52</v>
      </c>
      <c r="C278" s="13" t="s">
        <v>347</v>
      </c>
      <c r="D278" s="12" t="s">
        <v>54</v>
      </c>
      <c r="E278" s="10" t="s">
        <v>89</v>
      </c>
      <c r="F278" s="14"/>
      <c r="G278" s="15">
        <v>2932</v>
      </c>
      <c r="I278" s="14">
        <f t="shared" si="4"/>
        <v>1.9877966101694915</v>
      </c>
      <c r="J278" s="14">
        <f>Tabla13[[#This Row],[Precio final en USD]]*$P$4</f>
        <v>3.1804745762711866</v>
      </c>
    </row>
    <row r="279" spans="1:11" x14ac:dyDescent="0.2">
      <c r="A279" s="11">
        <v>10508</v>
      </c>
      <c r="B279" s="12" t="s">
        <v>52</v>
      </c>
      <c r="C279" s="13" t="s">
        <v>348</v>
      </c>
      <c r="D279" s="12" t="s">
        <v>54</v>
      </c>
      <c r="E279" s="10" t="s">
        <v>89</v>
      </c>
      <c r="F279" s="14"/>
      <c r="G279" s="15">
        <v>5094</v>
      </c>
      <c r="I279" s="14">
        <f t="shared" si="4"/>
        <v>3.4535593220338985</v>
      </c>
      <c r="J279" s="14">
        <f>Tabla13[[#This Row],[Precio final en USD]]*$P$4</f>
        <v>5.5256949152542383</v>
      </c>
    </row>
    <row r="280" spans="1:11" x14ac:dyDescent="0.2">
      <c r="A280" s="11">
        <v>10509</v>
      </c>
      <c r="B280" s="12" t="s">
        <v>52</v>
      </c>
      <c r="C280" s="13" t="s">
        <v>349</v>
      </c>
      <c r="D280" s="12" t="s">
        <v>54</v>
      </c>
      <c r="E280" s="10" t="s">
        <v>350</v>
      </c>
      <c r="F280" s="14"/>
      <c r="G280" s="15">
        <v>16071</v>
      </c>
      <c r="I280" s="14">
        <f t="shared" si="4"/>
        <v>10.895593220338982</v>
      </c>
      <c r="J280" s="14">
        <f>Tabla13[[#This Row],[Precio final en USD]]*$P$4</f>
        <v>17.432949152542374</v>
      </c>
    </row>
    <row r="281" spans="1:11" x14ac:dyDescent="0.2">
      <c r="A281" s="11">
        <v>10510</v>
      </c>
      <c r="B281" s="12" t="s">
        <v>52</v>
      </c>
      <c r="C281" s="13" t="s">
        <v>351</v>
      </c>
      <c r="D281" s="12" t="s">
        <v>54</v>
      </c>
      <c r="E281" s="10" t="s">
        <v>350</v>
      </c>
      <c r="F281" s="14"/>
      <c r="G281" s="15">
        <v>6518</v>
      </c>
      <c r="I281" s="14">
        <f t="shared" si="4"/>
        <v>4.4189830508474577</v>
      </c>
      <c r="J281" s="14">
        <f>Tabla13[[#This Row],[Precio final en USD]]*$P$4</f>
        <v>7.070372881355933</v>
      </c>
    </row>
    <row r="282" spans="1:11" x14ac:dyDescent="0.2">
      <c r="A282" s="11">
        <v>10511</v>
      </c>
      <c r="B282" s="12" t="s">
        <v>52</v>
      </c>
      <c r="C282" s="13" t="s">
        <v>352</v>
      </c>
      <c r="D282" s="12" t="s">
        <v>54</v>
      </c>
      <c r="E282" s="10" t="s">
        <v>350</v>
      </c>
      <c r="F282" s="14"/>
      <c r="G282" s="15">
        <v>3493</v>
      </c>
      <c r="I282" s="14">
        <f t="shared" si="4"/>
        <v>2.3681355932203392</v>
      </c>
      <c r="J282" s="14">
        <f>Tabla13[[#This Row],[Precio final en USD]]*$P$4</f>
        <v>3.7890169491525429</v>
      </c>
    </row>
    <row r="283" spans="1:11" x14ac:dyDescent="0.2">
      <c r="A283" s="11">
        <v>10512</v>
      </c>
      <c r="B283" s="12" t="s">
        <v>52</v>
      </c>
      <c r="C283" s="13" t="s">
        <v>353</v>
      </c>
      <c r="D283" s="12" t="s">
        <v>54</v>
      </c>
      <c r="E283" s="10" t="s">
        <v>84</v>
      </c>
      <c r="F283" s="14"/>
      <c r="G283" s="15"/>
      <c r="H283" s="23">
        <v>19.04</v>
      </c>
      <c r="I283" s="14">
        <f t="shared" si="4"/>
        <v>22.138033898305086</v>
      </c>
      <c r="J283" s="14">
        <f>Tabla13[[#This Row],[Precio final en USD]]*$P$4</f>
        <v>35.42085423728814</v>
      </c>
    </row>
    <row r="284" spans="1:11" x14ac:dyDescent="0.2">
      <c r="A284" s="11">
        <v>10513</v>
      </c>
      <c r="B284" s="12" t="s">
        <v>52</v>
      </c>
      <c r="C284" s="13" t="s">
        <v>354</v>
      </c>
      <c r="D284" s="12" t="s">
        <v>54</v>
      </c>
      <c r="E284" s="10" t="s">
        <v>89</v>
      </c>
      <c r="F284" s="14"/>
      <c r="G284" s="15">
        <v>180000</v>
      </c>
      <c r="I284" s="14">
        <f t="shared" si="4"/>
        <v>122.03389830508475</v>
      </c>
      <c r="J284" s="14">
        <f>Tabla13[[#This Row],[Precio final en USD]]*$P$4</f>
        <v>195.25423728813561</v>
      </c>
    </row>
    <row r="285" spans="1:11" x14ac:dyDescent="0.2">
      <c r="A285" s="11">
        <v>10514</v>
      </c>
      <c r="B285" s="12" t="s">
        <v>52</v>
      </c>
      <c r="C285" s="13" t="s">
        <v>355</v>
      </c>
      <c r="D285" s="12" t="s">
        <v>54</v>
      </c>
      <c r="E285" s="10" t="s">
        <v>89</v>
      </c>
      <c r="F285" s="14"/>
      <c r="G285" s="15">
        <v>22000</v>
      </c>
      <c r="I285" s="14">
        <f t="shared" si="4"/>
        <v>14.915254237288135</v>
      </c>
      <c r="J285" s="14">
        <f>Tabla13[[#This Row],[Precio final en USD]]*$P$4</f>
        <v>23.864406779661017</v>
      </c>
    </row>
    <row r="286" spans="1:11" x14ac:dyDescent="0.2">
      <c r="A286" s="11">
        <v>10559</v>
      </c>
      <c r="B286" s="12" t="s">
        <v>52</v>
      </c>
      <c r="C286" s="13" t="s">
        <v>356</v>
      </c>
      <c r="D286" s="12" t="s">
        <v>54</v>
      </c>
      <c r="E286" s="10" t="s">
        <v>68</v>
      </c>
      <c r="F286" s="14"/>
      <c r="G286" s="15">
        <v>150000</v>
      </c>
      <c r="I286" s="14">
        <f t="shared" si="4"/>
        <v>101.69491525423729</v>
      </c>
      <c r="J286" s="14">
        <f>Tabla13[[#This Row],[Precio final en USD]]*$P$4</f>
        <v>162.71186440677968</v>
      </c>
    </row>
    <row r="287" spans="1:11" x14ac:dyDescent="0.2">
      <c r="A287" s="11">
        <v>10560</v>
      </c>
      <c r="B287" s="12" t="s">
        <v>52</v>
      </c>
      <c r="C287" s="13" t="s">
        <v>357</v>
      </c>
      <c r="D287" s="12" t="s">
        <v>54</v>
      </c>
      <c r="E287" s="10" t="s">
        <v>55</v>
      </c>
      <c r="F287" s="14">
        <v>1288</v>
      </c>
      <c r="G287" s="15"/>
      <c r="I287" s="14">
        <f t="shared" si="4"/>
        <v>1288</v>
      </c>
      <c r="J287" s="14">
        <f>Tabla13[[#This Row],[Precio final en USD]]*$P$4</f>
        <v>2060.8000000000002</v>
      </c>
    </row>
    <row r="288" spans="1:11" x14ac:dyDescent="0.2">
      <c r="A288" s="11">
        <v>10561</v>
      </c>
      <c r="B288" s="12" t="s">
        <v>52</v>
      </c>
      <c r="C288" s="13" t="s">
        <v>358</v>
      </c>
      <c r="D288" s="12" t="s">
        <v>54</v>
      </c>
      <c r="E288" s="10" t="s">
        <v>55</v>
      </c>
      <c r="F288" s="14">
        <v>974.81</v>
      </c>
      <c r="G288" s="15"/>
      <c r="I288" s="14">
        <f t="shared" si="4"/>
        <v>974.81</v>
      </c>
      <c r="J288" s="14">
        <f>Tabla13[[#This Row],[Precio final en USD]]*$P$4</f>
        <v>1559.6959999999999</v>
      </c>
    </row>
    <row r="289" spans="1:11" x14ac:dyDescent="0.2">
      <c r="A289" s="11">
        <v>10563</v>
      </c>
      <c r="B289" s="12" t="s">
        <v>52</v>
      </c>
      <c r="C289" s="13" t="s">
        <v>359</v>
      </c>
      <c r="D289" s="12" t="s">
        <v>54</v>
      </c>
      <c r="E289" s="10" t="s">
        <v>91</v>
      </c>
      <c r="F289" s="14"/>
      <c r="G289" s="15"/>
      <c r="I289" s="14" t="str">
        <f t="shared" si="4"/>
        <v/>
      </c>
      <c r="J289" s="14" t="e">
        <f>Tabla13[[#This Row],[Precio final en USD]]*$P$4</f>
        <v>#VALUE!</v>
      </c>
      <c r="K289" s="10" t="s">
        <v>360</v>
      </c>
    </row>
    <row r="290" spans="1:11" x14ac:dyDescent="0.2">
      <c r="A290" s="11">
        <v>10580</v>
      </c>
      <c r="B290" s="12" t="s">
        <v>52</v>
      </c>
      <c r="C290" s="13" t="s">
        <v>17</v>
      </c>
      <c r="D290" s="12" t="s">
        <v>54</v>
      </c>
      <c r="E290" s="10" t="s">
        <v>84</v>
      </c>
      <c r="F290" s="14"/>
      <c r="G290" s="15"/>
      <c r="H290" s="23">
        <v>30.44</v>
      </c>
      <c r="I290" s="14">
        <f t="shared" si="4"/>
        <v>35.392949152542378</v>
      </c>
      <c r="J290" s="14">
        <f>Tabla13[[#This Row],[Precio final en USD]]*$P$4</f>
        <v>56.62871864406781</v>
      </c>
    </row>
    <row r="291" spans="1:11" x14ac:dyDescent="0.2">
      <c r="A291" s="11">
        <v>10581</v>
      </c>
      <c r="B291" s="12" t="s">
        <v>52</v>
      </c>
      <c r="C291" s="13" t="s">
        <v>361</v>
      </c>
      <c r="D291" s="12" t="s">
        <v>54</v>
      </c>
      <c r="E291" s="10" t="s">
        <v>84</v>
      </c>
      <c r="F291" s="14"/>
      <c r="G291" s="15"/>
      <c r="H291" s="23">
        <v>50.03</v>
      </c>
      <c r="I291" s="14">
        <f t="shared" si="4"/>
        <v>58.170474576271189</v>
      </c>
      <c r="J291" s="14">
        <f>Tabla13[[#This Row],[Precio final en USD]]*$P$4</f>
        <v>93.072759322033903</v>
      </c>
    </row>
    <row r="292" spans="1:11" x14ac:dyDescent="0.2">
      <c r="A292" s="11">
        <v>10582</v>
      </c>
      <c r="B292" s="12" t="s">
        <v>52</v>
      </c>
      <c r="C292" s="13" t="s">
        <v>362</v>
      </c>
      <c r="D292" s="12" t="s">
        <v>54</v>
      </c>
      <c r="E292" s="10" t="s">
        <v>84</v>
      </c>
      <c r="F292" s="14"/>
      <c r="G292" s="15"/>
      <c r="H292" s="23">
        <f>94.93/2</f>
        <v>47.465000000000003</v>
      </c>
      <c r="I292" s="14">
        <f t="shared" si="4"/>
        <v>55.188118644067806</v>
      </c>
      <c r="J292" s="14">
        <f>Tabla13[[#This Row],[Precio final en USD]]*$P$4</f>
        <v>88.300989830508499</v>
      </c>
    </row>
    <row r="293" spans="1:11" x14ac:dyDescent="0.2">
      <c r="A293" s="11">
        <v>10583</v>
      </c>
      <c r="B293" s="12" t="s">
        <v>52</v>
      </c>
      <c r="C293" s="13" t="s">
        <v>363</v>
      </c>
      <c r="D293" s="12" t="s">
        <v>54</v>
      </c>
      <c r="E293" s="10" t="s">
        <v>84</v>
      </c>
      <c r="F293" s="14"/>
      <c r="G293" s="15"/>
      <c r="H293" s="23">
        <v>12.88</v>
      </c>
      <c r="I293" s="14">
        <f t="shared" si="4"/>
        <v>14.975728813559325</v>
      </c>
      <c r="J293" s="14">
        <f>Tabla13[[#This Row],[Precio final en USD]]*$P$4</f>
        <v>23.961166101694921</v>
      </c>
    </row>
    <row r="294" spans="1:11" x14ac:dyDescent="0.2">
      <c r="A294" s="11">
        <v>10584</v>
      </c>
      <c r="B294" s="12" t="s">
        <v>52</v>
      </c>
      <c r="C294" s="13" t="s">
        <v>364</v>
      </c>
      <c r="D294" s="12" t="s">
        <v>54</v>
      </c>
      <c r="E294" s="10" t="s">
        <v>84</v>
      </c>
      <c r="F294" s="14"/>
      <c r="G294" s="15"/>
      <c r="H294" s="23">
        <v>80.989999999999995</v>
      </c>
      <c r="I294" s="14">
        <f t="shared" si="4"/>
        <v>94.168033898305083</v>
      </c>
      <c r="J294" s="14">
        <f>Tabla13[[#This Row],[Precio final en USD]]*$P$4</f>
        <v>150.66885423728814</v>
      </c>
    </row>
    <row r="295" spans="1:11" x14ac:dyDescent="0.2">
      <c r="A295" s="11">
        <v>10585</v>
      </c>
      <c r="B295" s="12" t="s">
        <v>52</v>
      </c>
      <c r="C295" s="13" t="s">
        <v>365</v>
      </c>
      <c r="D295" s="12" t="s">
        <v>54</v>
      </c>
      <c r="E295" s="10" t="s">
        <v>84</v>
      </c>
      <c r="F295" s="14"/>
      <c r="G295" s="15"/>
      <c r="H295" s="23">
        <v>44.98</v>
      </c>
      <c r="I295" s="14">
        <f t="shared" si="4"/>
        <v>52.298779661016951</v>
      </c>
      <c r="J295" s="14">
        <f>Tabla13[[#This Row],[Precio final en USD]]*$P$4</f>
        <v>83.67804745762713</v>
      </c>
    </row>
    <row r="296" spans="1:11" x14ac:dyDescent="0.2">
      <c r="A296" s="11">
        <v>10588</v>
      </c>
      <c r="B296" s="12" t="s">
        <v>52</v>
      </c>
      <c r="C296" s="13" t="s">
        <v>366</v>
      </c>
      <c r="D296" s="12" t="s">
        <v>54</v>
      </c>
      <c r="E296" s="10" t="s">
        <v>55</v>
      </c>
      <c r="F296" s="14">
        <v>262</v>
      </c>
      <c r="G296" s="15"/>
      <c r="I296" s="14">
        <f t="shared" si="4"/>
        <v>262</v>
      </c>
      <c r="J296" s="14">
        <f>Tabla13[[#This Row],[Precio final en USD]]*$P$4</f>
        <v>419.20000000000005</v>
      </c>
    </row>
    <row r="297" spans="1:11" x14ac:dyDescent="0.2">
      <c r="A297" s="11">
        <v>10589</v>
      </c>
      <c r="B297" s="12" t="s">
        <v>52</v>
      </c>
      <c r="C297" s="13" t="s">
        <v>367</v>
      </c>
      <c r="D297" s="12" t="s">
        <v>54</v>
      </c>
      <c r="E297" s="10" t="s">
        <v>368</v>
      </c>
      <c r="F297" s="14">
        <v>250</v>
      </c>
      <c r="G297" s="15"/>
      <c r="H297" s="23"/>
      <c r="I297" s="14">
        <f t="shared" si="4"/>
        <v>250</v>
      </c>
      <c r="J297" s="14">
        <f>Tabla13[[#This Row],[Precio final en USD]]*$P$4</f>
        <v>400</v>
      </c>
    </row>
    <row r="298" spans="1:11" x14ac:dyDescent="0.2">
      <c r="A298" s="11">
        <v>10590</v>
      </c>
      <c r="B298" s="12" t="s">
        <v>52</v>
      </c>
      <c r="C298" s="13" t="s">
        <v>369</v>
      </c>
      <c r="D298" s="12" t="s">
        <v>54</v>
      </c>
      <c r="E298" s="10" t="s">
        <v>84</v>
      </c>
      <c r="F298" s="14"/>
      <c r="G298" s="15"/>
      <c r="H298" s="23">
        <f>369.23/2</f>
        <v>184.61500000000001</v>
      </c>
      <c r="I298" s="14">
        <f t="shared" si="4"/>
        <v>214.65405084745765</v>
      </c>
      <c r="J298" s="14">
        <f>Tabla13[[#This Row],[Precio final en USD]]*$P$4</f>
        <v>343.44648135593229</v>
      </c>
    </row>
    <row r="299" spans="1:11" x14ac:dyDescent="0.2">
      <c r="A299" s="11">
        <v>10591</v>
      </c>
      <c r="B299" s="12" t="s">
        <v>52</v>
      </c>
      <c r="C299" s="13" t="s">
        <v>370</v>
      </c>
      <c r="D299" s="12" t="s">
        <v>54</v>
      </c>
      <c r="E299" s="10" t="s">
        <v>89</v>
      </c>
      <c r="F299" s="14"/>
      <c r="G299" s="15">
        <v>25996</v>
      </c>
      <c r="I299" s="14">
        <f t="shared" si="4"/>
        <v>17.624406779661015</v>
      </c>
      <c r="J299" s="14">
        <f>Tabla13[[#This Row],[Precio final en USD]]*$P$4</f>
        <v>28.199050847457627</v>
      </c>
    </row>
    <row r="300" spans="1:11" x14ac:dyDescent="0.2">
      <c r="A300" s="11">
        <v>10592</v>
      </c>
      <c r="B300" s="12" t="s">
        <v>52</v>
      </c>
      <c r="C300" s="13" t="s">
        <v>371</v>
      </c>
      <c r="D300" s="12" t="s">
        <v>54</v>
      </c>
      <c r="E300" s="10" t="s">
        <v>84</v>
      </c>
      <c r="F300" s="14"/>
      <c r="G300" s="15"/>
      <c r="H300" s="23">
        <v>0</v>
      </c>
      <c r="I300" s="14">
        <f t="shared" si="4"/>
        <v>0</v>
      </c>
      <c r="J300" s="14">
        <f>Tabla13[[#This Row],[Precio final en USD]]*$P$4</f>
        <v>0</v>
      </c>
      <c r="K300" s="10" t="s">
        <v>372</v>
      </c>
    </row>
    <row r="301" spans="1:11" x14ac:dyDescent="0.2">
      <c r="A301" s="11">
        <v>10593</v>
      </c>
      <c r="B301" s="12" t="s">
        <v>52</v>
      </c>
      <c r="C301" s="13" t="s">
        <v>373</v>
      </c>
      <c r="D301" s="12" t="s">
        <v>54</v>
      </c>
      <c r="E301" s="10" t="s">
        <v>231</v>
      </c>
      <c r="F301" s="14">
        <v>307</v>
      </c>
      <c r="G301" s="15"/>
      <c r="I301" s="14">
        <f t="shared" si="4"/>
        <v>307</v>
      </c>
      <c r="J301" s="14">
        <f>Tabla13[[#This Row],[Precio final en USD]]*$P$4</f>
        <v>491.20000000000005</v>
      </c>
    </row>
    <row r="302" spans="1:11" x14ac:dyDescent="0.2">
      <c r="A302" s="11">
        <v>10594</v>
      </c>
      <c r="B302" s="12" t="s">
        <v>52</v>
      </c>
      <c r="C302" s="13" t="s">
        <v>28</v>
      </c>
      <c r="D302" s="12" t="s">
        <v>54</v>
      </c>
      <c r="E302" s="10" t="s">
        <v>84</v>
      </c>
      <c r="F302" s="14"/>
      <c r="G302" s="15"/>
      <c r="H302" s="10">
        <v>33.11</v>
      </c>
      <c r="I302" s="14">
        <f t="shared" si="4"/>
        <v>38.497389830508475</v>
      </c>
      <c r="J302" s="14">
        <f>Tabla13[[#This Row],[Precio final en USD]]*$P$4</f>
        <v>61.595823728813563</v>
      </c>
    </row>
    <row r="303" spans="1:11" x14ac:dyDescent="0.2">
      <c r="A303" s="11">
        <v>10595</v>
      </c>
      <c r="B303" s="12" t="s">
        <v>52</v>
      </c>
      <c r="C303" s="13" t="s">
        <v>374</v>
      </c>
      <c r="D303" s="12" t="s">
        <v>54</v>
      </c>
      <c r="E303" s="10" t="s">
        <v>84</v>
      </c>
      <c r="F303" s="14"/>
      <c r="G303" s="15"/>
      <c r="H303" s="10">
        <v>30</v>
      </c>
      <c r="I303" s="14">
        <f t="shared" si="4"/>
        <v>34.881355932203391</v>
      </c>
      <c r="J303" s="14">
        <f>Tabla13[[#This Row],[Precio final en USD]]*$P$4</f>
        <v>55.810169491525428</v>
      </c>
    </row>
    <row r="304" spans="1:11" x14ac:dyDescent="0.2">
      <c r="A304" s="11">
        <v>10596</v>
      </c>
      <c r="B304" s="12" t="s">
        <v>52</v>
      </c>
      <c r="C304" s="13" t="s">
        <v>375</v>
      </c>
      <c r="D304" s="12" t="s">
        <v>54</v>
      </c>
      <c r="E304" s="10" t="s">
        <v>84</v>
      </c>
      <c r="F304" s="14"/>
      <c r="G304" s="15"/>
      <c r="H304" s="10">
        <v>203.96</v>
      </c>
      <c r="I304" s="14">
        <f t="shared" si="4"/>
        <v>237.1467118644068</v>
      </c>
      <c r="J304" s="14">
        <f>Tabla13[[#This Row],[Precio final en USD]]*$P$4</f>
        <v>379.43473898305092</v>
      </c>
    </row>
    <row r="305" spans="1:11" x14ac:dyDescent="0.2">
      <c r="A305" s="11">
        <v>10597</v>
      </c>
      <c r="B305" s="12" t="s">
        <v>52</v>
      </c>
      <c r="C305" s="13" t="s">
        <v>376</v>
      </c>
      <c r="D305" s="12" t="s">
        <v>54</v>
      </c>
      <c r="E305" s="10" t="s">
        <v>84</v>
      </c>
      <c r="F305" s="14"/>
      <c r="G305" s="15"/>
      <c r="H305" s="23">
        <v>75</v>
      </c>
      <c r="I305" s="14">
        <f t="shared" si="4"/>
        <v>87.203389830508485</v>
      </c>
      <c r="J305" s="14">
        <f>Tabla13[[#This Row],[Precio final en USD]]*$P$4</f>
        <v>139.52542372881359</v>
      </c>
    </row>
    <row r="306" spans="1:11" x14ac:dyDescent="0.2">
      <c r="A306" s="11">
        <v>10598</v>
      </c>
      <c r="B306" s="12" t="s">
        <v>52</v>
      </c>
      <c r="C306" s="13" t="s">
        <v>377</v>
      </c>
      <c r="D306" s="12" t="s">
        <v>54</v>
      </c>
      <c r="E306" s="10" t="s">
        <v>84</v>
      </c>
      <c r="F306" s="14"/>
      <c r="G306" s="15"/>
      <c r="H306" s="10">
        <v>38.06</v>
      </c>
      <c r="I306" s="14">
        <f t="shared" si="4"/>
        <v>44.252813559322043</v>
      </c>
      <c r="J306" s="14">
        <f>Tabla13[[#This Row],[Precio final en USD]]*$P$4</f>
        <v>70.804501694915274</v>
      </c>
    </row>
    <row r="307" spans="1:11" x14ac:dyDescent="0.2">
      <c r="A307" s="11">
        <v>10599</v>
      </c>
      <c r="B307" s="12" t="s">
        <v>52</v>
      </c>
      <c r="C307" s="13" t="s">
        <v>378</v>
      </c>
      <c r="D307" s="12" t="s">
        <v>54</v>
      </c>
      <c r="E307" s="10" t="s">
        <v>84</v>
      </c>
      <c r="F307" s="14"/>
      <c r="G307" s="15"/>
      <c r="H307" s="10">
        <v>9.5399999999999991</v>
      </c>
      <c r="I307" s="14">
        <f t="shared" si="4"/>
        <v>11.092271186440678</v>
      </c>
      <c r="J307" s="14">
        <f>Tabla13[[#This Row],[Precio final en USD]]*$P$4</f>
        <v>17.747633898305086</v>
      </c>
    </row>
    <row r="308" spans="1:11" x14ac:dyDescent="0.2">
      <c r="A308" s="11">
        <v>10600</v>
      </c>
      <c r="B308" s="12" t="s">
        <v>52</v>
      </c>
      <c r="C308" s="13" t="s">
        <v>379</v>
      </c>
      <c r="D308" s="12" t="s">
        <v>54</v>
      </c>
      <c r="E308" s="10" t="s">
        <v>84</v>
      </c>
      <c r="F308" s="14"/>
      <c r="G308" s="15"/>
      <c r="H308" s="10">
        <v>8.8000000000000007</v>
      </c>
      <c r="I308" s="14">
        <f t="shared" si="4"/>
        <v>10.231864406779662</v>
      </c>
      <c r="J308" s="14">
        <f>Tabla13[[#This Row],[Precio final en USD]]*$P$4</f>
        <v>16.37098305084746</v>
      </c>
    </row>
    <row r="309" spans="1:11" x14ac:dyDescent="0.2">
      <c r="A309" s="11">
        <v>10601</v>
      </c>
      <c r="B309" s="12" t="s">
        <v>52</v>
      </c>
      <c r="C309" s="13" t="s">
        <v>380</v>
      </c>
      <c r="D309" s="12" t="s">
        <v>54</v>
      </c>
      <c r="E309" s="10" t="s">
        <v>89</v>
      </c>
      <c r="F309" s="14"/>
      <c r="G309" s="15">
        <v>45000</v>
      </c>
      <c r="I309" s="14">
        <f t="shared" si="4"/>
        <v>30.508474576271187</v>
      </c>
      <c r="J309" s="14">
        <f>Tabla13[[#This Row],[Precio final en USD]]*$P$4</f>
        <v>48.813559322033903</v>
      </c>
    </row>
    <row r="310" spans="1:11" x14ac:dyDescent="0.2">
      <c r="A310" s="11">
        <v>10602</v>
      </c>
      <c r="B310" s="12" t="s">
        <v>52</v>
      </c>
      <c r="C310" s="13" t="s">
        <v>381</v>
      </c>
      <c r="D310" s="12" t="s">
        <v>54</v>
      </c>
      <c r="F310" s="14"/>
      <c r="G310" s="15"/>
      <c r="I310" s="14" t="str">
        <f t="shared" si="4"/>
        <v/>
      </c>
      <c r="J310" s="14" t="e">
        <f>Tabla13[[#This Row],[Precio final en USD]]*$P$4</f>
        <v>#VALUE!</v>
      </c>
      <c r="K310" s="10" t="s">
        <v>382</v>
      </c>
    </row>
    <row r="311" spans="1:11" x14ac:dyDescent="0.2">
      <c r="A311" s="11">
        <v>10603</v>
      </c>
      <c r="B311" s="12" t="s">
        <v>52</v>
      </c>
      <c r="C311" s="13" t="s">
        <v>383</v>
      </c>
      <c r="D311" s="12" t="s">
        <v>54</v>
      </c>
      <c r="F311" s="14"/>
      <c r="G311" s="15"/>
      <c r="I311" s="14" t="str">
        <f t="shared" si="4"/>
        <v/>
      </c>
      <c r="J311" s="14" t="e">
        <f>Tabla13[[#This Row],[Precio final en USD]]*$P$4</f>
        <v>#VALUE!</v>
      </c>
      <c r="K311" s="10" t="s">
        <v>382</v>
      </c>
    </row>
    <row r="312" spans="1:11" x14ac:dyDescent="0.2">
      <c r="A312" s="11">
        <v>10604</v>
      </c>
      <c r="B312" s="12" t="s">
        <v>52</v>
      </c>
      <c r="C312" s="13" t="s">
        <v>384</v>
      </c>
      <c r="D312" s="12" t="s">
        <v>54</v>
      </c>
      <c r="E312" s="10" t="s">
        <v>89</v>
      </c>
      <c r="F312" s="14"/>
      <c r="G312" s="15">
        <v>1700</v>
      </c>
      <c r="I312" s="14">
        <f t="shared" si="4"/>
        <v>1.152542372881356</v>
      </c>
      <c r="J312" s="14">
        <f>Tabla13[[#This Row],[Precio final en USD]]*$P$4</f>
        <v>1.8440677966101697</v>
      </c>
    </row>
    <row r="313" spans="1:11" x14ac:dyDescent="0.2">
      <c r="A313" s="11">
        <v>10605</v>
      </c>
      <c r="B313" s="12" t="s">
        <v>52</v>
      </c>
      <c r="C313" s="13" t="s">
        <v>385</v>
      </c>
      <c r="D313" s="12" t="s">
        <v>54</v>
      </c>
      <c r="E313" s="10" t="s">
        <v>89</v>
      </c>
      <c r="F313" s="14"/>
      <c r="G313" s="15">
        <v>9152</v>
      </c>
      <c r="I313" s="14">
        <f t="shared" si="4"/>
        <v>6.2047457627118643</v>
      </c>
      <c r="J313" s="14">
        <f>Tabla13[[#This Row],[Precio final en USD]]*$P$4</f>
        <v>9.9275932203389843</v>
      </c>
    </row>
    <row r="314" spans="1:11" x14ac:dyDescent="0.2">
      <c r="A314" s="11">
        <v>10606</v>
      </c>
      <c r="B314" s="12" t="s">
        <v>52</v>
      </c>
      <c r="C314" s="13" t="s">
        <v>386</v>
      </c>
      <c r="D314" s="12" t="s">
        <v>54</v>
      </c>
      <c r="E314" s="10" t="s">
        <v>89</v>
      </c>
      <c r="F314" s="14"/>
      <c r="G314" s="15">
        <v>16000</v>
      </c>
      <c r="I314" s="14">
        <f t="shared" si="4"/>
        <v>10.847457627118644</v>
      </c>
      <c r="J314" s="14">
        <f>Tabla13[[#This Row],[Precio final en USD]]*$P$4</f>
        <v>17.35593220338983</v>
      </c>
    </row>
    <row r="315" spans="1:11" x14ac:dyDescent="0.2">
      <c r="A315" s="11">
        <v>10607</v>
      </c>
      <c r="B315" s="12" t="s">
        <v>52</v>
      </c>
      <c r="C315" s="13" t="s">
        <v>387</v>
      </c>
      <c r="D315" s="12" t="s">
        <v>54</v>
      </c>
      <c r="F315" s="14"/>
      <c r="G315" s="15"/>
      <c r="I315" s="14" t="str">
        <f t="shared" si="4"/>
        <v/>
      </c>
      <c r="J315" s="14" t="e">
        <f>Tabla13[[#This Row],[Precio final en USD]]*$P$4</f>
        <v>#VALUE!</v>
      </c>
      <c r="K315" s="10" t="s">
        <v>382</v>
      </c>
    </row>
    <row r="316" spans="1:11" x14ac:dyDescent="0.2">
      <c r="A316" s="11">
        <v>10608</v>
      </c>
      <c r="B316" s="12" t="s">
        <v>52</v>
      </c>
      <c r="C316" s="13" t="s">
        <v>388</v>
      </c>
      <c r="D316" s="12" t="s">
        <v>54</v>
      </c>
      <c r="F316" s="14"/>
      <c r="G316" s="15"/>
      <c r="I316" s="14" t="str">
        <f t="shared" si="4"/>
        <v/>
      </c>
      <c r="J316" s="14" t="e">
        <f>Tabla13[[#This Row],[Precio final en USD]]*$P$4</f>
        <v>#VALUE!</v>
      </c>
      <c r="K316" s="10" t="s">
        <v>382</v>
      </c>
    </row>
    <row r="317" spans="1:11" x14ac:dyDescent="0.2">
      <c r="A317" s="11">
        <v>10609</v>
      </c>
      <c r="B317" s="12" t="s">
        <v>52</v>
      </c>
      <c r="C317" s="13" t="s">
        <v>389</v>
      </c>
      <c r="D317" s="12" t="s">
        <v>54</v>
      </c>
      <c r="E317" s="10" t="s">
        <v>68</v>
      </c>
      <c r="F317" s="14"/>
      <c r="G317" s="15">
        <v>64000</v>
      </c>
      <c r="I317" s="14">
        <f t="shared" si="4"/>
        <v>43.389830508474574</v>
      </c>
      <c r="J317" s="14">
        <f>Tabla13[[#This Row],[Precio final en USD]]*$P$4</f>
        <v>69.423728813559322</v>
      </c>
    </row>
    <row r="318" spans="1:11" x14ac:dyDescent="0.2">
      <c r="A318" s="11">
        <v>10610</v>
      </c>
      <c r="B318" s="12" t="s">
        <v>52</v>
      </c>
      <c r="C318" s="13" t="s">
        <v>390</v>
      </c>
      <c r="D318" s="12" t="s">
        <v>54</v>
      </c>
      <c r="F318" s="14"/>
      <c r="G318" s="15">
        <v>0</v>
      </c>
      <c r="I318" s="14">
        <f t="shared" si="4"/>
        <v>0</v>
      </c>
      <c r="J318" s="14">
        <f>Tabla13[[#This Row],[Precio final en USD]]*$P$4</f>
        <v>0</v>
      </c>
      <c r="K318" s="10" t="s">
        <v>391</v>
      </c>
    </row>
    <row r="319" spans="1:11" x14ac:dyDescent="0.2">
      <c r="A319" s="11">
        <v>10611</v>
      </c>
      <c r="B319" s="12" t="s">
        <v>52</v>
      </c>
      <c r="C319" s="13" t="s">
        <v>392</v>
      </c>
      <c r="D319" s="12" t="s">
        <v>54</v>
      </c>
      <c r="E319" s="10" t="s">
        <v>68</v>
      </c>
      <c r="F319" s="14"/>
      <c r="G319" s="15">
        <v>135000</v>
      </c>
      <c r="I319" s="14">
        <f t="shared" si="4"/>
        <v>91.525423728813564</v>
      </c>
      <c r="J319" s="14">
        <f>Tabla13[[#This Row],[Precio final en USD]]*$P$4</f>
        <v>146.4406779661017</v>
      </c>
    </row>
    <row r="320" spans="1:11" x14ac:dyDescent="0.2">
      <c r="A320" s="11">
        <v>10613</v>
      </c>
      <c r="B320" s="12" t="s">
        <v>52</v>
      </c>
      <c r="C320" s="13" t="s">
        <v>393</v>
      </c>
      <c r="D320" s="12" t="s">
        <v>54</v>
      </c>
      <c r="E320" s="10" t="s">
        <v>68</v>
      </c>
      <c r="F320" s="14"/>
      <c r="G320" s="15">
        <v>150000</v>
      </c>
      <c r="I320" s="14">
        <f t="shared" si="4"/>
        <v>101.69491525423729</v>
      </c>
      <c r="J320" s="14">
        <f>Tabla13[[#This Row],[Precio final en USD]]*$P$4</f>
        <v>162.71186440677968</v>
      </c>
    </row>
    <row r="321" spans="1:11" x14ac:dyDescent="0.2">
      <c r="A321" s="11">
        <v>10614</v>
      </c>
      <c r="B321" s="12" t="s">
        <v>52</v>
      </c>
      <c r="C321" s="13" t="s">
        <v>394</v>
      </c>
      <c r="D321" s="12" t="s">
        <v>54</v>
      </c>
      <c r="E321" s="10" t="s">
        <v>84</v>
      </c>
      <c r="F321" s="14"/>
      <c r="G321" s="15"/>
      <c r="H321" s="10">
        <v>100</v>
      </c>
      <c r="I321" s="14">
        <f t="shared" si="4"/>
        <v>116.27118644067798</v>
      </c>
      <c r="J321" s="14">
        <f>Tabla13[[#This Row],[Precio final en USD]]*$P$4</f>
        <v>186.03389830508479</v>
      </c>
    </row>
    <row r="322" spans="1:11" x14ac:dyDescent="0.2">
      <c r="A322" s="11">
        <v>10615</v>
      </c>
      <c r="B322" s="12" t="s">
        <v>52</v>
      </c>
      <c r="C322" s="13" t="s">
        <v>395</v>
      </c>
      <c r="D322" s="12" t="s">
        <v>54</v>
      </c>
      <c r="E322" s="10" t="s">
        <v>84</v>
      </c>
      <c r="F322" s="14"/>
      <c r="G322" s="15"/>
      <c r="H322" s="10">
        <v>231</v>
      </c>
      <c r="I322" s="14">
        <f t="shared" ref="I322:I385" si="5">IF(AND(F322="",G322="",H322=""),"",IF(F322&lt;&gt;"",F322,IF(G322&lt;&gt;"",G322/$O$1,IF(H322&lt;&gt;"",H322*$O$2,"ver"))))</f>
        <v>268.58644067796615</v>
      </c>
      <c r="J322" s="14">
        <f>Tabla13[[#This Row],[Precio final en USD]]*$P$4</f>
        <v>429.73830508474589</v>
      </c>
    </row>
    <row r="323" spans="1:11" x14ac:dyDescent="0.2">
      <c r="A323" s="11">
        <v>10616</v>
      </c>
      <c r="B323" s="12" t="s">
        <v>52</v>
      </c>
      <c r="C323" s="13" t="s">
        <v>396</v>
      </c>
      <c r="D323" s="12" t="s">
        <v>54</v>
      </c>
      <c r="E323" s="10" t="s">
        <v>84</v>
      </c>
      <c r="F323" s="14"/>
      <c r="G323" s="15"/>
      <c r="H323" s="10">
        <f>94.48/2</f>
        <v>47.24</v>
      </c>
      <c r="I323" s="14">
        <f t="shared" si="5"/>
        <v>54.926508474576281</v>
      </c>
      <c r="J323" s="14">
        <f>Tabla13[[#This Row],[Precio final en USD]]*$P$4</f>
        <v>87.88241355932206</v>
      </c>
    </row>
    <row r="324" spans="1:11" x14ac:dyDescent="0.2">
      <c r="A324" s="11">
        <v>10617</v>
      </c>
      <c r="B324" s="12" t="s">
        <v>52</v>
      </c>
      <c r="C324" s="13" t="s">
        <v>397</v>
      </c>
      <c r="D324" s="12" t="s">
        <v>54</v>
      </c>
      <c r="E324" s="10" t="s">
        <v>84</v>
      </c>
      <c r="F324" s="14"/>
      <c r="G324" s="15"/>
      <c r="H324" s="10">
        <v>35.75</v>
      </c>
      <c r="I324" s="14">
        <f t="shared" si="5"/>
        <v>41.566949152542378</v>
      </c>
      <c r="J324" s="14">
        <f>Tabla13[[#This Row],[Precio final en USD]]*$P$4</f>
        <v>66.507118644067802</v>
      </c>
    </row>
    <row r="325" spans="1:11" x14ac:dyDescent="0.2">
      <c r="A325" s="11">
        <v>10618</v>
      </c>
      <c r="B325" s="12" t="s">
        <v>52</v>
      </c>
      <c r="C325" s="13" t="s">
        <v>398</v>
      </c>
      <c r="D325" s="12" t="s">
        <v>54</v>
      </c>
      <c r="E325" s="10" t="s">
        <v>84</v>
      </c>
      <c r="F325" s="14"/>
      <c r="G325" s="15"/>
      <c r="H325" s="10">
        <f>187.98/2</f>
        <v>93.99</v>
      </c>
      <c r="I325" s="14">
        <f t="shared" si="5"/>
        <v>109.28328813559322</v>
      </c>
      <c r="J325" s="14">
        <f>Tabla13[[#This Row],[Precio final en USD]]*$P$4</f>
        <v>174.85326101694918</v>
      </c>
    </row>
    <row r="326" spans="1:11" x14ac:dyDescent="0.2">
      <c r="A326" s="11">
        <v>10619</v>
      </c>
      <c r="B326" s="12" t="s">
        <v>52</v>
      </c>
      <c r="C326" s="13" t="s">
        <v>399</v>
      </c>
      <c r="D326" s="12" t="s">
        <v>54</v>
      </c>
      <c r="E326" s="10" t="s">
        <v>84</v>
      </c>
      <c r="F326" s="14"/>
      <c r="G326" s="15"/>
      <c r="H326" s="10">
        <f>269.56/2</f>
        <v>134.78</v>
      </c>
      <c r="I326" s="14">
        <f t="shared" si="5"/>
        <v>156.71030508474578</v>
      </c>
      <c r="J326" s="14">
        <f>Tabla13[[#This Row],[Precio final en USD]]*$P$4</f>
        <v>250.73648813559328</v>
      </c>
    </row>
    <row r="327" spans="1:11" x14ac:dyDescent="0.2">
      <c r="A327" s="11">
        <v>10620</v>
      </c>
      <c r="B327" s="12" t="s">
        <v>52</v>
      </c>
      <c r="C327" s="13" t="s">
        <v>400</v>
      </c>
      <c r="D327" s="12" t="s">
        <v>54</v>
      </c>
      <c r="E327" s="10" t="s">
        <v>84</v>
      </c>
      <c r="F327" s="14">
        <v>0</v>
      </c>
      <c r="G327" s="15"/>
      <c r="I327" s="14">
        <f t="shared" si="5"/>
        <v>0</v>
      </c>
      <c r="J327" s="14">
        <f>Tabla13[[#This Row],[Precio final en USD]]*$P$4</f>
        <v>0</v>
      </c>
      <c r="K327" s="10" t="s">
        <v>401</v>
      </c>
    </row>
    <row r="328" spans="1:11" x14ac:dyDescent="0.2">
      <c r="A328" s="11">
        <v>10621</v>
      </c>
      <c r="B328" s="12" t="s">
        <v>52</v>
      </c>
      <c r="C328" s="13" t="s">
        <v>402</v>
      </c>
      <c r="D328" s="12" t="s">
        <v>54</v>
      </c>
      <c r="F328" s="14"/>
      <c r="G328" s="15">
        <v>0</v>
      </c>
      <c r="I328" s="14">
        <f t="shared" si="5"/>
        <v>0</v>
      </c>
      <c r="J328" s="14">
        <f>Tabla13[[#This Row],[Precio final en USD]]*$P$4</f>
        <v>0</v>
      </c>
      <c r="K328" s="10" t="s">
        <v>403</v>
      </c>
    </row>
    <row r="329" spans="1:11" x14ac:dyDescent="0.2">
      <c r="A329" s="11">
        <v>10622</v>
      </c>
      <c r="B329" s="12" t="s">
        <v>52</v>
      </c>
      <c r="C329" s="13" t="s">
        <v>404</v>
      </c>
      <c r="D329" s="12" t="s">
        <v>54</v>
      </c>
      <c r="F329" s="14"/>
      <c r="G329" s="15">
        <v>0</v>
      </c>
      <c r="I329" s="14">
        <f t="shared" si="5"/>
        <v>0</v>
      </c>
      <c r="J329" s="14">
        <f>Tabla13[[#This Row],[Precio final en USD]]*$P$4</f>
        <v>0</v>
      </c>
      <c r="K329" s="10" t="s">
        <v>403</v>
      </c>
    </row>
    <row r="330" spans="1:11" x14ac:dyDescent="0.2">
      <c r="A330" s="11">
        <v>10623</v>
      </c>
      <c r="B330" s="12" t="s">
        <v>52</v>
      </c>
      <c r="C330" s="13" t="s">
        <v>405</v>
      </c>
      <c r="D330" s="12" t="s">
        <v>54</v>
      </c>
      <c r="E330" s="10" t="s">
        <v>84</v>
      </c>
      <c r="F330" s="14"/>
      <c r="G330" s="15"/>
      <c r="H330" s="10">
        <f>1496/2</f>
        <v>748</v>
      </c>
      <c r="I330" s="14">
        <f t="shared" si="5"/>
        <v>869.70847457627121</v>
      </c>
      <c r="J330" s="14">
        <f>Tabla13[[#This Row],[Precio final en USD]]*$P$4</f>
        <v>1391.5335593220341</v>
      </c>
    </row>
    <row r="331" spans="1:11" x14ac:dyDescent="0.2">
      <c r="A331" s="11">
        <v>10624</v>
      </c>
      <c r="B331" s="12" t="s">
        <v>52</v>
      </c>
      <c r="C331" s="13" t="s">
        <v>406</v>
      </c>
      <c r="D331" s="12" t="s">
        <v>54</v>
      </c>
      <c r="E331" s="10" t="s">
        <v>84</v>
      </c>
      <c r="F331" s="14"/>
      <c r="G331" s="15"/>
      <c r="H331" s="10">
        <f>157.48/2</f>
        <v>78.739999999999995</v>
      </c>
      <c r="I331" s="14">
        <f t="shared" si="5"/>
        <v>91.551932203389839</v>
      </c>
      <c r="J331" s="14">
        <f>Tabla13[[#This Row],[Precio final en USD]]*$P$4</f>
        <v>146.48309152542376</v>
      </c>
    </row>
    <row r="332" spans="1:11" x14ac:dyDescent="0.2">
      <c r="A332" s="11">
        <v>10625</v>
      </c>
      <c r="B332" s="12" t="s">
        <v>52</v>
      </c>
      <c r="C332" s="13" t="s">
        <v>407</v>
      </c>
      <c r="D332" s="12" t="s">
        <v>54</v>
      </c>
      <c r="E332" s="10" t="s">
        <v>84</v>
      </c>
      <c r="F332" s="14"/>
      <c r="G332" s="15"/>
      <c r="H332" s="10">
        <f>63.94/2</f>
        <v>31.97</v>
      </c>
      <c r="I332" s="14">
        <f t="shared" si="5"/>
        <v>37.171898305084746</v>
      </c>
      <c r="J332" s="14">
        <f>Tabla13[[#This Row],[Precio final en USD]]*$P$4</f>
        <v>59.475037288135596</v>
      </c>
    </row>
    <row r="333" spans="1:11" x14ac:dyDescent="0.2">
      <c r="A333" s="11">
        <v>10626</v>
      </c>
      <c r="B333" s="12" t="s">
        <v>52</v>
      </c>
      <c r="C333" s="13" t="s">
        <v>408</v>
      </c>
      <c r="D333" s="12" t="s">
        <v>54</v>
      </c>
      <c r="E333" s="10" t="s">
        <v>84</v>
      </c>
      <c r="F333" s="14"/>
      <c r="G333" s="15"/>
      <c r="H333" s="10">
        <v>35.75</v>
      </c>
      <c r="I333" s="14">
        <f t="shared" si="5"/>
        <v>41.566949152542378</v>
      </c>
      <c r="J333" s="14">
        <f>Tabla13[[#This Row],[Precio final en USD]]*$P$4</f>
        <v>66.507118644067802</v>
      </c>
    </row>
    <row r="334" spans="1:11" x14ac:dyDescent="0.2">
      <c r="A334" s="11">
        <v>10627</v>
      </c>
      <c r="B334" s="12" t="s">
        <v>52</v>
      </c>
      <c r="C334" s="13" t="s">
        <v>409</v>
      </c>
      <c r="D334" s="12" t="s">
        <v>54</v>
      </c>
      <c r="E334" s="10" t="s">
        <v>84</v>
      </c>
      <c r="F334" s="14"/>
      <c r="G334" s="15"/>
      <c r="H334" s="10">
        <f>40.16/2</f>
        <v>20.079999999999998</v>
      </c>
      <c r="I334" s="14">
        <f t="shared" si="5"/>
        <v>23.347254237288137</v>
      </c>
      <c r="J334" s="14">
        <f>Tabla13[[#This Row],[Precio final en USD]]*$P$4</f>
        <v>37.355606779661024</v>
      </c>
    </row>
    <row r="335" spans="1:11" x14ac:dyDescent="0.2">
      <c r="A335" s="11">
        <v>10628</v>
      </c>
      <c r="B335" s="12" t="s">
        <v>52</v>
      </c>
      <c r="C335" s="13" t="s">
        <v>410</v>
      </c>
      <c r="D335" s="12" t="s">
        <v>54</v>
      </c>
      <c r="E335" s="10" t="s">
        <v>84</v>
      </c>
      <c r="F335" s="14"/>
      <c r="G335" s="15"/>
      <c r="H335" s="10">
        <f>63.94/2</f>
        <v>31.97</v>
      </c>
      <c r="I335" s="14">
        <f t="shared" si="5"/>
        <v>37.171898305084746</v>
      </c>
      <c r="J335" s="14">
        <f>Tabla13[[#This Row],[Precio final en USD]]*$P$4</f>
        <v>59.475037288135596</v>
      </c>
    </row>
    <row r="336" spans="1:11" x14ac:dyDescent="0.2">
      <c r="A336" s="11">
        <v>10629</v>
      </c>
      <c r="B336" s="12" t="s">
        <v>52</v>
      </c>
      <c r="C336" s="13" t="s">
        <v>411</v>
      </c>
      <c r="D336" s="12" t="s">
        <v>54</v>
      </c>
      <c r="E336" s="10" t="s">
        <v>149</v>
      </c>
      <c r="F336" s="14">
        <v>487</v>
      </c>
      <c r="G336" s="15"/>
      <c r="I336" s="14">
        <f t="shared" si="5"/>
        <v>487</v>
      </c>
      <c r="J336" s="14">
        <f>Tabla13[[#This Row],[Precio final en USD]]*$P$4</f>
        <v>779.2</v>
      </c>
    </row>
    <row r="337" spans="1:11" x14ac:dyDescent="0.2">
      <c r="A337" s="11">
        <v>10630</v>
      </c>
      <c r="B337" s="12" t="s">
        <v>52</v>
      </c>
      <c r="C337" s="13" t="s">
        <v>412</v>
      </c>
      <c r="D337" s="12" t="s">
        <v>54</v>
      </c>
      <c r="E337" s="10" t="s">
        <v>149</v>
      </c>
      <c r="F337" s="14"/>
      <c r="G337" s="15">
        <v>49500</v>
      </c>
      <c r="I337" s="14">
        <f t="shared" si="5"/>
        <v>33.559322033898304</v>
      </c>
      <c r="J337" s="14">
        <f>Tabla13[[#This Row],[Precio final en USD]]*$P$4</f>
        <v>53.694915254237287</v>
      </c>
    </row>
    <row r="338" spans="1:11" x14ac:dyDescent="0.2">
      <c r="A338" s="11">
        <v>10631</v>
      </c>
      <c r="B338" s="12" t="s">
        <v>52</v>
      </c>
      <c r="C338" s="13" t="s">
        <v>413</v>
      </c>
      <c r="D338" s="12" t="s">
        <v>54</v>
      </c>
      <c r="E338" s="10" t="s">
        <v>84</v>
      </c>
      <c r="F338" s="14"/>
      <c r="G338" s="15"/>
      <c r="H338" s="23">
        <v>0.97</v>
      </c>
      <c r="I338" s="14">
        <f t="shared" si="5"/>
        <v>1.1278305084745763</v>
      </c>
      <c r="J338" s="14">
        <f>Tabla13[[#This Row],[Precio final en USD]]*$P$4</f>
        <v>1.8045288135593223</v>
      </c>
    </row>
    <row r="339" spans="1:11" x14ac:dyDescent="0.2">
      <c r="A339" s="11">
        <v>10632</v>
      </c>
      <c r="B339" s="12" t="s">
        <v>52</v>
      </c>
      <c r="C339" s="13" t="s">
        <v>414</v>
      </c>
      <c r="D339" s="12" t="s">
        <v>54</v>
      </c>
      <c r="E339" s="10" t="s">
        <v>84</v>
      </c>
      <c r="F339" s="14"/>
      <c r="G339" s="15"/>
      <c r="H339" s="23">
        <v>3.46</v>
      </c>
      <c r="I339" s="14">
        <f t="shared" si="5"/>
        <v>4.0229830508474578</v>
      </c>
      <c r="J339" s="14">
        <f>Tabla13[[#This Row],[Precio final en USD]]*$P$4</f>
        <v>6.4367728813559326</v>
      </c>
    </row>
    <row r="340" spans="1:11" x14ac:dyDescent="0.2">
      <c r="A340" s="11">
        <v>10633</v>
      </c>
      <c r="B340" s="12" t="s">
        <v>52</v>
      </c>
      <c r="C340" s="13" t="s">
        <v>415</v>
      </c>
      <c r="D340" s="12" t="s">
        <v>54</v>
      </c>
      <c r="E340" s="10" t="s">
        <v>84</v>
      </c>
      <c r="F340" s="14"/>
      <c r="G340" s="15"/>
      <c r="H340" s="23">
        <v>0.84</v>
      </c>
      <c r="I340" s="14">
        <f t="shared" si="5"/>
        <v>0.97667796610169499</v>
      </c>
      <c r="J340" s="14">
        <f>Tabla13[[#This Row],[Precio final en USD]]*$P$4</f>
        <v>1.562684745762712</v>
      </c>
    </row>
    <row r="341" spans="1:11" x14ac:dyDescent="0.2">
      <c r="A341" s="11">
        <v>10634</v>
      </c>
      <c r="B341" s="12" t="s">
        <v>52</v>
      </c>
      <c r="C341" s="13" t="s">
        <v>416</v>
      </c>
      <c r="D341" s="12" t="s">
        <v>54</v>
      </c>
      <c r="E341" s="10" t="s">
        <v>84</v>
      </c>
      <c r="F341" s="14"/>
      <c r="G341" s="15"/>
      <c r="H341" s="23">
        <v>1.64</v>
      </c>
      <c r="I341" s="14">
        <f t="shared" si="5"/>
        <v>1.9068474576271186</v>
      </c>
      <c r="J341" s="14">
        <f>Tabla13[[#This Row],[Precio final en USD]]*$P$4</f>
        <v>3.0509559322033901</v>
      </c>
    </row>
    <row r="342" spans="1:11" x14ac:dyDescent="0.2">
      <c r="A342" s="11">
        <v>10635</v>
      </c>
      <c r="B342" s="12" t="s">
        <v>52</v>
      </c>
      <c r="C342" s="13" t="s">
        <v>417</v>
      </c>
      <c r="D342" s="12" t="s">
        <v>54</v>
      </c>
      <c r="E342" s="10" t="s">
        <v>84</v>
      </c>
      <c r="F342" s="14"/>
      <c r="G342" s="15"/>
      <c r="H342" s="23">
        <v>1.62</v>
      </c>
      <c r="I342" s="14">
        <f t="shared" si="5"/>
        <v>1.8835932203389834</v>
      </c>
      <c r="J342" s="14">
        <f>Tabla13[[#This Row],[Precio final en USD]]*$P$4</f>
        <v>3.0137491525423736</v>
      </c>
    </row>
    <row r="343" spans="1:11" x14ac:dyDescent="0.2">
      <c r="A343" s="11">
        <v>10636</v>
      </c>
      <c r="B343" s="12" t="s">
        <v>52</v>
      </c>
      <c r="C343" s="13" t="s">
        <v>418</v>
      </c>
      <c r="D343" s="12" t="s">
        <v>54</v>
      </c>
      <c r="E343" s="10" t="s">
        <v>84</v>
      </c>
      <c r="F343" s="14"/>
      <c r="G343" s="15"/>
      <c r="H343" s="23">
        <v>0.55000000000000004</v>
      </c>
      <c r="I343" s="14">
        <f t="shared" si="5"/>
        <v>0.63949152542372889</v>
      </c>
      <c r="J343" s="14">
        <f>Tabla13[[#This Row],[Precio final en USD]]*$P$4</f>
        <v>1.0231864406779663</v>
      </c>
    </row>
    <row r="344" spans="1:11" x14ac:dyDescent="0.2">
      <c r="A344" s="11">
        <v>10637</v>
      </c>
      <c r="B344" s="12" t="s">
        <v>52</v>
      </c>
      <c r="C344" s="13" t="s">
        <v>419</v>
      </c>
      <c r="D344" s="12" t="s">
        <v>54</v>
      </c>
      <c r="E344" s="10" t="s">
        <v>84</v>
      </c>
      <c r="F344" s="14"/>
      <c r="G344" s="15"/>
      <c r="H344" s="23">
        <v>20.71</v>
      </c>
      <c r="I344" s="14">
        <f t="shared" si="5"/>
        <v>24.079762711864412</v>
      </c>
      <c r="J344" s="14">
        <f>Tabla13[[#This Row],[Precio final en USD]]*$P$4</f>
        <v>38.527620338983063</v>
      </c>
    </row>
    <row r="345" spans="1:11" x14ac:dyDescent="0.2">
      <c r="A345" s="11">
        <v>10638</v>
      </c>
      <c r="B345" s="12" t="s">
        <v>52</v>
      </c>
      <c r="C345" s="13" t="s">
        <v>420</v>
      </c>
      <c r="D345" s="12" t="s">
        <v>54</v>
      </c>
      <c r="E345" s="10" t="s">
        <v>84</v>
      </c>
      <c r="F345" s="14"/>
      <c r="G345" s="15"/>
      <c r="H345" s="23">
        <v>13.21</v>
      </c>
      <c r="I345" s="14">
        <f t="shared" si="5"/>
        <v>15.359423728813562</v>
      </c>
      <c r="J345" s="14">
        <f>Tabla13[[#This Row],[Precio final en USD]]*$P$4</f>
        <v>24.575077966101702</v>
      </c>
    </row>
    <row r="346" spans="1:11" x14ac:dyDescent="0.2">
      <c r="A346" s="11">
        <v>10639</v>
      </c>
      <c r="B346" s="12" t="s">
        <v>52</v>
      </c>
      <c r="C346" s="13" t="s">
        <v>421</v>
      </c>
      <c r="D346" s="12" t="s">
        <v>54</v>
      </c>
      <c r="E346" s="10" t="s">
        <v>84</v>
      </c>
      <c r="F346" s="14"/>
      <c r="G346" s="15"/>
      <c r="H346" s="23">
        <v>1.28</v>
      </c>
      <c r="I346" s="14">
        <f t="shared" si="5"/>
        <v>1.4882711864406781</v>
      </c>
      <c r="J346" s="14">
        <f>Tabla13[[#This Row],[Precio final en USD]]*$P$4</f>
        <v>2.3812338983050849</v>
      </c>
      <c r="K346" s="10" t="s">
        <v>422</v>
      </c>
    </row>
    <row r="347" spans="1:11" x14ac:dyDescent="0.2">
      <c r="A347" s="11">
        <v>10640</v>
      </c>
      <c r="B347" s="12" t="s">
        <v>52</v>
      </c>
      <c r="C347" s="13" t="s">
        <v>423</v>
      </c>
      <c r="D347" s="12" t="s">
        <v>54</v>
      </c>
      <c r="E347" s="10" t="s">
        <v>84</v>
      </c>
      <c r="F347" s="14"/>
      <c r="G347" s="15"/>
      <c r="H347" s="23">
        <v>10.01</v>
      </c>
      <c r="I347" s="14">
        <f t="shared" si="5"/>
        <v>11.638745762711865</v>
      </c>
      <c r="J347" s="14">
        <f>Tabla13[[#This Row],[Precio final en USD]]*$P$4</f>
        <v>18.621993220338986</v>
      </c>
    </row>
    <row r="348" spans="1:11" x14ac:dyDescent="0.2">
      <c r="A348" s="11">
        <v>10641</v>
      </c>
      <c r="B348" s="12" t="s">
        <v>52</v>
      </c>
      <c r="C348" s="13" t="s">
        <v>424</v>
      </c>
      <c r="D348" s="12" t="s">
        <v>54</v>
      </c>
      <c r="E348" s="10" t="s">
        <v>84</v>
      </c>
      <c r="F348" s="14"/>
      <c r="G348" s="15"/>
      <c r="H348" s="23">
        <v>9.93</v>
      </c>
      <c r="I348" s="14">
        <f t="shared" si="5"/>
        <v>11.545728813559323</v>
      </c>
      <c r="J348" s="14">
        <f>Tabla13[[#This Row],[Precio final en USD]]*$P$4</f>
        <v>18.473166101694918</v>
      </c>
    </row>
    <row r="349" spans="1:11" x14ac:dyDescent="0.2">
      <c r="A349" s="11">
        <v>10642</v>
      </c>
      <c r="B349" s="12" t="s">
        <v>52</v>
      </c>
      <c r="C349" s="13" t="s">
        <v>425</v>
      </c>
      <c r="D349" s="12" t="s">
        <v>54</v>
      </c>
      <c r="E349" s="10" t="s">
        <v>84</v>
      </c>
      <c r="F349" s="14"/>
      <c r="G349" s="15"/>
      <c r="H349" s="23">
        <v>29.59</v>
      </c>
      <c r="I349" s="14">
        <f t="shared" si="5"/>
        <v>34.40464406779661</v>
      </c>
      <c r="J349" s="14">
        <f>Tabla13[[#This Row],[Precio final en USD]]*$P$4</f>
        <v>55.047430508474577</v>
      </c>
    </row>
    <row r="350" spans="1:11" x14ac:dyDescent="0.2">
      <c r="A350" s="11">
        <v>10643</v>
      </c>
      <c r="B350" s="12" t="s">
        <v>52</v>
      </c>
      <c r="C350" s="13" t="s">
        <v>426</v>
      </c>
      <c r="D350" s="12" t="s">
        <v>54</v>
      </c>
      <c r="E350" s="10" t="s">
        <v>84</v>
      </c>
      <c r="F350" s="14"/>
      <c r="G350" s="15"/>
      <c r="H350" s="23">
        <v>33.11</v>
      </c>
      <c r="I350" s="14">
        <f t="shared" si="5"/>
        <v>38.497389830508475</v>
      </c>
      <c r="J350" s="14">
        <f>Tabla13[[#This Row],[Precio final en USD]]*$P$4</f>
        <v>61.595823728813563</v>
      </c>
    </row>
    <row r="351" spans="1:11" x14ac:dyDescent="0.2">
      <c r="A351" s="11">
        <v>10644</v>
      </c>
      <c r="B351" s="12" t="s">
        <v>52</v>
      </c>
      <c r="C351" s="13" t="s">
        <v>427</v>
      </c>
      <c r="D351" s="12" t="s">
        <v>54</v>
      </c>
      <c r="E351" s="10" t="s">
        <v>84</v>
      </c>
      <c r="F351" s="14"/>
      <c r="G351" s="15"/>
      <c r="H351" s="23">
        <v>12.22</v>
      </c>
      <c r="I351" s="14">
        <f t="shared" si="5"/>
        <v>14.208338983050849</v>
      </c>
      <c r="J351" s="14">
        <f>Tabla13[[#This Row],[Precio final en USD]]*$P$4</f>
        <v>22.73334237288136</v>
      </c>
    </row>
    <row r="352" spans="1:11" x14ac:dyDescent="0.2">
      <c r="A352" s="11">
        <v>10645</v>
      </c>
      <c r="B352" s="12" t="s">
        <v>52</v>
      </c>
      <c r="C352" s="13" t="s">
        <v>428</v>
      </c>
      <c r="D352" s="12" t="s">
        <v>54</v>
      </c>
      <c r="E352" s="10" t="s">
        <v>84</v>
      </c>
      <c r="F352" s="14"/>
      <c r="G352" s="15"/>
      <c r="H352" s="23">
        <v>76.13</v>
      </c>
      <c r="I352" s="14">
        <f t="shared" si="5"/>
        <v>88.517254237288142</v>
      </c>
      <c r="J352" s="14">
        <f>Tabla13[[#This Row],[Precio final en USD]]*$P$4</f>
        <v>141.62760677966102</v>
      </c>
    </row>
    <row r="353" spans="1:10" x14ac:dyDescent="0.2">
      <c r="A353" s="11">
        <v>10646</v>
      </c>
      <c r="B353" s="12" t="s">
        <v>52</v>
      </c>
      <c r="C353" s="13" t="s">
        <v>429</v>
      </c>
      <c r="D353" s="12" t="s">
        <v>54</v>
      </c>
      <c r="E353" s="10" t="s">
        <v>84</v>
      </c>
      <c r="F353" s="14"/>
      <c r="G353" s="15"/>
      <c r="H353" s="23">
        <v>43.76</v>
      </c>
      <c r="I353" s="14">
        <f t="shared" si="5"/>
        <v>50.88027118644068</v>
      </c>
      <c r="J353" s="14">
        <f>Tabla13[[#This Row],[Precio final en USD]]*$P$4</f>
        <v>81.408433898305091</v>
      </c>
    </row>
    <row r="354" spans="1:10" x14ac:dyDescent="0.2">
      <c r="A354" s="11">
        <v>10647</v>
      </c>
      <c r="B354" s="12" t="s">
        <v>52</v>
      </c>
      <c r="C354" s="13" t="s">
        <v>430</v>
      </c>
      <c r="D354" s="12" t="s">
        <v>54</v>
      </c>
      <c r="E354" s="10" t="s">
        <v>84</v>
      </c>
      <c r="F354" s="14"/>
      <c r="G354" s="15"/>
      <c r="H354" s="23">
        <v>19.079999999999998</v>
      </c>
      <c r="I354" s="14">
        <f t="shared" si="5"/>
        <v>22.184542372881356</v>
      </c>
      <c r="J354" s="14">
        <f>Tabla13[[#This Row],[Precio final en USD]]*$P$4</f>
        <v>35.495267796610172</v>
      </c>
    </row>
    <row r="355" spans="1:10" x14ac:dyDescent="0.2">
      <c r="A355" s="11">
        <v>10648</v>
      </c>
      <c r="B355" s="12" t="s">
        <v>52</v>
      </c>
      <c r="C355" s="13" t="s">
        <v>431</v>
      </c>
      <c r="D355" s="12" t="s">
        <v>54</v>
      </c>
      <c r="E355" s="10" t="s">
        <v>84</v>
      </c>
      <c r="F355" s="14"/>
      <c r="G355" s="15"/>
      <c r="H355" s="23">
        <v>6.2</v>
      </c>
      <c r="I355" s="14">
        <f t="shared" si="5"/>
        <v>7.208813559322035</v>
      </c>
      <c r="J355" s="14">
        <f>Tabla13[[#This Row],[Precio final en USD]]*$P$4</f>
        <v>11.534101694915257</v>
      </c>
    </row>
    <row r="356" spans="1:10" x14ac:dyDescent="0.2">
      <c r="A356" s="11">
        <v>10649</v>
      </c>
      <c r="B356" s="12" t="s">
        <v>52</v>
      </c>
      <c r="C356" s="13" t="s">
        <v>432</v>
      </c>
      <c r="D356" s="12" t="s">
        <v>54</v>
      </c>
      <c r="E356" s="10" t="s">
        <v>84</v>
      </c>
      <c r="F356" s="14"/>
      <c r="G356" s="15"/>
      <c r="H356" s="23">
        <v>6.2</v>
      </c>
      <c r="I356" s="14">
        <f t="shared" si="5"/>
        <v>7.208813559322035</v>
      </c>
      <c r="J356" s="14">
        <f>Tabla13[[#This Row],[Precio final en USD]]*$P$4</f>
        <v>11.534101694915257</v>
      </c>
    </row>
    <row r="357" spans="1:10" x14ac:dyDescent="0.2">
      <c r="A357" s="11">
        <v>10650</v>
      </c>
      <c r="B357" s="12" t="s">
        <v>52</v>
      </c>
      <c r="C357" s="13" t="s">
        <v>433</v>
      </c>
      <c r="D357" s="12" t="s">
        <v>54</v>
      </c>
      <c r="E357" s="10" t="s">
        <v>84</v>
      </c>
      <c r="F357" s="14"/>
      <c r="G357" s="15"/>
      <c r="H357" s="23">
        <v>5.84</v>
      </c>
      <c r="I357" s="14">
        <f t="shared" si="5"/>
        <v>6.7902372881355939</v>
      </c>
      <c r="J357" s="14">
        <f>Tabla13[[#This Row],[Precio final en USD]]*$P$4</f>
        <v>10.864379661016951</v>
      </c>
    </row>
    <row r="358" spans="1:10" x14ac:dyDescent="0.2">
      <c r="A358" s="11">
        <v>10651</v>
      </c>
      <c r="B358" s="12" t="s">
        <v>52</v>
      </c>
      <c r="C358" s="13" t="s">
        <v>434</v>
      </c>
      <c r="D358" s="12" t="s">
        <v>54</v>
      </c>
      <c r="E358" s="10" t="s">
        <v>84</v>
      </c>
      <c r="F358" s="14"/>
      <c r="G358" s="15"/>
      <c r="H358" s="23">
        <v>12.22</v>
      </c>
      <c r="I358" s="14">
        <f t="shared" si="5"/>
        <v>14.208338983050849</v>
      </c>
      <c r="J358" s="14">
        <f>Tabla13[[#This Row],[Precio final en USD]]*$P$4</f>
        <v>22.73334237288136</v>
      </c>
    </row>
    <row r="359" spans="1:10" x14ac:dyDescent="0.2">
      <c r="A359" s="11">
        <v>10652</v>
      </c>
      <c r="B359" s="12" t="s">
        <v>52</v>
      </c>
      <c r="C359" s="13" t="s">
        <v>435</v>
      </c>
      <c r="D359" s="12" t="s">
        <v>54</v>
      </c>
      <c r="E359" s="10" t="s">
        <v>84</v>
      </c>
      <c r="F359" s="14"/>
      <c r="G359" s="15"/>
      <c r="H359" s="23">
        <v>5.84</v>
      </c>
      <c r="I359" s="14">
        <f t="shared" si="5"/>
        <v>6.7902372881355939</v>
      </c>
      <c r="J359" s="14">
        <f>Tabla13[[#This Row],[Precio final en USD]]*$P$4</f>
        <v>10.864379661016951</v>
      </c>
    </row>
    <row r="360" spans="1:10" x14ac:dyDescent="0.2">
      <c r="A360" s="11">
        <v>10653</v>
      </c>
      <c r="B360" s="12" t="s">
        <v>52</v>
      </c>
      <c r="C360" s="13" t="s">
        <v>436</v>
      </c>
      <c r="D360" s="12" t="s">
        <v>54</v>
      </c>
      <c r="E360" s="10" t="s">
        <v>84</v>
      </c>
      <c r="F360" s="14"/>
      <c r="G360" s="15"/>
      <c r="H360" s="23">
        <v>5.84</v>
      </c>
      <c r="I360" s="14">
        <f t="shared" si="5"/>
        <v>6.7902372881355939</v>
      </c>
      <c r="J360" s="14">
        <f>Tabla13[[#This Row],[Precio final en USD]]*$P$4</f>
        <v>10.864379661016951</v>
      </c>
    </row>
    <row r="361" spans="1:10" x14ac:dyDescent="0.2">
      <c r="A361" s="11">
        <v>10654</v>
      </c>
      <c r="B361" s="12" t="s">
        <v>52</v>
      </c>
      <c r="C361" s="13" t="s">
        <v>437</v>
      </c>
      <c r="D361" s="12" t="s">
        <v>54</v>
      </c>
      <c r="E361" s="10" t="s">
        <v>84</v>
      </c>
      <c r="F361" s="14"/>
      <c r="G361" s="15"/>
      <c r="H361" s="23">
        <v>5.84</v>
      </c>
      <c r="I361" s="14">
        <f t="shared" si="5"/>
        <v>6.7902372881355939</v>
      </c>
      <c r="J361" s="14">
        <f>Tabla13[[#This Row],[Precio final en USD]]*$P$4</f>
        <v>10.864379661016951</v>
      </c>
    </row>
    <row r="362" spans="1:10" x14ac:dyDescent="0.2">
      <c r="A362" s="11">
        <v>10655</v>
      </c>
      <c r="B362" s="12" t="s">
        <v>52</v>
      </c>
      <c r="C362" s="13" t="s">
        <v>438</v>
      </c>
      <c r="D362" s="12" t="s">
        <v>54</v>
      </c>
      <c r="E362" s="10" t="s">
        <v>84</v>
      </c>
      <c r="F362" s="14"/>
      <c r="G362" s="15"/>
      <c r="H362" s="23">
        <v>6.2</v>
      </c>
      <c r="I362" s="14">
        <f t="shared" si="5"/>
        <v>7.208813559322035</v>
      </c>
      <c r="J362" s="14">
        <f>Tabla13[[#This Row],[Precio final en USD]]*$P$4</f>
        <v>11.534101694915257</v>
      </c>
    </row>
    <row r="363" spans="1:10" x14ac:dyDescent="0.2">
      <c r="A363" s="11">
        <v>10656</v>
      </c>
      <c r="B363" s="12" t="s">
        <v>52</v>
      </c>
      <c r="C363" s="13" t="s">
        <v>439</v>
      </c>
      <c r="D363" s="12" t="s">
        <v>54</v>
      </c>
      <c r="E363" s="10" t="s">
        <v>84</v>
      </c>
      <c r="F363" s="14"/>
      <c r="G363" s="15"/>
      <c r="H363" s="23">
        <v>5.64</v>
      </c>
      <c r="I363" s="14">
        <f t="shared" si="5"/>
        <v>6.5576949152542374</v>
      </c>
      <c r="J363" s="14">
        <f>Tabla13[[#This Row],[Precio final en USD]]*$P$4</f>
        <v>10.49231186440678</v>
      </c>
    </row>
    <row r="364" spans="1:10" x14ac:dyDescent="0.2">
      <c r="A364" s="11">
        <v>10657</v>
      </c>
      <c r="B364" s="12" t="s">
        <v>52</v>
      </c>
      <c r="C364" s="13" t="s">
        <v>440</v>
      </c>
      <c r="D364" s="12" t="s">
        <v>54</v>
      </c>
      <c r="E364" s="10" t="s">
        <v>84</v>
      </c>
      <c r="F364" s="14"/>
      <c r="G364" s="15"/>
      <c r="H364" s="23">
        <v>0.94</v>
      </c>
      <c r="I364" s="14">
        <f t="shared" si="5"/>
        <v>1.0929491525423729</v>
      </c>
      <c r="J364" s="14">
        <f>Tabla13[[#This Row],[Precio final en USD]]*$P$4</f>
        <v>1.7487186440677966</v>
      </c>
    </row>
    <row r="365" spans="1:10" x14ac:dyDescent="0.2">
      <c r="A365" s="11">
        <v>10658</v>
      </c>
      <c r="B365" s="12" t="s">
        <v>52</v>
      </c>
      <c r="C365" s="13" t="s">
        <v>441</v>
      </c>
      <c r="D365" s="12" t="s">
        <v>54</v>
      </c>
      <c r="E365" s="10" t="s">
        <v>84</v>
      </c>
      <c r="F365" s="14"/>
      <c r="G365" s="15"/>
      <c r="H365" s="23">
        <v>14.47</v>
      </c>
      <c r="I365" s="14">
        <f t="shared" si="5"/>
        <v>16.824440677966106</v>
      </c>
      <c r="J365" s="14">
        <f>Tabla13[[#This Row],[Precio final en USD]]*$P$4</f>
        <v>26.91910508474577</v>
      </c>
    </row>
    <row r="366" spans="1:10" x14ac:dyDescent="0.2">
      <c r="A366" s="11">
        <v>10659</v>
      </c>
      <c r="B366" s="12" t="s">
        <v>52</v>
      </c>
      <c r="C366" s="13" t="s">
        <v>442</v>
      </c>
      <c r="D366" s="12" t="s">
        <v>54</v>
      </c>
      <c r="E366" s="10" t="s">
        <v>84</v>
      </c>
      <c r="F366" s="14"/>
      <c r="G366" s="15"/>
      <c r="H366" s="23">
        <v>0.72</v>
      </c>
      <c r="I366" s="14">
        <f t="shared" si="5"/>
        <v>0.83715254237288139</v>
      </c>
      <c r="J366" s="14">
        <f>Tabla13[[#This Row],[Precio final en USD]]*$P$4</f>
        <v>1.3394440677966104</v>
      </c>
    </row>
    <row r="367" spans="1:10" x14ac:dyDescent="0.2">
      <c r="A367" s="11">
        <v>10660</v>
      </c>
      <c r="B367" s="12" t="s">
        <v>52</v>
      </c>
      <c r="C367" s="13" t="s">
        <v>443</v>
      </c>
      <c r="D367" s="12" t="s">
        <v>54</v>
      </c>
      <c r="E367" s="10" t="s">
        <v>84</v>
      </c>
      <c r="F367" s="14"/>
      <c r="G367" s="15"/>
      <c r="H367" s="23">
        <v>0.74</v>
      </c>
      <c r="I367" s="14">
        <f t="shared" si="5"/>
        <v>0.86040677966101697</v>
      </c>
      <c r="J367" s="14">
        <f>Tabla13[[#This Row],[Precio final en USD]]*$P$4</f>
        <v>1.3766508474576273</v>
      </c>
    </row>
    <row r="368" spans="1:10" x14ac:dyDescent="0.2">
      <c r="A368" s="11">
        <v>10683</v>
      </c>
      <c r="B368" s="12" t="s">
        <v>52</v>
      </c>
      <c r="C368" s="13" t="s">
        <v>444</v>
      </c>
      <c r="D368" s="12" t="s">
        <v>54</v>
      </c>
      <c r="E368" s="10" t="s">
        <v>445</v>
      </c>
      <c r="F368" s="14"/>
      <c r="G368" s="15">
        <v>20000</v>
      </c>
      <c r="I368" s="14">
        <f t="shared" si="5"/>
        <v>13.559322033898304</v>
      </c>
      <c r="J368" s="14">
        <f>Tabla13[[#This Row],[Precio final en USD]]*$P$4</f>
        <v>21.694915254237287</v>
      </c>
    </row>
    <row r="369" spans="1:10" x14ac:dyDescent="0.2">
      <c r="A369" s="11">
        <v>10684</v>
      </c>
      <c r="B369" s="12" t="s">
        <v>52</v>
      </c>
      <c r="C369" s="13" t="s">
        <v>446</v>
      </c>
      <c r="D369" s="12" t="s">
        <v>54</v>
      </c>
      <c r="E369" s="10" t="s">
        <v>447</v>
      </c>
      <c r="F369" s="14"/>
      <c r="G369" s="15">
        <v>80174</v>
      </c>
      <c r="I369" s="14">
        <f t="shared" si="5"/>
        <v>54.355254237288136</v>
      </c>
      <c r="J369" s="14">
        <f>Tabla13[[#This Row],[Precio final en USD]]*$P$4</f>
        <v>86.968406779661024</v>
      </c>
    </row>
    <row r="370" spans="1:10" x14ac:dyDescent="0.2">
      <c r="A370" s="11">
        <v>10685</v>
      </c>
      <c r="B370" s="12" t="s">
        <v>52</v>
      </c>
      <c r="C370" s="13" t="s">
        <v>448</v>
      </c>
      <c r="D370" s="12" t="s">
        <v>54</v>
      </c>
      <c r="E370" s="10" t="s">
        <v>447</v>
      </c>
      <c r="F370" s="14"/>
      <c r="G370" s="15">
        <v>156452</v>
      </c>
      <c r="I370" s="14">
        <f t="shared" si="5"/>
        <v>106.06915254237288</v>
      </c>
      <c r="J370" s="14">
        <f>Tabla13[[#This Row],[Precio final en USD]]*$P$4</f>
        <v>169.71064406779661</v>
      </c>
    </row>
    <row r="371" spans="1:10" x14ac:dyDescent="0.2">
      <c r="A371" s="11">
        <v>10686</v>
      </c>
      <c r="B371" s="12" t="s">
        <v>52</v>
      </c>
      <c r="C371" s="13" t="s">
        <v>449</v>
      </c>
      <c r="D371" s="12" t="s">
        <v>54</v>
      </c>
      <c r="E371" s="10" t="s">
        <v>447</v>
      </c>
      <c r="F371" s="14"/>
      <c r="G371" s="15">
        <v>156452</v>
      </c>
      <c r="I371" s="14">
        <f t="shared" si="5"/>
        <v>106.06915254237288</v>
      </c>
      <c r="J371" s="14">
        <f>Tabla13[[#This Row],[Precio final en USD]]*$P$4</f>
        <v>169.71064406779661</v>
      </c>
    </row>
    <row r="372" spans="1:10" x14ac:dyDescent="0.2">
      <c r="A372" s="11">
        <v>10687</v>
      </c>
      <c r="B372" s="12" t="s">
        <v>52</v>
      </c>
      <c r="C372" s="13" t="s">
        <v>450</v>
      </c>
      <c r="D372" s="12" t="s">
        <v>54</v>
      </c>
      <c r="E372" s="10" t="s">
        <v>447</v>
      </c>
      <c r="F372" s="14"/>
      <c r="G372" s="15">
        <v>170675</v>
      </c>
      <c r="I372" s="14">
        <f t="shared" si="5"/>
        <v>115.71186440677967</v>
      </c>
      <c r="J372" s="14">
        <f>Tabla13[[#This Row],[Precio final en USD]]*$P$4</f>
        <v>185.13898305084749</v>
      </c>
    </row>
    <row r="373" spans="1:10" x14ac:dyDescent="0.2">
      <c r="A373" s="11">
        <v>10688</v>
      </c>
      <c r="B373" s="12" t="s">
        <v>52</v>
      </c>
      <c r="C373" s="13" t="s">
        <v>451</v>
      </c>
      <c r="D373" s="12" t="s">
        <v>54</v>
      </c>
      <c r="E373" s="10" t="s">
        <v>447</v>
      </c>
      <c r="F373" s="14"/>
      <c r="G373" s="15">
        <v>170675</v>
      </c>
      <c r="I373" s="14">
        <f t="shared" si="5"/>
        <v>115.71186440677967</v>
      </c>
      <c r="J373" s="14">
        <f>Tabla13[[#This Row],[Precio final en USD]]*$P$4</f>
        <v>185.13898305084749</v>
      </c>
    </row>
    <row r="374" spans="1:10" x14ac:dyDescent="0.2">
      <c r="A374" s="12">
        <v>10689</v>
      </c>
      <c r="B374" s="11" t="s">
        <v>52</v>
      </c>
      <c r="C374" s="13" t="s">
        <v>452</v>
      </c>
      <c r="D374" s="12" t="s">
        <v>58</v>
      </c>
      <c r="E374" s="10" t="s">
        <v>68</v>
      </c>
      <c r="F374" s="14"/>
      <c r="G374" s="15">
        <v>10000</v>
      </c>
      <c r="I374" s="14">
        <f t="shared" si="5"/>
        <v>6.7796610169491522</v>
      </c>
      <c r="J374" s="14">
        <f>Tabla13[[#This Row],[Precio final en USD]]*$P$4</f>
        <v>10.847457627118644</v>
      </c>
    </row>
    <row r="375" spans="1:10" x14ac:dyDescent="0.2">
      <c r="A375" s="12">
        <v>10690</v>
      </c>
      <c r="B375" s="11" t="s">
        <v>52</v>
      </c>
      <c r="C375" s="13" t="s">
        <v>453</v>
      </c>
      <c r="D375" s="12" t="s">
        <v>58</v>
      </c>
      <c r="E375" s="10" t="s">
        <v>68</v>
      </c>
      <c r="F375" s="14"/>
      <c r="G375" s="15">
        <v>230000</v>
      </c>
      <c r="I375" s="14">
        <f t="shared" si="5"/>
        <v>155.93220338983051</v>
      </c>
      <c r="J375" s="14">
        <f>Tabla13[[#This Row],[Precio final en USD]]*$P$4</f>
        <v>249.49152542372883</v>
      </c>
    </row>
    <row r="376" spans="1:10" x14ac:dyDescent="0.2">
      <c r="A376" s="12">
        <v>10691</v>
      </c>
      <c r="B376" s="11" t="s">
        <v>52</v>
      </c>
      <c r="C376" s="13" t="s">
        <v>454</v>
      </c>
      <c r="D376" s="12" t="s">
        <v>58</v>
      </c>
      <c r="E376" s="10" t="s">
        <v>68</v>
      </c>
      <c r="F376" s="14"/>
      <c r="G376" s="15">
        <v>430000</v>
      </c>
      <c r="I376" s="14">
        <f t="shared" si="5"/>
        <v>291.52542372881356</v>
      </c>
      <c r="J376" s="14">
        <f>Tabla13[[#This Row],[Precio final en USD]]*$P$4</f>
        <v>466.4406779661017</v>
      </c>
    </row>
    <row r="377" spans="1:10" x14ac:dyDescent="0.2">
      <c r="A377" s="12">
        <v>10692</v>
      </c>
      <c r="B377" s="11" t="s">
        <v>52</v>
      </c>
      <c r="C377" s="13" t="s">
        <v>455</v>
      </c>
      <c r="D377" s="12" t="s">
        <v>58</v>
      </c>
      <c r="E377" s="10" t="s">
        <v>68</v>
      </c>
      <c r="F377" s="14"/>
      <c r="G377" s="15">
        <v>12000</v>
      </c>
      <c r="I377" s="14">
        <f t="shared" si="5"/>
        <v>8.1355932203389827</v>
      </c>
      <c r="J377" s="14">
        <f>Tabla13[[#This Row],[Precio final en USD]]*$P$4</f>
        <v>13.016949152542374</v>
      </c>
    </row>
    <row r="378" spans="1:10" x14ac:dyDescent="0.2">
      <c r="A378" s="12">
        <v>10695</v>
      </c>
      <c r="B378" s="11" t="s">
        <v>52</v>
      </c>
      <c r="C378" s="13" t="s">
        <v>456</v>
      </c>
      <c r="D378" s="12" t="s">
        <v>58</v>
      </c>
      <c r="E378" s="10" t="s">
        <v>457</v>
      </c>
      <c r="F378" s="14"/>
      <c r="G378" s="15">
        <v>48000</v>
      </c>
      <c r="I378" s="14">
        <f t="shared" si="5"/>
        <v>32.542372881355931</v>
      </c>
      <c r="J378" s="14">
        <f>Tabla13[[#This Row],[Precio final en USD]]*$P$4</f>
        <v>52.067796610169495</v>
      </c>
    </row>
    <row r="379" spans="1:10" x14ac:dyDescent="0.2">
      <c r="A379" s="12">
        <v>10696</v>
      </c>
      <c r="B379" s="11" t="s">
        <v>52</v>
      </c>
      <c r="C379" s="13" t="s">
        <v>458</v>
      </c>
      <c r="D379" s="12" t="s">
        <v>58</v>
      </c>
      <c r="E379" s="10" t="s">
        <v>68</v>
      </c>
      <c r="F379" s="14"/>
      <c r="G379" s="15">
        <v>65000</v>
      </c>
      <c r="I379" s="14">
        <f t="shared" si="5"/>
        <v>44.067796610169495</v>
      </c>
      <c r="J379" s="14">
        <f>Tabla13[[#This Row],[Precio final en USD]]*$P$4</f>
        <v>70.508474576271198</v>
      </c>
    </row>
    <row r="380" spans="1:10" x14ac:dyDescent="0.2">
      <c r="A380" s="12">
        <v>10697</v>
      </c>
      <c r="B380" s="11" t="s">
        <v>52</v>
      </c>
      <c r="C380" s="26" t="s">
        <v>459</v>
      </c>
      <c r="D380" s="12" t="s">
        <v>58</v>
      </c>
      <c r="E380" s="10" t="s">
        <v>68</v>
      </c>
      <c r="F380" s="14"/>
      <c r="G380" s="15">
        <v>80000</v>
      </c>
      <c r="I380" s="14">
        <f t="shared" si="5"/>
        <v>54.237288135593218</v>
      </c>
      <c r="J380" s="14">
        <f>Tabla13[[#This Row],[Precio final en USD]]*$P$4</f>
        <v>86.779661016949149</v>
      </c>
    </row>
    <row r="381" spans="1:10" x14ac:dyDescent="0.2">
      <c r="A381" s="12">
        <v>10703</v>
      </c>
      <c r="B381" s="11" t="s">
        <v>52</v>
      </c>
      <c r="C381" s="13" t="s">
        <v>460</v>
      </c>
      <c r="D381" s="12" t="s">
        <v>58</v>
      </c>
      <c r="E381" s="10" t="s">
        <v>68</v>
      </c>
      <c r="F381" s="14"/>
      <c r="G381" s="15"/>
      <c r="H381" s="10">
        <v>509</v>
      </c>
      <c r="I381" s="14">
        <f t="shared" si="5"/>
        <v>591.82033898305087</v>
      </c>
      <c r="J381" s="14">
        <f>Tabla13[[#This Row],[Precio final en USD]]*$P$4</f>
        <v>946.91254237288149</v>
      </c>
    </row>
    <row r="382" spans="1:10" x14ac:dyDescent="0.2">
      <c r="A382" s="12">
        <v>10704</v>
      </c>
      <c r="B382" s="11" t="s">
        <v>52</v>
      </c>
      <c r="C382" s="13" t="s">
        <v>461</v>
      </c>
      <c r="D382" s="12" t="s">
        <v>58</v>
      </c>
      <c r="E382" s="10" t="s">
        <v>68</v>
      </c>
      <c r="F382" s="14"/>
      <c r="G382" s="15">
        <v>282000</v>
      </c>
      <c r="I382" s="14">
        <f t="shared" si="5"/>
        <v>191.18644067796609</v>
      </c>
      <c r="J382" s="14">
        <f>Tabla13[[#This Row],[Precio final en USD]]*$P$4</f>
        <v>305.89830508474574</v>
      </c>
    </row>
    <row r="383" spans="1:10" x14ac:dyDescent="0.2">
      <c r="A383" s="12">
        <v>10705</v>
      </c>
      <c r="B383" s="11" t="s">
        <v>52</v>
      </c>
      <c r="C383" s="13" t="s">
        <v>462</v>
      </c>
      <c r="D383" s="12" t="s">
        <v>58</v>
      </c>
      <c r="E383" s="10" t="s">
        <v>68</v>
      </c>
      <c r="F383" s="14"/>
      <c r="G383" s="15">
        <v>10000</v>
      </c>
      <c r="I383" s="14">
        <f t="shared" si="5"/>
        <v>6.7796610169491522</v>
      </c>
      <c r="J383" s="14">
        <f>Tabla13[[#This Row],[Precio final en USD]]*$P$4</f>
        <v>10.847457627118644</v>
      </c>
    </row>
    <row r="384" spans="1:10" x14ac:dyDescent="0.2">
      <c r="A384" s="12">
        <v>10706</v>
      </c>
      <c r="B384" s="11" t="s">
        <v>52</v>
      </c>
      <c r="C384" s="13" t="s">
        <v>463</v>
      </c>
      <c r="D384" s="12" t="s">
        <v>58</v>
      </c>
      <c r="E384" s="10" t="s">
        <v>55</v>
      </c>
      <c r="F384" s="14">
        <v>145</v>
      </c>
      <c r="G384" s="15"/>
      <c r="I384" s="14">
        <f t="shared" si="5"/>
        <v>145</v>
      </c>
      <c r="J384" s="14">
        <f>Tabla13[[#This Row],[Precio final en USD]]*$P$4</f>
        <v>232</v>
      </c>
    </row>
    <row r="385" spans="1:10" x14ac:dyDescent="0.2">
      <c r="A385" s="12">
        <v>10707</v>
      </c>
      <c r="B385" s="11" t="s">
        <v>52</v>
      </c>
      <c r="C385" s="13" t="s">
        <v>464</v>
      </c>
      <c r="D385" s="12" t="s">
        <v>58</v>
      </c>
      <c r="E385" s="10" t="s">
        <v>457</v>
      </c>
      <c r="F385" s="14"/>
      <c r="G385" s="15">
        <v>28000</v>
      </c>
      <c r="I385" s="14">
        <f t="shared" si="5"/>
        <v>18.983050847457626</v>
      </c>
      <c r="J385" s="14">
        <f>Tabla13[[#This Row],[Precio final en USD]]*$P$4</f>
        <v>30.372881355932204</v>
      </c>
    </row>
    <row r="386" spans="1:10" x14ac:dyDescent="0.2">
      <c r="A386" s="12">
        <v>10708</v>
      </c>
      <c r="B386" s="11" t="s">
        <v>52</v>
      </c>
      <c r="C386" s="13" t="s">
        <v>465</v>
      </c>
      <c r="D386" s="12" t="s">
        <v>58</v>
      </c>
      <c r="E386" s="10" t="s">
        <v>55</v>
      </c>
      <c r="F386" s="14">
        <v>268</v>
      </c>
      <c r="G386" s="15"/>
      <c r="I386" s="14">
        <f t="shared" ref="I386:I449" si="6">IF(AND(F386="",G386="",H386=""),"",IF(F386&lt;&gt;"",F386,IF(G386&lt;&gt;"",G386/$O$1,IF(H386&lt;&gt;"",H386*$O$2,"ver"))))</f>
        <v>268</v>
      </c>
      <c r="J386" s="14">
        <f>Tabla13[[#This Row],[Precio final en USD]]*$P$4</f>
        <v>428.8</v>
      </c>
    </row>
    <row r="387" spans="1:10" x14ac:dyDescent="0.2">
      <c r="A387" s="12">
        <v>10709</v>
      </c>
      <c r="B387" s="11" t="s">
        <v>52</v>
      </c>
      <c r="C387" s="13" t="s">
        <v>466</v>
      </c>
      <c r="D387" s="12" t="s">
        <v>58</v>
      </c>
      <c r="E387" s="10" t="s">
        <v>350</v>
      </c>
      <c r="F387" s="14"/>
      <c r="G387" s="15">
        <v>2980.8</v>
      </c>
      <c r="I387" s="14">
        <f t="shared" si="6"/>
        <v>2.0208813559322034</v>
      </c>
      <c r="J387" s="14">
        <f>Tabla13[[#This Row],[Precio final en USD]]*$P$4</f>
        <v>3.2334101694915258</v>
      </c>
    </row>
    <row r="388" spans="1:10" x14ac:dyDescent="0.2">
      <c r="A388" s="12">
        <v>10710</v>
      </c>
      <c r="B388" s="11" t="s">
        <v>52</v>
      </c>
      <c r="C388" s="13" t="s">
        <v>467</v>
      </c>
      <c r="D388" s="12" t="s">
        <v>58</v>
      </c>
      <c r="E388" s="10" t="s">
        <v>55</v>
      </c>
      <c r="F388" s="14">
        <v>126</v>
      </c>
      <c r="G388" s="15"/>
      <c r="I388" s="14">
        <f t="shared" si="6"/>
        <v>126</v>
      </c>
      <c r="J388" s="14">
        <f>Tabla13[[#This Row],[Precio final en USD]]*$P$4</f>
        <v>201.60000000000002</v>
      </c>
    </row>
    <row r="389" spans="1:10" x14ac:dyDescent="0.2">
      <c r="A389" s="12">
        <v>10711</v>
      </c>
      <c r="B389" s="11" t="s">
        <v>52</v>
      </c>
      <c r="C389" s="13" t="s">
        <v>468</v>
      </c>
      <c r="D389" s="12" t="s">
        <v>58</v>
      </c>
      <c r="E389" s="10" t="s">
        <v>55</v>
      </c>
      <c r="F389" s="14">
        <v>17.600000000000001</v>
      </c>
      <c r="G389" s="15"/>
      <c r="I389" s="14">
        <f t="shared" si="6"/>
        <v>17.600000000000001</v>
      </c>
      <c r="J389" s="14">
        <f>Tabla13[[#This Row],[Precio final en USD]]*$P$4</f>
        <v>28.160000000000004</v>
      </c>
    </row>
    <row r="390" spans="1:10" x14ac:dyDescent="0.2">
      <c r="A390" s="12">
        <v>10712</v>
      </c>
      <c r="B390" s="11" t="s">
        <v>52</v>
      </c>
      <c r="C390" s="13" t="s">
        <v>469</v>
      </c>
      <c r="D390" s="12" t="s">
        <v>58</v>
      </c>
      <c r="E390" s="10" t="s">
        <v>84</v>
      </c>
      <c r="F390" s="14"/>
      <c r="G390" s="15"/>
      <c r="H390" s="10">
        <v>9.1199999999999992</v>
      </c>
      <c r="I390" s="14">
        <f t="shared" si="6"/>
        <v>10.60393220338983</v>
      </c>
      <c r="J390" s="14">
        <f>Tabla13[[#This Row],[Precio final en USD]]*$P$4</f>
        <v>16.966291525423728</v>
      </c>
    </row>
    <row r="391" spans="1:10" x14ac:dyDescent="0.2">
      <c r="A391" s="12">
        <v>10713</v>
      </c>
      <c r="B391" s="11" t="s">
        <v>52</v>
      </c>
      <c r="C391" s="13" t="s">
        <v>470</v>
      </c>
      <c r="D391" s="12" t="s">
        <v>58</v>
      </c>
      <c r="E391" s="10" t="s">
        <v>84</v>
      </c>
      <c r="F391" s="14"/>
      <c r="G391" s="15"/>
      <c r="H391" s="10">
        <v>124.93</v>
      </c>
      <c r="I391" s="14">
        <f t="shared" si="6"/>
        <v>145.257593220339</v>
      </c>
      <c r="J391" s="14">
        <f>Tabla13[[#This Row],[Precio final en USD]]*$P$4</f>
        <v>232.41214915254241</v>
      </c>
    </row>
    <row r="392" spans="1:10" x14ac:dyDescent="0.2">
      <c r="A392" s="12">
        <v>10714</v>
      </c>
      <c r="B392" s="11" t="s">
        <v>52</v>
      </c>
      <c r="C392" s="13" t="s">
        <v>471</v>
      </c>
      <c r="D392" s="12" t="s">
        <v>58</v>
      </c>
      <c r="E392" s="10" t="s">
        <v>84</v>
      </c>
      <c r="F392" s="14"/>
      <c r="G392" s="15"/>
      <c r="H392" s="10">
        <v>17.97</v>
      </c>
      <c r="I392" s="14">
        <f t="shared" si="6"/>
        <v>20.893932203389831</v>
      </c>
      <c r="J392" s="14">
        <f>Tabla13[[#This Row],[Precio final en USD]]*$P$4</f>
        <v>33.430291525423733</v>
      </c>
    </row>
    <row r="393" spans="1:10" x14ac:dyDescent="0.2">
      <c r="A393" s="12">
        <v>10715</v>
      </c>
      <c r="B393" s="11" t="s">
        <v>52</v>
      </c>
      <c r="C393" s="13" t="s">
        <v>472</v>
      </c>
      <c r="D393" s="12" t="s">
        <v>58</v>
      </c>
      <c r="E393" s="10" t="s">
        <v>84</v>
      </c>
      <c r="F393" s="14"/>
      <c r="G393" s="15"/>
      <c r="H393" s="10">
        <v>3.47</v>
      </c>
      <c r="I393" s="14">
        <f t="shared" si="6"/>
        <v>4.0346101694915264</v>
      </c>
      <c r="J393" s="14">
        <f>Tabla13[[#This Row],[Precio final en USD]]*$P$4</f>
        <v>6.4553762711864424</v>
      </c>
    </row>
    <row r="394" spans="1:10" x14ac:dyDescent="0.2">
      <c r="A394" s="12">
        <v>10716</v>
      </c>
      <c r="B394" s="11" t="s">
        <v>52</v>
      </c>
      <c r="C394" s="13" t="s">
        <v>473</v>
      </c>
      <c r="D394" s="12" t="s">
        <v>58</v>
      </c>
      <c r="E394" s="10" t="s">
        <v>84</v>
      </c>
      <c r="F394" s="14"/>
      <c r="G394" s="15"/>
      <c r="H394" s="10">
        <v>39.979999999999997</v>
      </c>
      <c r="I394" s="14">
        <f t="shared" si="6"/>
        <v>46.485220338983048</v>
      </c>
      <c r="J394" s="14">
        <f>Tabla13[[#This Row],[Precio final en USD]]*$P$4</f>
        <v>74.376352542372885</v>
      </c>
    </row>
    <row r="395" spans="1:10" x14ac:dyDescent="0.2">
      <c r="A395" s="12">
        <v>10717</v>
      </c>
      <c r="B395" s="11" t="s">
        <v>52</v>
      </c>
      <c r="C395" s="13" t="s">
        <v>474</v>
      </c>
      <c r="D395" s="12" t="s">
        <v>58</v>
      </c>
      <c r="E395" s="10" t="s">
        <v>84</v>
      </c>
      <c r="F395" s="14"/>
      <c r="G395" s="15"/>
      <c r="H395" s="10">
        <v>6.58</v>
      </c>
      <c r="I395" s="14">
        <f t="shared" si="6"/>
        <v>7.6506440677966108</v>
      </c>
      <c r="J395" s="14">
        <f>Tabla13[[#This Row],[Precio final en USD]]*$P$4</f>
        <v>12.241030508474578</v>
      </c>
    </row>
    <row r="396" spans="1:10" x14ac:dyDescent="0.2">
      <c r="A396" s="12">
        <v>10718</v>
      </c>
      <c r="B396" s="11" t="s">
        <v>52</v>
      </c>
      <c r="C396" s="13" t="s">
        <v>475</v>
      </c>
      <c r="D396" s="12" t="s">
        <v>58</v>
      </c>
      <c r="E396" s="10" t="s">
        <v>68</v>
      </c>
      <c r="F396" s="14"/>
      <c r="G396" s="15">
        <v>128000</v>
      </c>
      <c r="I396" s="14">
        <f t="shared" si="6"/>
        <v>86.779661016949149</v>
      </c>
      <c r="J396" s="14">
        <f>Tabla13[[#This Row],[Precio final en USD]]*$P$4</f>
        <v>138.84745762711864</v>
      </c>
    </row>
    <row r="397" spans="1:10" x14ac:dyDescent="0.2">
      <c r="A397" s="12">
        <v>10719</v>
      </c>
      <c r="B397" s="11" t="s">
        <v>52</v>
      </c>
      <c r="C397" s="13" t="s">
        <v>476</v>
      </c>
      <c r="D397" s="12" t="s">
        <v>58</v>
      </c>
      <c r="E397" s="10" t="s">
        <v>84</v>
      </c>
      <c r="F397" s="14"/>
      <c r="G397" s="15"/>
      <c r="H397" s="10">
        <v>63.15</v>
      </c>
      <c r="I397" s="14">
        <f t="shared" si="6"/>
        <v>73.425254237288144</v>
      </c>
      <c r="J397" s="14">
        <f>Tabla13[[#This Row],[Precio final en USD]]*$P$4</f>
        <v>117.48040677966104</v>
      </c>
    </row>
    <row r="398" spans="1:10" x14ac:dyDescent="0.2">
      <c r="A398" s="12">
        <v>10720</v>
      </c>
      <c r="B398" s="11" t="s">
        <v>52</v>
      </c>
      <c r="C398" s="13" t="s">
        <v>477</v>
      </c>
      <c r="D398" s="12" t="s">
        <v>58</v>
      </c>
      <c r="E398" s="10" t="s">
        <v>478</v>
      </c>
      <c r="F398" s="14">
        <v>153.5</v>
      </c>
      <c r="G398" s="15"/>
      <c r="I398" s="14">
        <f t="shared" si="6"/>
        <v>153.5</v>
      </c>
      <c r="J398" s="14">
        <f>Tabla13[[#This Row],[Precio final en USD]]*$P$4</f>
        <v>245.60000000000002</v>
      </c>
    </row>
    <row r="399" spans="1:10" x14ac:dyDescent="0.2">
      <c r="A399" s="12">
        <v>10721</v>
      </c>
      <c r="B399" s="11" t="s">
        <v>52</v>
      </c>
      <c r="C399" s="13" t="s">
        <v>479</v>
      </c>
      <c r="D399" s="12" t="s">
        <v>58</v>
      </c>
      <c r="E399" s="10" t="s">
        <v>480</v>
      </c>
      <c r="F399" s="14"/>
      <c r="G399" s="15"/>
      <c r="I399" s="14" t="str">
        <f t="shared" si="6"/>
        <v/>
      </c>
      <c r="J399" s="14" t="e">
        <f>Tabla13[[#This Row],[Precio final en USD]]*$P$4</f>
        <v>#VALUE!</v>
      </c>
    </row>
    <row r="400" spans="1:10" x14ac:dyDescent="0.2">
      <c r="A400" s="12">
        <v>10722</v>
      </c>
      <c r="B400" s="11" t="s">
        <v>52</v>
      </c>
      <c r="C400" s="13" t="s">
        <v>481</v>
      </c>
      <c r="D400" s="12" t="s">
        <v>58</v>
      </c>
      <c r="E400" s="10" t="s">
        <v>68</v>
      </c>
      <c r="F400" s="14">
        <v>141</v>
      </c>
      <c r="G400" s="15"/>
      <c r="I400" s="14">
        <f t="shared" si="6"/>
        <v>141</v>
      </c>
      <c r="J400" s="14">
        <f>Tabla13[[#This Row],[Precio final en USD]]*$P$4</f>
        <v>225.60000000000002</v>
      </c>
    </row>
    <row r="401" spans="1:10" x14ac:dyDescent="0.2">
      <c r="A401" s="12">
        <v>10723</v>
      </c>
      <c r="B401" s="11" t="s">
        <v>52</v>
      </c>
      <c r="C401" s="13" t="s">
        <v>482</v>
      </c>
      <c r="D401" s="12" t="s">
        <v>58</v>
      </c>
      <c r="E401" s="10" t="s">
        <v>483</v>
      </c>
      <c r="F401" s="14">
        <v>413</v>
      </c>
      <c r="G401" s="15"/>
      <c r="I401" s="14">
        <f t="shared" si="6"/>
        <v>413</v>
      </c>
      <c r="J401" s="14">
        <f>Tabla13[[#This Row],[Precio final en USD]]*$P$4</f>
        <v>660.80000000000007</v>
      </c>
    </row>
    <row r="402" spans="1:10" x14ac:dyDescent="0.2">
      <c r="A402" s="12">
        <v>10724</v>
      </c>
      <c r="B402" s="11" t="s">
        <v>52</v>
      </c>
      <c r="C402" s="13" t="s">
        <v>484</v>
      </c>
      <c r="D402" s="12" t="s">
        <v>58</v>
      </c>
      <c r="E402" s="10" t="s">
        <v>128</v>
      </c>
      <c r="F402" s="14">
        <v>813</v>
      </c>
      <c r="G402" s="15"/>
      <c r="I402" s="14">
        <f t="shared" si="6"/>
        <v>813</v>
      </c>
      <c r="J402" s="14">
        <f>Tabla13[[#This Row],[Precio final en USD]]*$P$4</f>
        <v>1300.8000000000002</v>
      </c>
    </row>
    <row r="403" spans="1:10" x14ac:dyDescent="0.2">
      <c r="A403" s="12">
        <v>10725</v>
      </c>
      <c r="B403" s="11" t="s">
        <v>52</v>
      </c>
      <c r="C403" s="13" t="s">
        <v>485</v>
      </c>
      <c r="D403" s="12" t="s">
        <v>58</v>
      </c>
      <c r="E403" s="10" t="s">
        <v>128</v>
      </c>
      <c r="F403" s="14">
        <v>394</v>
      </c>
      <c r="G403" s="15"/>
      <c r="I403" s="14">
        <f t="shared" si="6"/>
        <v>394</v>
      </c>
      <c r="J403" s="14">
        <f>Tabla13[[#This Row],[Precio final en USD]]*$P$4</f>
        <v>630.40000000000009</v>
      </c>
    </row>
    <row r="404" spans="1:10" x14ac:dyDescent="0.2">
      <c r="A404" s="12">
        <v>10726</v>
      </c>
      <c r="B404" s="11" t="s">
        <v>52</v>
      </c>
      <c r="C404" s="13" t="s">
        <v>486</v>
      </c>
      <c r="D404" s="12" t="s">
        <v>58</v>
      </c>
      <c r="E404" s="10" t="s">
        <v>128</v>
      </c>
      <c r="F404" s="14">
        <v>869</v>
      </c>
      <c r="G404" s="15"/>
      <c r="I404" s="14">
        <f t="shared" si="6"/>
        <v>869</v>
      </c>
      <c r="J404" s="14">
        <f>Tabla13[[#This Row],[Precio final en USD]]*$P$4</f>
        <v>1390.4</v>
      </c>
    </row>
    <row r="405" spans="1:10" x14ac:dyDescent="0.2">
      <c r="A405" s="12">
        <v>10727</v>
      </c>
      <c r="B405" s="11" t="s">
        <v>52</v>
      </c>
      <c r="C405" s="13" t="s">
        <v>487</v>
      </c>
      <c r="D405" s="12" t="s">
        <v>58</v>
      </c>
      <c r="E405" s="10" t="s">
        <v>84</v>
      </c>
      <c r="F405" s="14">
        <v>29.28</v>
      </c>
      <c r="G405" s="15"/>
      <c r="I405" s="14">
        <f t="shared" si="6"/>
        <v>29.28</v>
      </c>
      <c r="J405" s="14">
        <f>Tabla13[[#This Row],[Precio final en USD]]*$P$4</f>
        <v>46.848000000000006</v>
      </c>
    </row>
    <row r="406" spans="1:10" x14ac:dyDescent="0.2">
      <c r="A406" s="12">
        <v>10729</v>
      </c>
      <c r="B406" s="11" t="s">
        <v>52</v>
      </c>
      <c r="C406" s="13" t="s">
        <v>488</v>
      </c>
      <c r="D406" s="12" t="s">
        <v>58</v>
      </c>
      <c r="E406" s="10" t="s">
        <v>128</v>
      </c>
      <c r="F406" s="14">
        <v>1671.6</v>
      </c>
      <c r="G406" s="15"/>
      <c r="I406" s="14">
        <f t="shared" si="6"/>
        <v>1671.6</v>
      </c>
      <c r="J406" s="14">
        <f>Tabla13[[#This Row],[Precio final en USD]]*$P$4</f>
        <v>2674.56</v>
      </c>
    </row>
    <row r="407" spans="1:10" x14ac:dyDescent="0.2">
      <c r="A407" s="12">
        <v>10730</v>
      </c>
      <c r="B407" s="11" t="s">
        <v>52</v>
      </c>
      <c r="C407" s="13" t="s">
        <v>489</v>
      </c>
      <c r="D407" s="12" t="s">
        <v>58</v>
      </c>
      <c r="E407" s="10" t="s">
        <v>128</v>
      </c>
      <c r="F407" s="14">
        <v>107.6</v>
      </c>
      <c r="G407" s="15"/>
      <c r="I407" s="14">
        <f t="shared" si="6"/>
        <v>107.6</v>
      </c>
      <c r="J407" s="14">
        <f>Tabla13[[#This Row],[Precio final en USD]]*$P$4</f>
        <v>172.16</v>
      </c>
    </row>
    <row r="408" spans="1:10" x14ac:dyDescent="0.2">
      <c r="A408" s="12">
        <v>10731</v>
      </c>
      <c r="B408" s="11" t="s">
        <v>52</v>
      </c>
      <c r="C408" s="13" t="s">
        <v>490</v>
      </c>
      <c r="D408" s="12" t="s">
        <v>58</v>
      </c>
      <c r="E408" s="10" t="s">
        <v>68</v>
      </c>
      <c r="F408" s="14"/>
      <c r="G408" s="15">
        <v>380000</v>
      </c>
      <c r="I408" s="14">
        <f t="shared" si="6"/>
        <v>257.62711864406782</v>
      </c>
      <c r="J408" s="14">
        <f>Tabla13[[#This Row],[Precio final en USD]]*$P$4</f>
        <v>412.20338983050851</v>
      </c>
    </row>
    <row r="409" spans="1:10" x14ac:dyDescent="0.2">
      <c r="A409" s="12">
        <v>10732</v>
      </c>
      <c r="B409" s="11" t="s">
        <v>52</v>
      </c>
      <c r="C409" s="13" t="s">
        <v>491</v>
      </c>
      <c r="D409" s="12" t="s">
        <v>58</v>
      </c>
      <c r="E409" s="10" t="s">
        <v>68</v>
      </c>
      <c r="F409" s="14"/>
      <c r="G409" s="15">
        <v>310000</v>
      </c>
      <c r="I409" s="14">
        <f t="shared" si="6"/>
        <v>210.16949152542372</v>
      </c>
      <c r="J409" s="14">
        <f>Tabla13[[#This Row],[Precio final en USD]]*$P$4</f>
        <v>336.27118644067798</v>
      </c>
    </row>
    <row r="410" spans="1:10" x14ac:dyDescent="0.2">
      <c r="A410" s="12">
        <v>10733</v>
      </c>
      <c r="B410" s="11" t="s">
        <v>52</v>
      </c>
      <c r="C410" s="27" t="s">
        <v>15</v>
      </c>
      <c r="D410" s="12" t="s">
        <v>58</v>
      </c>
      <c r="E410" s="10" t="s">
        <v>457</v>
      </c>
      <c r="F410" s="14"/>
      <c r="G410" s="15">
        <v>23000</v>
      </c>
      <c r="I410" s="14">
        <f t="shared" si="6"/>
        <v>15.59322033898305</v>
      </c>
      <c r="J410" s="14">
        <f>Tabla13[[#This Row],[Precio final en USD]]*$P$4</f>
        <v>24.949152542372882</v>
      </c>
    </row>
    <row r="411" spans="1:10" x14ac:dyDescent="0.2">
      <c r="A411" s="12">
        <v>10734</v>
      </c>
      <c r="B411" s="11" t="s">
        <v>52</v>
      </c>
      <c r="C411" s="13" t="s">
        <v>492</v>
      </c>
      <c r="D411" s="12" t="s">
        <v>58</v>
      </c>
      <c r="E411" s="10" t="s">
        <v>368</v>
      </c>
      <c r="F411" s="14"/>
      <c r="G411" s="15">
        <v>81000</v>
      </c>
      <c r="I411" s="14">
        <f t="shared" si="6"/>
        <v>54.915254237288138</v>
      </c>
      <c r="J411" s="14">
        <f>Tabla13[[#This Row],[Precio final en USD]]*$P$4</f>
        <v>87.864406779661024</v>
      </c>
    </row>
    <row r="412" spans="1:10" x14ac:dyDescent="0.2">
      <c r="A412" s="12">
        <v>10736</v>
      </c>
      <c r="B412" s="11" t="s">
        <v>52</v>
      </c>
      <c r="C412" s="13" t="s">
        <v>493</v>
      </c>
      <c r="D412" s="12" t="s">
        <v>58</v>
      </c>
      <c r="E412" s="10" t="s">
        <v>494</v>
      </c>
      <c r="F412" s="14">
        <v>35</v>
      </c>
      <c r="G412" s="15"/>
      <c r="I412" s="14">
        <f t="shared" si="6"/>
        <v>35</v>
      </c>
      <c r="J412" s="14">
        <f>Tabla13[[#This Row],[Precio final en USD]]*$P$4</f>
        <v>56</v>
      </c>
    </row>
    <row r="413" spans="1:10" x14ac:dyDescent="0.2">
      <c r="A413" s="12">
        <v>10774</v>
      </c>
      <c r="B413" s="11" t="s">
        <v>52</v>
      </c>
      <c r="C413" s="13" t="s">
        <v>495</v>
      </c>
      <c r="D413" s="12" t="s">
        <v>58</v>
      </c>
      <c r="E413" s="10" t="s">
        <v>84</v>
      </c>
      <c r="F413" s="14"/>
      <c r="G413" s="15"/>
      <c r="H413" s="10">
        <v>64.180000000000007</v>
      </c>
      <c r="I413" s="14">
        <f t="shared" si="6"/>
        <v>74.622847457627131</v>
      </c>
      <c r="J413" s="14">
        <f>Tabla13[[#This Row],[Precio final en USD]]*$P$4</f>
        <v>119.39655593220341</v>
      </c>
    </row>
    <row r="414" spans="1:10" x14ac:dyDescent="0.2">
      <c r="A414" s="12">
        <v>10788</v>
      </c>
      <c r="B414" s="11" t="s">
        <v>52</v>
      </c>
      <c r="C414" s="13" t="s">
        <v>496</v>
      </c>
      <c r="D414" s="12" t="s">
        <v>58</v>
      </c>
      <c r="E414" s="10" t="s">
        <v>368</v>
      </c>
      <c r="F414" s="14"/>
      <c r="G414" s="15">
        <v>46000</v>
      </c>
      <c r="I414" s="14">
        <f t="shared" si="6"/>
        <v>31.1864406779661</v>
      </c>
      <c r="J414" s="14">
        <f>Tabla13[[#This Row],[Precio final en USD]]*$P$4</f>
        <v>49.898305084745765</v>
      </c>
    </row>
    <row r="415" spans="1:10" x14ac:dyDescent="0.2">
      <c r="A415" s="12">
        <v>10789</v>
      </c>
      <c r="B415" s="11" t="s">
        <v>52</v>
      </c>
      <c r="C415" s="13" t="s">
        <v>497</v>
      </c>
      <c r="D415" s="12" t="s">
        <v>58</v>
      </c>
      <c r="E415" s="10" t="s">
        <v>231</v>
      </c>
      <c r="F415" s="14">
        <v>22</v>
      </c>
      <c r="G415" s="15"/>
      <c r="I415" s="14">
        <f t="shared" si="6"/>
        <v>22</v>
      </c>
      <c r="J415" s="14">
        <f>Tabla13[[#This Row],[Precio final en USD]]*$P$4</f>
        <v>35.200000000000003</v>
      </c>
    </row>
    <row r="416" spans="1:10" x14ac:dyDescent="0.2">
      <c r="A416" s="12">
        <v>10790</v>
      </c>
      <c r="B416" s="11" t="s">
        <v>52</v>
      </c>
      <c r="C416" s="13" t="s">
        <v>498</v>
      </c>
      <c r="D416" s="12" t="s">
        <v>58</v>
      </c>
      <c r="E416" s="10" t="s">
        <v>445</v>
      </c>
      <c r="F416" s="14"/>
      <c r="G416" s="15"/>
      <c r="I416" s="14" t="str">
        <f t="shared" si="6"/>
        <v/>
      </c>
      <c r="J416" s="14" t="e">
        <f>Tabla13[[#This Row],[Precio final en USD]]*$P$4</f>
        <v>#VALUE!</v>
      </c>
    </row>
    <row r="417" spans="1:10" x14ac:dyDescent="0.2">
      <c r="A417" s="12">
        <v>10791</v>
      </c>
      <c r="B417" s="11" t="s">
        <v>52</v>
      </c>
      <c r="C417" s="13" t="s">
        <v>499</v>
      </c>
      <c r="D417" s="12" t="s">
        <v>58</v>
      </c>
      <c r="E417" s="10" t="s">
        <v>500</v>
      </c>
      <c r="F417" s="14">
        <v>408</v>
      </c>
      <c r="G417" s="15"/>
      <c r="I417" s="14">
        <f t="shared" si="6"/>
        <v>408</v>
      </c>
      <c r="J417" s="14">
        <f>Tabla13[[#This Row],[Precio final en USD]]*$P$4</f>
        <v>652.80000000000007</v>
      </c>
    </row>
    <row r="418" spans="1:10" x14ac:dyDescent="0.2">
      <c r="A418" s="12">
        <v>10792</v>
      </c>
      <c r="B418" s="11" t="s">
        <v>52</v>
      </c>
      <c r="C418" s="13" t="s">
        <v>501</v>
      </c>
      <c r="D418" s="12" t="s">
        <v>58</v>
      </c>
      <c r="E418" s="10" t="s">
        <v>500</v>
      </c>
      <c r="F418" s="14">
        <v>612</v>
      </c>
      <c r="G418" s="15"/>
      <c r="I418" s="14">
        <f t="shared" si="6"/>
        <v>612</v>
      </c>
      <c r="J418" s="14">
        <f>Tabla13[[#This Row],[Precio final en USD]]*$P$4</f>
        <v>979.2</v>
      </c>
    </row>
    <row r="419" spans="1:10" x14ac:dyDescent="0.2">
      <c r="A419" s="12">
        <v>10793</v>
      </c>
      <c r="B419" s="11" t="s">
        <v>52</v>
      </c>
      <c r="C419" s="13" t="s">
        <v>502</v>
      </c>
      <c r="D419" s="12" t="s">
        <v>58</v>
      </c>
      <c r="E419" s="10" t="s">
        <v>218</v>
      </c>
      <c r="F419" s="14"/>
      <c r="G419" s="15"/>
      <c r="H419" s="10">
        <v>67.67</v>
      </c>
      <c r="I419" s="14">
        <f t="shared" si="6"/>
        <v>78.680711864406788</v>
      </c>
      <c r="J419" s="14">
        <f>Tabla13[[#This Row],[Precio final en USD]]*$P$4</f>
        <v>125.88913898305087</v>
      </c>
    </row>
    <row r="420" spans="1:10" x14ac:dyDescent="0.2">
      <c r="A420" s="12">
        <v>10794</v>
      </c>
      <c r="B420" s="11" t="s">
        <v>52</v>
      </c>
      <c r="C420" s="10" t="s">
        <v>495</v>
      </c>
      <c r="D420" s="12" t="s">
        <v>58</v>
      </c>
      <c r="E420" s="10" t="s">
        <v>84</v>
      </c>
      <c r="F420" s="14"/>
      <c r="G420" s="15"/>
      <c r="H420" s="10">
        <v>64.180000000000007</v>
      </c>
      <c r="I420" s="14">
        <f t="shared" si="6"/>
        <v>74.622847457627131</v>
      </c>
      <c r="J420" s="14">
        <f>Tabla13[[#This Row],[Precio final en USD]]*$P$4</f>
        <v>119.39655593220341</v>
      </c>
    </row>
    <row r="421" spans="1:10" x14ac:dyDescent="0.2">
      <c r="A421" s="12">
        <v>10794</v>
      </c>
      <c r="B421" s="11" t="s">
        <v>52</v>
      </c>
      <c r="C421" s="13" t="s">
        <v>503</v>
      </c>
      <c r="D421" s="12" t="s">
        <v>58</v>
      </c>
      <c r="E421" s="10" t="s">
        <v>218</v>
      </c>
      <c r="F421" s="14"/>
      <c r="G421" s="15"/>
      <c r="H421" s="10">
        <v>248.03</v>
      </c>
      <c r="I421" s="14">
        <f t="shared" si="6"/>
        <v>288.38742372881359</v>
      </c>
      <c r="J421" s="14">
        <f>Tabla13[[#This Row],[Precio final en USD]]*$P$4</f>
        <v>461.41987796610175</v>
      </c>
    </row>
    <row r="422" spans="1:10" x14ac:dyDescent="0.2">
      <c r="A422" s="12">
        <v>10795</v>
      </c>
      <c r="B422" s="11" t="s">
        <v>52</v>
      </c>
      <c r="C422" s="13" t="s">
        <v>504</v>
      </c>
      <c r="D422" s="12" t="s">
        <v>58</v>
      </c>
      <c r="E422" s="10" t="s">
        <v>218</v>
      </c>
      <c r="F422" s="14"/>
      <c r="G422" s="15"/>
      <c r="H422" s="10">
        <v>1619.7</v>
      </c>
      <c r="I422" s="14">
        <f t="shared" si="6"/>
        <v>1883.2444067796612</v>
      </c>
      <c r="J422" s="14">
        <f>Tabla13[[#This Row],[Precio final en USD]]*$P$4</f>
        <v>3013.191050847458</v>
      </c>
    </row>
    <row r="423" spans="1:10" x14ac:dyDescent="0.2">
      <c r="A423" s="12">
        <v>10796</v>
      </c>
      <c r="B423" s="11" t="s">
        <v>52</v>
      </c>
      <c r="C423" s="13" t="s">
        <v>505</v>
      </c>
      <c r="D423" s="12" t="s">
        <v>58</v>
      </c>
      <c r="E423" s="10" t="s">
        <v>149</v>
      </c>
      <c r="F423" s="14">
        <v>296</v>
      </c>
      <c r="G423" s="15"/>
      <c r="I423" s="14">
        <f t="shared" si="6"/>
        <v>296</v>
      </c>
      <c r="J423" s="14">
        <f>Tabla13[[#This Row],[Precio final en USD]]*$P$4</f>
        <v>473.6</v>
      </c>
    </row>
    <row r="424" spans="1:10" x14ac:dyDescent="0.2">
      <c r="A424" s="12">
        <v>10797</v>
      </c>
      <c r="B424" s="11" t="s">
        <v>52</v>
      </c>
      <c r="C424" s="13" t="s">
        <v>506</v>
      </c>
      <c r="D424" s="12" t="s">
        <v>58</v>
      </c>
      <c r="E424" s="10" t="s">
        <v>507</v>
      </c>
      <c r="F424" s="14"/>
      <c r="G424" s="15"/>
      <c r="I424" s="14" t="str">
        <f t="shared" si="6"/>
        <v/>
      </c>
      <c r="J424" s="14" t="e">
        <f>Tabla13[[#This Row],[Precio final en USD]]*$P$4</f>
        <v>#VALUE!</v>
      </c>
    </row>
    <row r="425" spans="1:10" x14ac:dyDescent="0.2">
      <c r="A425" s="12">
        <v>10798</v>
      </c>
      <c r="B425" s="11" t="s">
        <v>52</v>
      </c>
      <c r="C425" s="13" t="s">
        <v>508</v>
      </c>
      <c r="D425" s="12" t="s">
        <v>58</v>
      </c>
      <c r="E425" s="10" t="s">
        <v>68</v>
      </c>
      <c r="F425" s="14"/>
      <c r="G425" s="15"/>
      <c r="I425" s="14" t="str">
        <f t="shared" si="6"/>
        <v/>
      </c>
      <c r="J425" s="14" t="e">
        <f>Tabla13[[#This Row],[Precio final en USD]]*$P$4</f>
        <v>#VALUE!</v>
      </c>
    </row>
    <row r="426" spans="1:10" x14ac:dyDescent="0.2">
      <c r="A426" s="12">
        <v>10800</v>
      </c>
      <c r="B426" s="11" t="s">
        <v>52</v>
      </c>
      <c r="C426" s="13" t="s">
        <v>509</v>
      </c>
      <c r="D426" s="12" t="s">
        <v>58</v>
      </c>
      <c r="E426" s="10" t="s">
        <v>68</v>
      </c>
      <c r="F426" s="14"/>
      <c r="G426" s="15">
        <v>82500</v>
      </c>
      <c r="I426" s="14">
        <f t="shared" si="6"/>
        <v>55.932203389830505</v>
      </c>
      <c r="J426" s="14">
        <f>Tabla13[[#This Row],[Precio final en USD]]*$P$4</f>
        <v>89.491525423728817</v>
      </c>
    </row>
    <row r="427" spans="1:10" x14ac:dyDescent="0.2">
      <c r="A427" s="12">
        <v>10801</v>
      </c>
      <c r="B427" s="11" t="s">
        <v>52</v>
      </c>
      <c r="C427" s="13" t="s">
        <v>510</v>
      </c>
      <c r="D427" s="12" t="s">
        <v>58</v>
      </c>
      <c r="E427" s="10" t="s">
        <v>149</v>
      </c>
      <c r="F427" s="14">
        <v>23</v>
      </c>
      <c r="G427" s="15"/>
      <c r="I427" s="14">
        <f t="shared" si="6"/>
        <v>23</v>
      </c>
      <c r="J427" s="14">
        <f>Tabla13[[#This Row],[Precio final en USD]]*$P$4</f>
        <v>36.800000000000004</v>
      </c>
    </row>
    <row r="428" spans="1:10" x14ac:dyDescent="0.2">
      <c r="A428" s="12">
        <v>10802</v>
      </c>
      <c r="B428" s="11" t="s">
        <v>52</v>
      </c>
      <c r="C428" s="13" t="s">
        <v>511</v>
      </c>
      <c r="D428" s="12" t="s">
        <v>58</v>
      </c>
      <c r="E428" s="10" t="s">
        <v>68</v>
      </c>
      <c r="F428" s="14"/>
      <c r="G428" s="15">
        <v>363000</v>
      </c>
      <c r="I428" s="14">
        <f t="shared" si="6"/>
        <v>246.10169491525423</v>
      </c>
      <c r="J428" s="14">
        <f>Tabla13[[#This Row],[Precio final en USD]]*$P$4</f>
        <v>393.76271186440681</v>
      </c>
    </row>
    <row r="429" spans="1:10" x14ac:dyDescent="0.2">
      <c r="A429" s="12">
        <v>10803</v>
      </c>
      <c r="B429" s="11" t="s">
        <v>52</v>
      </c>
      <c r="C429" s="13" t="s">
        <v>512</v>
      </c>
      <c r="D429" s="12" t="s">
        <v>58</v>
      </c>
      <c r="E429" s="10" t="s">
        <v>68</v>
      </c>
      <c r="F429" s="14"/>
      <c r="G429" s="15">
        <v>366000</v>
      </c>
      <c r="I429" s="14">
        <f t="shared" si="6"/>
        <v>248.13559322033899</v>
      </c>
      <c r="J429" s="14">
        <f>Tabla13[[#This Row],[Precio final en USD]]*$P$4</f>
        <v>397.0169491525424</v>
      </c>
    </row>
    <row r="430" spans="1:10" x14ac:dyDescent="0.2">
      <c r="A430" s="12">
        <v>10818</v>
      </c>
      <c r="B430" s="11" t="s">
        <v>52</v>
      </c>
      <c r="C430" s="27" t="s">
        <v>513</v>
      </c>
      <c r="D430" s="12" t="s">
        <v>58</v>
      </c>
      <c r="E430" s="10" t="s">
        <v>55</v>
      </c>
      <c r="F430" s="14">
        <v>75.89</v>
      </c>
      <c r="G430" s="15"/>
      <c r="I430" s="14">
        <f t="shared" si="6"/>
        <v>75.89</v>
      </c>
      <c r="J430" s="14">
        <f>Tabla13[[#This Row],[Precio final en USD]]*$P$4</f>
        <v>121.42400000000001</v>
      </c>
    </row>
    <row r="431" spans="1:10" x14ac:dyDescent="0.2">
      <c r="A431" s="12">
        <v>10819</v>
      </c>
      <c r="B431" s="11" t="s">
        <v>52</v>
      </c>
      <c r="C431" s="10" t="s">
        <v>514</v>
      </c>
      <c r="D431" s="12" t="s">
        <v>58</v>
      </c>
      <c r="E431" s="10" t="s">
        <v>55</v>
      </c>
      <c r="F431" s="14">
        <v>75.89</v>
      </c>
      <c r="G431" s="15"/>
      <c r="I431" s="14">
        <f t="shared" si="6"/>
        <v>75.89</v>
      </c>
      <c r="J431" s="14">
        <f>Tabla13[[#This Row],[Precio final en USD]]*$P$4</f>
        <v>121.42400000000001</v>
      </c>
    </row>
    <row r="432" spans="1:10" x14ac:dyDescent="0.2">
      <c r="A432" s="12">
        <v>10820</v>
      </c>
      <c r="B432" s="11" t="s">
        <v>52</v>
      </c>
      <c r="C432" s="10" t="s">
        <v>515</v>
      </c>
      <c r="D432" s="12" t="s">
        <v>58</v>
      </c>
      <c r="E432" s="10" t="s">
        <v>55</v>
      </c>
      <c r="F432" s="14">
        <v>119.41</v>
      </c>
      <c r="G432" s="15"/>
      <c r="I432" s="14">
        <f t="shared" si="6"/>
        <v>119.41</v>
      </c>
      <c r="J432" s="14">
        <f>Tabla13[[#This Row],[Precio final en USD]]*$P$4</f>
        <v>191.05600000000001</v>
      </c>
    </row>
    <row r="433" spans="1:10" x14ac:dyDescent="0.2">
      <c r="A433" s="12">
        <v>10821</v>
      </c>
      <c r="B433" s="11" t="s">
        <v>52</v>
      </c>
      <c r="C433" s="10" t="s">
        <v>516</v>
      </c>
      <c r="D433" s="12" t="s">
        <v>58</v>
      </c>
      <c r="E433" s="10" t="s">
        <v>55</v>
      </c>
      <c r="F433" s="14">
        <v>494.08</v>
      </c>
      <c r="G433" s="15"/>
      <c r="I433" s="14">
        <f t="shared" si="6"/>
        <v>494.08</v>
      </c>
      <c r="J433" s="14">
        <f>Tabla13[[#This Row],[Precio final en USD]]*$P$4</f>
        <v>790.52800000000002</v>
      </c>
    </row>
    <row r="434" spans="1:10" x14ac:dyDescent="0.2">
      <c r="A434" s="12">
        <v>10822</v>
      </c>
      <c r="B434" s="11" t="s">
        <v>52</v>
      </c>
      <c r="C434" s="10" t="s">
        <v>517</v>
      </c>
      <c r="D434" s="12" t="s">
        <v>58</v>
      </c>
      <c r="E434" s="10" t="s">
        <v>68</v>
      </c>
      <c r="F434" s="14"/>
      <c r="G434" s="15">
        <v>48000</v>
      </c>
      <c r="I434" s="14">
        <f t="shared" si="6"/>
        <v>32.542372881355931</v>
      </c>
      <c r="J434" s="14">
        <f>Tabla13[[#This Row],[Precio final en USD]]*$P$4</f>
        <v>52.067796610169495</v>
      </c>
    </row>
    <row r="435" spans="1:10" x14ac:dyDescent="0.2">
      <c r="A435" s="12">
        <v>10823</v>
      </c>
      <c r="B435" s="11" t="s">
        <v>52</v>
      </c>
      <c r="C435" s="10" t="s">
        <v>518</v>
      </c>
      <c r="D435" s="12" t="s">
        <v>58</v>
      </c>
      <c r="E435" s="10" t="s">
        <v>68</v>
      </c>
      <c r="F435" s="14"/>
      <c r="G435" s="15">
        <v>55000</v>
      </c>
      <c r="I435" s="14">
        <f t="shared" si="6"/>
        <v>37.288135593220339</v>
      </c>
      <c r="J435" s="14">
        <f>Tabla13[[#This Row],[Precio final en USD]]*$P$4</f>
        <v>59.661016949152547</v>
      </c>
    </row>
    <row r="436" spans="1:10" x14ac:dyDescent="0.2">
      <c r="A436" s="12">
        <v>10824</v>
      </c>
      <c r="B436" s="11" t="s">
        <v>52</v>
      </c>
      <c r="C436" s="10" t="s">
        <v>519</v>
      </c>
      <c r="D436" s="12" t="s">
        <v>58</v>
      </c>
      <c r="E436" s="10" t="s">
        <v>445</v>
      </c>
      <c r="F436" s="14"/>
      <c r="G436" s="15">
        <v>280000</v>
      </c>
      <c r="I436" s="14">
        <f t="shared" si="6"/>
        <v>189.83050847457628</v>
      </c>
      <c r="J436" s="14">
        <f>Tabla13[[#This Row],[Precio final en USD]]*$P$4</f>
        <v>303.72881355932208</v>
      </c>
    </row>
    <row r="437" spans="1:10" x14ac:dyDescent="0.2">
      <c r="A437" s="12">
        <v>10825</v>
      </c>
      <c r="B437" s="11" t="s">
        <v>52</v>
      </c>
      <c r="C437" s="10" t="s">
        <v>520</v>
      </c>
      <c r="D437" s="12" t="s">
        <v>58</v>
      </c>
      <c r="E437" s="10" t="s">
        <v>507</v>
      </c>
      <c r="F437" s="14">
        <v>98</v>
      </c>
      <c r="G437" s="15"/>
      <c r="I437" s="14">
        <f t="shared" si="6"/>
        <v>98</v>
      </c>
      <c r="J437" s="14">
        <f>Tabla13[[#This Row],[Precio final en USD]]*$P$4</f>
        <v>156.80000000000001</v>
      </c>
    </row>
    <row r="438" spans="1:10" x14ac:dyDescent="0.2">
      <c r="A438" s="12">
        <v>10826</v>
      </c>
      <c r="B438" s="11" t="s">
        <v>52</v>
      </c>
      <c r="C438" s="10" t="s">
        <v>521</v>
      </c>
      <c r="D438" s="12" t="s">
        <v>58</v>
      </c>
      <c r="E438" s="10" t="s">
        <v>507</v>
      </c>
      <c r="F438" s="14">
        <v>79</v>
      </c>
      <c r="G438" s="15"/>
      <c r="I438" s="14">
        <f t="shared" si="6"/>
        <v>79</v>
      </c>
      <c r="J438" s="14">
        <f>Tabla13[[#This Row],[Precio final en USD]]*$P$4</f>
        <v>126.4</v>
      </c>
    </row>
    <row r="439" spans="1:10" x14ac:dyDescent="0.2">
      <c r="A439" s="12">
        <v>10827</v>
      </c>
      <c r="B439" s="11" t="s">
        <v>52</v>
      </c>
      <c r="C439" s="13" t="s">
        <v>522</v>
      </c>
      <c r="D439" s="12" t="s">
        <v>58</v>
      </c>
      <c r="E439" s="10" t="s">
        <v>447</v>
      </c>
      <c r="F439" s="14"/>
      <c r="G439" s="15">
        <v>3555</v>
      </c>
      <c r="I439" s="14">
        <f t="shared" si="6"/>
        <v>2.4101694915254237</v>
      </c>
      <c r="J439" s="14">
        <f>Tabla13[[#This Row],[Precio final en USD]]*$P$4</f>
        <v>3.856271186440678</v>
      </c>
    </row>
    <row r="440" spans="1:10" x14ac:dyDescent="0.2">
      <c r="A440" s="12">
        <v>10828</v>
      </c>
      <c r="B440" s="11" t="s">
        <v>52</v>
      </c>
      <c r="C440" s="13" t="s">
        <v>523</v>
      </c>
      <c r="D440" s="12" t="s">
        <v>58</v>
      </c>
      <c r="E440" s="10" t="s">
        <v>447</v>
      </c>
      <c r="F440" s="14"/>
      <c r="G440" s="15">
        <v>149079</v>
      </c>
      <c r="I440" s="14">
        <f t="shared" si="6"/>
        <v>101.07050847457627</v>
      </c>
      <c r="J440" s="14">
        <f>Tabla13[[#This Row],[Precio final en USD]]*$P$4</f>
        <v>161.71281355932206</v>
      </c>
    </row>
    <row r="441" spans="1:10" x14ac:dyDescent="0.2">
      <c r="A441" s="12">
        <v>10829</v>
      </c>
      <c r="B441" s="11" t="s">
        <v>52</v>
      </c>
      <c r="C441" s="26" t="s">
        <v>524</v>
      </c>
      <c r="D441" s="12" t="s">
        <v>58</v>
      </c>
      <c r="E441" s="10" t="s">
        <v>447</v>
      </c>
      <c r="F441" s="14"/>
      <c r="G441" s="15">
        <v>1033</v>
      </c>
      <c r="I441" s="14">
        <f t="shared" si="6"/>
        <v>0.70033898305084741</v>
      </c>
      <c r="J441" s="14">
        <f>Tabla13[[#This Row],[Precio final en USD]]*$P$4</f>
        <v>1.1205423728813559</v>
      </c>
    </row>
    <row r="442" spans="1:10" x14ac:dyDescent="0.2">
      <c r="A442" s="12">
        <v>10830</v>
      </c>
      <c r="B442" s="11" t="s">
        <v>52</v>
      </c>
      <c r="C442" s="13" t="s">
        <v>525</v>
      </c>
      <c r="D442" s="12" t="s">
        <v>58</v>
      </c>
      <c r="E442" s="10" t="s">
        <v>447</v>
      </c>
      <c r="F442" s="14"/>
      <c r="G442" s="15">
        <v>45563</v>
      </c>
      <c r="I442" s="14">
        <f t="shared" si="6"/>
        <v>30.890169491525423</v>
      </c>
      <c r="J442" s="14">
        <f>Tabla13[[#This Row],[Precio final en USD]]*$P$4</f>
        <v>49.424271186440677</v>
      </c>
    </row>
    <row r="443" spans="1:10" x14ac:dyDescent="0.2">
      <c r="A443" s="12">
        <v>10831</v>
      </c>
      <c r="B443" s="11" t="s">
        <v>52</v>
      </c>
      <c r="C443" s="13" t="s">
        <v>526</v>
      </c>
      <c r="D443" s="12" t="s">
        <v>58</v>
      </c>
      <c r="E443" s="10" t="s">
        <v>447</v>
      </c>
      <c r="F443" s="14"/>
      <c r="G443" s="15">
        <v>1991</v>
      </c>
      <c r="I443" s="14">
        <f t="shared" si="6"/>
        <v>1.3498305084745763</v>
      </c>
      <c r="J443" s="14">
        <f>Tabla13[[#This Row],[Precio final en USD]]*$P$4</f>
        <v>2.159728813559322</v>
      </c>
    </row>
    <row r="444" spans="1:10" x14ac:dyDescent="0.2">
      <c r="A444" s="12">
        <v>10833</v>
      </c>
      <c r="B444" s="11" t="s">
        <v>52</v>
      </c>
      <c r="C444" s="13" t="s">
        <v>527</v>
      </c>
      <c r="D444" s="12" t="s">
        <v>58</v>
      </c>
      <c r="E444" s="10" t="s">
        <v>84</v>
      </c>
      <c r="F444" s="14"/>
      <c r="G444" s="15"/>
      <c r="H444" s="10">
        <v>1.42</v>
      </c>
      <c r="I444" s="14">
        <f t="shared" si="6"/>
        <v>1.6510508474576271</v>
      </c>
      <c r="J444" s="14">
        <f>Tabla13[[#This Row],[Precio final en USD]]*$P$4</f>
        <v>2.6416813559322034</v>
      </c>
    </row>
    <row r="445" spans="1:10" x14ac:dyDescent="0.2">
      <c r="A445" s="12">
        <v>10834</v>
      </c>
      <c r="B445" s="11" t="s">
        <v>52</v>
      </c>
      <c r="C445" s="13" t="s">
        <v>528</v>
      </c>
      <c r="D445" s="12" t="s">
        <v>58</v>
      </c>
      <c r="E445" s="10" t="s">
        <v>84</v>
      </c>
      <c r="F445" s="14"/>
      <c r="G445" s="15"/>
      <c r="H445" s="10">
        <v>124.93</v>
      </c>
      <c r="I445" s="14">
        <f t="shared" si="6"/>
        <v>145.257593220339</v>
      </c>
      <c r="J445" s="14">
        <f>Tabla13[[#This Row],[Precio final en USD]]*$P$4</f>
        <v>232.41214915254241</v>
      </c>
    </row>
    <row r="446" spans="1:10" x14ac:dyDescent="0.2">
      <c r="A446" s="12">
        <v>10835</v>
      </c>
      <c r="B446" s="11" t="s">
        <v>52</v>
      </c>
      <c r="C446" s="13" t="s">
        <v>529</v>
      </c>
      <c r="D446" s="12" t="s">
        <v>58</v>
      </c>
      <c r="E446" s="10" t="s">
        <v>84</v>
      </c>
      <c r="F446" s="14"/>
      <c r="G446" s="15"/>
      <c r="H446" s="10">
        <v>5.64</v>
      </c>
      <c r="I446" s="14">
        <f t="shared" si="6"/>
        <v>6.5576949152542374</v>
      </c>
      <c r="J446" s="14">
        <f>Tabla13[[#This Row],[Precio final en USD]]*$P$4</f>
        <v>10.49231186440678</v>
      </c>
    </row>
    <row r="447" spans="1:10" x14ac:dyDescent="0.2">
      <c r="A447" s="12">
        <v>10836</v>
      </c>
      <c r="B447" s="11" t="s">
        <v>52</v>
      </c>
      <c r="C447" s="13" t="s">
        <v>530</v>
      </c>
      <c r="D447" s="12" t="s">
        <v>58</v>
      </c>
      <c r="E447" s="10" t="s">
        <v>84</v>
      </c>
      <c r="F447" s="14"/>
      <c r="G447" s="15"/>
      <c r="H447" s="10">
        <v>170.98</v>
      </c>
      <c r="I447" s="14">
        <f t="shared" si="6"/>
        <v>198.8004745762712</v>
      </c>
      <c r="J447" s="14">
        <f>Tabla13[[#This Row],[Precio final en USD]]*$P$4</f>
        <v>318.08075932203394</v>
      </c>
    </row>
    <row r="448" spans="1:10" x14ac:dyDescent="0.2">
      <c r="A448" s="12">
        <v>10837</v>
      </c>
      <c r="B448" s="11" t="s">
        <v>52</v>
      </c>
      <c r="C448" s="13" t="s">
        <v>531</v>
      </c>
      <c r="D448" s="12" t="s">
        <v>58</v>
      </c>
      <c r="E448" s="10" t="s">
        <v>84</v>
      </c>
      <c r="F448" s="14"/>
      <c r="G448" s="15"/>
      <c r="H448" s="10">
        <v>1479.98</v>
      </c>
      <c r="I448" s="14">
        <f t="shared" si="6"/>
        <v>1720.790305084746</v>
      </c>
      <c r="J448" s="14">
        <f>Tabla13[[#This Row],[Precio final en USD]]*$P$4</f>
        <v>2753.2644881355936</v>
      </c>
    </row>
    <row r="449" spans="1:10" x14ac:dyDescent="0.2">
      <c r="A449" s="12">
        <v>10838</v>
      </c>
      <c r="B449" s="11" t="s">
        <v>52</v>
      </c>
      <c r="C449" s="13" t="s">
        <v>532</v>
      </c>
      <c r="D449" s="12" t="s">
        <v>58</v>
      </c>
      <c r="E449" s="10" t="s">
        <v>84</v>
      </c>
      <c r="F449" s="14"/>
      <c r="G449" s="15"/>
      <c r="H449" s="10">
        <v>5.44</v>
      </c>
      <c r="I449" s="14">
        <f t="shared" si="6"/>
        <v>6.3251525423728827</v>
      </c>
      <c r="J449" s="14">
        <f>Tabla13[[#This Row],[Precio final en USD]]*$P$4</f>
        <v>10.120244067796612</v>
      </c>
    </row>
    <row r="450" spans="1:10" x14ac:dyDescent="0.2">
      <c r="A450" s="12">
        <v>10839</v>
      </c>
      <c r="B450" s="11" t="s">
        <v>52</v>
      </c>
      <c r="C450" s="13" t="s">
        <v>533</v>
      </c>
      <c r="D450" s="12" t="s">
        <v>58</v>
      </c>
      <c r="E450" s="10" t="s">
        <v>84</v>
      </c>
      <c r="F450" s="14"/>
      <c r="G450" s="15"/>
      <c r="H450" s="10">
        <v>44.66</v>
      </c>
      <c r="I450" s="14">
        <f t="shared" ref="I450:I513" si="7">IF(AND(F450="",G450="",H450=""),"",IF(F450&lt;&gt;"",F450,IF(G450&lt;&gt;"",G450/$O$1,IF(H450&lt;&gt;"",H450*$O$2,"ver"))))</f>
        <v>51.926711864406784</v>
      </c>
      <c r="J450" s="14">
        <f>Tabla13[[#This Row],[Precio final en USD]]*$P$4</f>
        <v>83.082738983050859</v>
      </c>
    </row>
    <row r="451" spans="1:10" x14ac:dyDescent="0.2">
      <c r="A451" s="12">
        <v>10840</v>
      </c>
      <c r="B451" s="11" t="s">
        <v>52</v>
      </c>
      <c r="C451" s="13" t="s">
        <v>534</v>
      </c>
      <c r="D451" s="12" t="s">
        <v>58</v>
      </c>
      <c r="E451" s="10" t="s">
        <v>84</v>
      </c>
      <c r="F451" s="14"/>
      <c r="G451" s="15"/>
      <c r="H451" s="10">
        <v>86.98</v>
      </c>
      <c r="I451" s="14">
        <f t="shared" si="7"/>
        <v>101.13267796610171</v>
      </c>
      <c r="J451" s="14">
        <f>Tabla13[[#This Row],[Precio final en USD]]*$P$4</f>
        <v>161.81228474576275</v>
      </c>
    </row>
    <row r="452" spans="1:10" x14ac:dyDescent="0.2">
      <c r="A452" s="12">
        <v>10841</v>
      </c>
      <c r="B452" s="11" t="s">
        <v>52</v>
      </c>
      <c r="C452" s="13" t="s">
        <v>535</v>
      </c>
      <c r="D452" s="12" t="s">
        <v>58</v>
      </c>
      <c r="E452" s="10" t="s">
        <v>84</v>
      </c>
      <c r="F452" s="14"/>
      <c r="G452" s="15"/>
      <c r="H452" s="10">
        <v>229.8</v>
      </c>
      <c r="I452" s="14">
        <f t="shared" si="7"/>
        <v>267.191186440678</v>
      </c>
      <c r="J452" s="14">
        <f>Tabla13[[#This Row],[Precio final en USD]]*$P$4</f>
        <v>427.50589830508483</v>
      </c>
    </row>
    <row r="453" spans="1:10" x14ac:dyDescent="0.2">
      <c r="A453" s="12">
        <v>10842</v>
      </c>
      <c r="B453" s="11" t="s">
        <v>52</v>
      </c>
      <c r="C453" s="13" t="s">
        <v>536</v>
      </c>
      <c r="D453" s="12" t="s">
        <v>58</v>
      </c>
      <c r="E453" s="10" t="s">
        <v>84</v>
      </c>
      <c r="F453" s="14"/>
      <c r="G453" s="15"/>
      <c r="H453" s="10">
        <v>91.8</v>
      </c>
      <c r="I453" s="14">
        <f t="shared" si="7"/>
        <v>106.73694915254238</v>
      </c>
      <c r="J453" s="14">
        <f>Tabla13[[#This Row],[Precio final en USD]]*$P$4</f>
        <v>170.77911864406781</v>
      </c>
    </row>
    <row r="454" spans="1:10" x14ac:dyDescent="0.2">
      <c r="A454" s="12">
        <v>10843</v>
      </c>
      <c r="B454" s="11" t="s">
        <v>52</v>
      </c>
      <c r="C454" s="13" t="s">
        <v>537</v>
      </c>
      <c r="D454" s="12" t="s">
        <v>58</v>
      </c>
      <c r="E454" s="10" t="s">
        <v>84</v>
      </c>
      <c r="F454" s="14"/>
      <c r="G454" s="15"/>
      <c r="H454" s="10">
        <v>219.98</v>
      </c>
      <c r="I454" s="14">
        <f t="shared" si="7"/>
        <v>255.7733559322034</v>
      </c>
      <c r="J454" s="14">
        <f>Tabla13[[#This Row],[Precio final en USD]]*$P$4</f>
        <v>409.23736949152544</v>
      </c>
    </row>
    <row r="455" spans="1:10" x14ac:dyDescent="0.2">
      <c r="A455" s="12">
        <v>10844</v>
      </c>
      <c r="B455" s="11" t="s">
        <v>52</v>
      </c>
      <c r="C455" s="13" t="s">
        <v>538</v>
      </c>
      <c r="D455" s="12" t="s">
        <v>58</v>
      </c>
      <c r="E455" s="10" t="s">
        <v>84</v>
      </c>
      <c r="F455" s="14"/>
      <c r="G455" s="15"/>
      <c r="H455" s="10">
        <v>136.97999999999999</v>
      </c>
      <c r="I455" s="14">
        <f t="shared" si="7"/>
        <v>159.26827118644067</v>
      </c>
      <c r="J455" s="14">
        <f>Tabla13[[#This Row],[Precio final en USD]]*$P$4</f>
        <v>254.82923389830509</v>
      </c>
    </row>
    <row r="456" spans="1:10" x14ac:dyDescent="0.2">
      <c r="A456" s="12">
        <v>10845</v>
      </c>
      <c r="B456" s="11" t="s">
        <v>52</v>
      </c>
      <c r="C456" s="13" t="s">
        <v>539</v>
      </c>
      <c r="D456" s="12" t="s">
        <v>58</v>
      </c>
      <c r="E456" s="10" t="s">
        <v>84</v>
      </c>
      <c r="F456" s="14"/>
      <c r="G456" s="15"/>
      <c r="H456" s="10">
        <v>43.44</v>
      </c>
      <c r="I456" s="14">
        <f t="shared" si="7"/>
        <v>50.508203389830513</v>
      </c>
      <c r="J456" s="14">
        <f>Tabla13[[#This Row],[Precio final en USD]]*$P$4</f>
        <v>80.81312542372882</v>
      </c>
    </row>
    <row r="457" spans="1:10" x14ac:dyDescent="0.2">
      <c r="A457" s="12">
        <v>10846</v>
      </c>
      <c r="B457" s="11" t="s">
        <v>52</v>
      </c>
      <c r="C457" s="13" t="s">
        <v>540</v>
      </c>
      <c r="D457" s="12" t="s">
        <v>58</v>
      </c>
      <c r="E457" s="10" t="s">
        <v>84</v>
      </c>
      <c r="F457" s="14"/>
      <c r="G457" s="15"/>
      <c r="H457" s="10">
        <v>17.04</v>
      </c>
      <c r="I457" s="14">
        <f t="shared" si="7"/>
        <v>19.812610169491528</v>
      </c>
      <c r="J457" s="14">
        <f>Tabla13[[#This Row],[Precio final en USD]]*$P$4</f>
        <v>31.700176271186447</v>
      </c>
    </row>
    <row r="458" spans="1:10" x14ac:dyDescent="0.2">
      <c r="A458" s="12">
        <v>10847</v>
      </c>
      <c r="B458" s="11" t="s">
        <v>52</v>
      </c>
      <c r="C458" s="13" t="s">
        <v>541</v>
      </c>
      <c r="D458" s="12" t="s">
        <v>58</v>
      </c>
      <c r="E458" s="10" t="s">
        <v>84</v>
      </c>
      <c r="F458" s="14"/>
      <c r="G458" s="15"/>
      <c r="H458" s="10">
        <v>9.1199999999999992</v>
      </c>
      <c r="I458" s="14">
        <f t="shared" si="7"/>
        <v>10.60393220338983</v>
      </c>
      <c r="J458" s="14">
        <f>Tabla13[[#This Row],[Precio final en USD]]*$P$4</f>
        <v>16.966291525423728</v>
      </c>
    </row>
    <row r="459" spans="1:10" x14ac:dyDescent="0.2">
      <c r="A459" s="12">
        <v>10848</v>
      </c>
      <c r="B459" s="11" t="s">
        <v>52</v>
      </c>
      <c r="C459" s="13" t="s">
        <v>542</v>
      </c>
      <c r="D459" s="12" t="s">
        <v>58</v>
      </c>
      <c r="E459" s="10" t="s">
        <v>84</v>
      </c>
      <c r="F459" s="14"/>
      <c r="G459" s="15"/>
      <c r="H459" s="10">
        <v>21.1</v>
      </c>
      <c r="I459" s="14">
        <f t="shared" si="7"/>
        <v>24.533220338983053</v>
      </c>
      <c r="J459" s="14">
        <f>Tabla13[[#This Row],[Precio final en USD]]*$P$4</f>
        <v>39.253152542372888</v>
      </c>
    </row>
    <row r="460" spans="1:10" x14ac:dyDescent="0.2">
      <c r="A460" s="12">
        <v>10849</v>
      </c>
      <c r="B460" s="11" t="s">
        <v>52</v>
      </c>
      <c r="C460" s="13" t="s">
        <v>543</v>
      </c>
      <c r="D460" s="12" t="s">
        <v>58</v>
      </c>
      <c r="E460" s="10" t="s">
        <v>84</v>
      </c>
      <c r="F460" s="14"/>
      <c r="G460" s="15"/>
      <c r="H460" s="10">
        <v>2.02</v>
      </c>
      <c r="I460" s="14">
        <f t="shared" si="7"/>
        <v>2.348677966101695</v>
      </c>
      <c r="J460" s="14">
        <f>Tabla13[[#This Row],[Precio final en USD]]*$P$4</f>
        <v>3.7578847457627123</v>
      </c>
    </row>
    <row r="461" spans="1:10" x14ac:dyDescent="0.2">
      <c r="A461" s="12">
        <v>10850</v>
      </c>
      <c r="B461" s="11" t="s">
        <v>52</v>
      </c>
      <c r="C461" s="13" t="s">
        <v>544</v>
      </c>
      <c r="D461" s="12" t="s">
        <v>58</v>
      </c>
      <c r="E461" s="10" t="s">
        <v>84</v>
      </c>
      <c r="F461" s="14"/>
      <c r="G461" s="15"/>
      <c r="H461" s="10">
        <v>63.94</v>
      </c>
      <c r="I461" s="14">
        <f t="shared" si="7"/>
        <v>74.343796610169491</v>
      </c>
      <c r="J461" s="14">
        <f>Tabla13[[#This Row],[Precio final en USD]]*$P$4</f>
        <v>118.95007457627119</v>
      </c>
    </row>
    <row r="462" spans="1:10" x14ac:dyDescent="0.2">
      <c r="A462" s="12">
        <v>10851</v>
      </c>
      <c r="B462" s="11" t="s">
        <v>52</v>
      </c>
      <c r="C462" s="13" t="s">
        <v>545</v>
      </c>
      <c r="D462" s="12" t="s">
        <v>58</v>
      </c>
      <c r="E462" s="10" t="s">
        <v>84</v>
      </c>
      <c r="F462" s="14"/>
      <c r="G462" s="15"/>
      <c r="H462" s="10">
        <v>19.48</v>
      </c>
      <c r="I462" s="14">
        <f t="shared" si="7"/>
        <v>22.649627118644069</v>
      </c>
      <c r="J462" s="14">
        <f>Tabla13[[#This Row],[Precio final en USD]]*$P$4</f>
        <v>36.239403389830514</v>
      </c>
    </row>
    <row r="463" spans="1:10" x14ac:dyDescent="0.2">
      <c r="A463" s="12">
        <v>10852</v>
      </c>
      <c r="B463" s="11" t="s">
        <v>52</v>
      </c>
      <c r="C463" s="13" t="s">
        <v>546</v>
      </c>
      <c r="D463" s="12" t="s">
        <v>58</v>
      </c>
      <c r="E463" s="10" t="s">
        <v>68</v>
      </c>
      <c r="F463" s="14"/>
      <c r="G463" s="15">
        <v>27000</v>
      </c>
      <c r="I463" s="14">
        <f t="shared" si="7"/>
        <v>18.305084745762713</v>
      </c>
      <c r="J463" s="14">
        <f>Tabla13[[#This Row],[Precio final en USD]]*$P$4</f>
        <v>29.288135593220343</v>
      </c>
    </row>
    <row r="464" spans="1:10" x14ac:dyDescent="0.2">
      <c r="A464" s="12">
        <v>10853</v>
      </c>
      <c r="B464" s="11" t="s">
        <v>52</v>
      </c>
      <c r="C464" s="13" t="s">
        <v>547</v>
      </c>
      <c r="D464" s="12" t="s">
        <v>58</v>
      </c>
      <c r="E464" s="10" t="s">
        <v>68</v>
      </c>
      <c r="F464" s="14"/>
      <c r="G464" s="15">
        <v>95000</v>
      </c>
      <c r="I464" s="14">
        <f t="shared" si="7"/>
        <v>64.406779661016955</v>
      </c>
      <c r="J464" s="14">
        <f>Tabla13[[#This Row],[Precio final en USD]]*$P$4</f>
        <v>103.05084745762713</v>
      </c>
    </row>
    <row r="465" spans="1:10" x14ac:dyDescent="0.2">
      <c r="A465" s="12">
        <v>10854</v>
      </c>
      <c r="B465" s="11" t="s">
        <v>52</v>
      </c>
      <c r="C465" s="13" t="s">
        <v>548</v>
      </c>
      <c r="D465" s="12" t="s">
        <v>58</v>
      </c>
      <c r="E465" s="10" t="s">
        <v>68</v>
      </c>
      <c r="F465" s="14"/>
      <c r="G465" s="15">
        <v>30000</v>
      </c>
      <c r="I465" s="14">
        <f t="shared" si="7"/>
        <v>20.338983050847457</v>
      </c>
      <c r="J465" s="14">
        <f>Tabla13[[#This Row],[Precio final en USD]]*$P$4</f>
        <v>32.542372881355931</v>
      </c>
    </row>
    <row r="466" spans="1:10" x14ac:dyDescent="0.2">
      <c r="A466" s="12">
        <v>10856</v>
      </c>
      <c r="B466" s="11" t="s">
        <v>52</v>
      </c>
      <c r="C466" s="13" t="s">
        <v>549</v>
      </c>
      <c r="D466" s="12" t="s">
        <v>58</v>
      </c>
      <c r="E466" s="10" t="s">
        <v>350</v>
      </c>
      <c r="F466" s="14"/>
      <c r="G466" s="15">
        <v>189424</v>
      </c>
      <c r="I466" s="14">
        <f t="shared" si="7"/>
        <v>128.42305084745763</v>
      </c>
      <c r="J466" s="14">
        <f>Tabla13[[#This Row],[Precio final en USD]]*$P$4</f>
        <v>205.47688135593222</v>
      </c>
    </row>
    <row r="467" spans="1:10" x14ac:dyDescent="0.2">
      <c r="A467" s="12">
        <v>10857</v>
      </c>
      <c r="B467" s="11" t="s">
        <v>52</v>
      </c>
      <c r="C467" s="13" t="s">
        <v>550</v>
      </c>
      <c r="D467" s="12" t="s">
        <v>58</v>
      </c>
      <c r="E467" s="10" t="s">
        <v>457</v>
      </c>
      <c r="F467" s="14"/>
      <c r="G467" s="15">
        <v>98000</v>
      </c>
      <c r="I467" s="14">
        <f t="shared" si="7"/>
        <v>66.440677966101688</v>
      </c>
      <c r="J467" s="14">
        <f>Tabla13[[#This Row],[Precio final en USD]]*$P$4</f>
        <v>106.30508474576271</v>
      </c>
    </row>
    <row r="468" spans="1:10" x14ac:dyDescent="0.2">
      <c r="A468" s="12">
        <v>10858</v>
      </c>
      <c r="B468" s="11" t="s">
        <v>52</v>
      </c>
      <c r="C468" s="13" t="s">
        <v>551</v>
      </c>
      <c r="D468" s="12" t="s">
        <v>58</v>
      </c>
      <c r="E468" s="10" t="s">
        <v>128</v>
      </c>
      <c r="F468" s="14">
        <v>115</v>
      </c>
      <c r="G468" s="15"/>
      <c r="I468" s="14">
        <f t="shared" si="7"/>
        <v>115</v>
      </c>
      <c r="J468" s="14">
        <f>Tabla13[[#This Row],[Precio final en USD]]*$P$4</f>
        <v>184</v>
      </c>
    </row>
    <row r="469" spans="1:10" x14ac:dyDescent="0.2">
      <c r="A469" s="12">
        <v>10900</v>
      </c>
      <c r="B469" s="11" t="s">
        <v>52</v>
      </c>
      <c r="C469" s="13" t="s">
        <v>552</v>
      </c>
      <c r="D469" s="12" t="s">
        <v>58</v>
      </c>
      <c r="E469" s="10" t="s">
        <v>84</v>
      </c>
      <c r="F469" s="14"/>
      <c r="G469" s="15"/>
      <c r="H469" s="10">
        <v>3</v>
      </c>
      <c r="I469" s="14">
        <f t="shared" si="7"/>
        <v>3.4881355932203393</v>
      </c>
      <c r="J469" s="14">
        <f>Tabla13[[#This Row],[Precio final en USD]]*$P$4</f>
        <v>5.5810169491525432</v>
      </c>
    </row>
    <row r="470" spans="1:10" x14ac:dyDescent="0.2">
      <c r="A470" s="12">
        <v>10809</v>
      </c>
      <c r="B470" s="11" t="s">
        <v>52</v>
      </c>
      <c r="C470" s="13" t="s">
        <v>553</v>
      </c>
      <c r="D470" s="12" t="s">
        <v>58</v>
      </c>
      <c r="E470" s="10" t="s">
        <v>554</v>
      </c>
      <c r="F470" s="14">
        <v>10</v>
      </c>
      <c r="G470" s="15"/>
      <c r="I470" s="14">
        <f t="shared" si="7"/>
        <v>10</v>
      </c>
      <c r="J470" s="14">
        <f>Tabla13[[#This Row],[Precio final en USD]]*$P$4</f>
        <v>16</v>
      </c>
    </row>
    <row r="471" spans="1:10" ht="16" x14ac:dyDescent="0.2">
      <c r="A471" s="12">
        <v>10782</v>
      </c>
      <c r="B471" s="11" t="s">
        <v>52</v>
      </c>
      <c r="C471" s="28" t="s">
        <v>16</v>
      </c>
      <c r="D471" s="12" t="s">
        <v>58</v>
      </c>
      <c r="E471" s="10" t="s">
        <v>84</v>
      </c>
      <c r="F471" s="14"/>
      <c r="G471" s="15"/>
      <c r="H471" s="10">
        <v>5.54</v>
      </c>
      <c r="I471" s="14">
        <f t="shared" si="7"/>
        <v>6.4414237288135601</v>
      </c>
      <c r="J471" s="14">
        <f>Tabla13[[#This Row],[Precio final en USD]]*$P$4</f>
        <v>10.306277966101696</v>
      </c>
    </row>
    <row r="472" spans="1:10" x14ac:dyDescent="0.2">
      <c r="A472" s="12">
        <v>10808</v>
      </c>
      <c r="B472" s="11" t="s">
        <v>52</v>
      </c>
      <c r="C472" s="13" t="s">
        <v>555</v>
      </c>
      <c r="D472" s="12" t="s">
        <v>58</v>
      </c>
      <c r="E472" s="10" t="s">
        <v>84</v>
      </c>
      <c r="F472" s="14">
        <v>20</v>
      </c>
      <c r="G472" s="15"/>
      <c r="I472" s="14">
        <f t="shared" si="7"/>
        <v>20</v>
      </c>
      <c r="J472" s="14">
        <f>Tabla13[[#This Row],[Precio final en USD]]*$P$4</f>
        <v>32</v>
      </c>
    </row>
    <row r="473" spans="1:10" x14ac:dyDescent="0.2">
      <c r="A473" s="12">
        <v>10268</v>
      </c>
      <c r="B473" s="11" t="s">
        <v>52</v>
      </c>
      <c r="C473" s="13" t="s">
        <v>556</v>
      </c>
      <c r="D473" s="12" t="s">
        <v>58</v>
      </c>
      <c r="E473" s="10" t="s">
        <v>84</v>
      </c>
      <c r="F473" s="14"/>
      <c r="G473" s="15"/>
      <c r="H473" s="10">
        <v>163.18</v>
      </c>
      <c r="I473" s="14">
        <f t="shared" si="7"/>
        <v>189.73132203389832</v>
      </c>
      <c r="J473" s="14">
        <f>Tabla13[[#This Row],[Precio final en USD]]*$P$4</f>
        <v>303.57011525423735</v>
      </c>
    </row>
    <row r="474" spans="1:10" x14ac:dyDescent="0.2">
      <c r="A474" s="12">
        <v>10010</v>
      </c>
      <c r="B474" s="11" t="s">
        <v>52</v>
      </c>
      <c r="C474" s="13" t="s">
        <v>557</v>
      </c>
      <c r="D474" s="12" t="s">
        <v>58</v>
      </c>
      <c r="E474" s="10" t="s">
        <v>84</v>
      </c>
      <c r="F474" s="14">
        <v>33.6</v>
      </c>
      <c r="G474" s="15"/>
      <c r="I474" s="14">
        <f t="shared" si="7"/>
        <v>33.6</v>
      </c>
      <c r="J474" s="14">
        <f>Tabla13[[#This Row],[Precio final en USD]]*$P$4</f>
        <v>53.760000000000005</v>
      </c>
    </row>
    <row r="475" spans="1:10" x14ac:dyDescent="0.2">
      <c r="A475" s="12">
        <v>10107</v>
      </c>
      <c r="B475" s="11" t="s">
        <v>52</v>
      </c>
      <c r="C475" s="13" t="s">
        <v>558</v>
      </c>
      <c r="D475" s="12" t="s">
        <v>58</v>
      </c>
      <c r="E475" s="10" t="s">
        <v>84</v>
      </c>
      <c r="F475" s="14"/>
      <c r="G475" s="15"/>
      <c r="H475" s="10">
        <v>157.47999999999999</v>
      </c>
      <c r="I475" s="14">
        <f t="shared" si="7"/>
        <v>183.10386440677968</v>
      </c>
      <c r="J475" s="14">
        <f>Tabla13[[#This Row],[Precio final en USD]]*$P$4</f>
        <v>292.96618305084752</v>
      </c>
    </row>
    <row r="476" spans="1:10" x14ac:dyDescent="0.2">
      <c r="A476" s="12">
        <v>10776</v>
      </c>
      <c r="B476" s="11" t="s">
        <v>52</v>
      </c>
      <c r="C476" s="29" t="s">
        <v>559</v>
      </c>
      <c r="D476" s="12" t="s">
        <v>58</v>
      </c>
      <c r="E476" s="10" t="s">
        <v>84</v>
      </c>
      <c r="F476" s="14"/>
      <c r="G476" s="15"/>
      <c r="H476" s="10">
        <v>67.599999999999994</v>
      </c>
      <c r="I476" s="14">
        <f t="shared" si="7"/>
        <v>78.599322033898304</v>
      </c>
      <c r="J476" s="14">
        <f>Tabla13[[#This Row],[Precio final en USD]]*$P$4</f>
        <v>125.75891525423729</v>
      </c>
    </row>
    <row r="477" spans="1:10" x14ac:dyDescent="0.2">
      <c r="A477" s="12">
        <v>10901</v>
      </c>
      <c r="B477" s="11" t="s">
        <v>52</v>
      </c>
      <c r="C477" s="13" t="s">
        <v>560</v>
      </c>
      <c r="D477" s="12" t="s">
        <v>58</v>
      </c>
      <c r="E477" s="10" t="s">
        <v>84</v>
      </c>
      <c r="F477" s="14"/>
      <c r="G477" s="15"/>
      <c r="H477" s="10">
        <v>23.35</v>
      </c>
      <c r="I477" s="14">
        <f t="shared" si="7"/>
        <v>27.149322033898308</v>
      </c>
      <c r="J477" s="14">
        <f>Tabla13[[#This Row],[Precio final en USD]]*$P$4</f>
        <v>43.438915254237294</v>
      </c>
    </row>
    <row r="478" spans="1:10" x14ac:dyDescent="0.2">
      <c r="A478" s="12">
        <v>10902</v>
      </c>
      <c r="B478" s="11" t="s">
        <v>52</v>
      </c>
      <c r="C478" s="13" t="s">
        <v>561</v>
      </c>
      <c r="D478" s="12" t="s">
        <v>58</v>
      </c>
      <c r="E478" s="10" t="s">
        <v>84</v>
      </c>
      <c r="F478" s="14"/>
      <c r="G478" s="15"/>
      <c r="H478" s="10">
        <v>119.57</v>
      </c>
      <c r="I478" s="14">
        <f t="shared" si="7"/>
        <v>139.02545762711864</v>
      </c>
      <c r="J478" s="14">
        <f>Tabla13[[#This Row],[Precio final en USD]]*$P$4</f>
        <v>222.44073220338984</v>
      </c>
    </row>
    <row r="479" spans="1:10" x14ac:dyDescent="0.2">
      <c r="A479" s="12">
        <v>10136</v>
      </c>
      <c r="B479" s="11" t="s">
        <v>52</v>
      </c>
      <c r="C479" s="13" t="s">
        <v>562</v>
      </c>
      <c r="D479" s="12" t="s">
        <v>58</v>
      </c>
      <c r="E479" s="10" t="s">
        <v>84</v>
      </c>
      <c r="F479" s="14"/>
      <c r="G479" s="15"/>
      <c r="H479" s="10">
        <v>369.23</v>
      </c>
      <c r="I479" s="14">
        <f t="shared" si="7"/>
        <v>429.30810169491531</v>
      </c>
      <c r="J479" s="14">
        <f>Tabla13[[#This Row],[Precio final en USD]]*$P$4</f>
        <v>686.89296271186458</v>
      </c>
    </row>
    <row r="480" spans="1:10" x14ac:dyDescent="0.2">
      <c r="A480" s="12">
        <v>10197</v>
      </c>
      <c r="B480" s="11" t="s">
        <v>52</v>
      </c>
      <c r="C480" s="13" t="s">
        <v>563</v>
      </c>
      <c r="D480" s="12" t="s">
        <v>58</v>
      </c>
      <c r="E480" s="10" t="s">
        <v>84</v>
      </c>
      <c r="F480" s="14"/>
      <c r="G480" s="15"/>
      <c r="H480" s="10">
        <v>25.8</v>
      </c>
      <c r="I480" s="14">
        <f t="shared" si="7"/>
        <v>29.997966101694917</v>
      </c>
      <c r="J480" s="14">
        <f>Tabla13[[#This Row],[Precio final en USD]]*$P$4</f>
        <v>47.996745762711868</v>
      </c>
    </row>
    <row r="481" spans="1:10" x14ac:dyDescent="0.2">
      <c r="A481" s="12">
        <v>10015</v>
      </c>
      <c r="B481" s="11" t="s">
        <v>52</v>
      </c>
      <c r="C481" s="13" t="s">
        <v>564</v>
      </c>
      <c r="D481" s="12" t="s">
        <v>58</v>
      </c>
      <c r="E481" s="10" t="s">
        <v>84</v>
      </c>
      <c r="F481" s="14"/>
      <c r="G481" s="15"/>
      <c r="H481" s="10">
        <v>121.39</v>
      </c>
      <c r="I481" s="14">
        <f t="shared" si="7"/>
        <v>141.14159322033899</v>
      </c>
      <c r="J481" s="14">
        <f>Tabla13[[#This Row],[Precio final en USD]]*$P$4</f>
        <v>225.82654915254238</v>
      </c>
    </row>
    <row r="482" spans="1:10" x14ac:dyDescent="0.2">
      <c r="A482" s="12">
        <v>10755</v>
      </c>
      <c r="B482" s="11" t="s">
        <v>52</v>
      </c>
      <c r="C482" s="30" t="s">
        <v>565</v>
      </c>
      <c r="D482" s="12" t="s">
        <v>58</v>
      </c>
      <c r="E482" s="10" t="s">
        <v>566</v>
      </c>
      <c r="F482" s="14">
        <v>20</v>
      </c>
      <c r="G482" s="15"/>
      <c r="I482" s="14">
        <f t="shared" si="7"/>
        <v>20</v>
      </c>
      <c r="J482" s="14">
        <f>Tabla13[[#This Row],[Precio final en USD]]*$P$4</f>
        <v>32</v>
      </c>
    </row>
    <row r="483" spans="1:10" x14ac:dyDescent="0.2">
      <c r="A483" s="12">
        <v>10209</v>
      </c>
      <c r="B483" s="11" t="s">
        <v>52</v>
      </c>
      <c r="C483" s="31" t="s">
        <v>567</v>
      </c>
      <c r="D483" s="12" t="s">
        <v>58</v>
      </c>
      <c r="E483" s="10" t="s">
        <v>84</v>
      </c>
      <c r="F483" s="14"/>
      <c r="G483" s="15"/>
      <c r="H483" s="10">
        <v>53.97</v>
      </c>
      <c r="I483" s="14">
        <f t="shared" si="7"/>
        <v>62.751559322033906</v>
      </c>
      <c r="J483" s="14">
        <f>Tabla13[[#This Row],[Precio final en USD]]*$P$4</f>
        <v>100.40249491525425</v>
      </c>
    </row>
    <row r="484" spans="1:10" x14ac:dyDescent="0.2">
      <c r="A484" s="12">
        <v>10432</v>
      </c>
      <c r="B484" s="11" t="s">
        <v>52</v>
      </c>
      <c r="C484" s="29" t="s">
        <v>568</v>
      </c>
      <c r="D484" s="12" t="s">
        <v>58</v>
      </c>
      <c r="E484" s="10" t="s">
        <v>569</v>
      </c>
      <c r="F484" s="14"/>
      <c r="G484" s="15"/>
      <c r="H484" s="10">
        <v>759.98</v>
      </c>
      <c r="I484" s="14">
        <f t="shared" si="7"/>
        <v>883.63776271186453</v>
      </c>
      <c r="J484" s="14">
        <f>Tabla13[[#This Row],[Precio final en USD]]*$P$4</f>
        <v>1413.8204203389832</v>
      </c>
    </row>
    <row r="485" spans="1:10" x14ac:dyDescent="0.2">
      <c r="A485" s="42">
        <v>10888</v>
      </c>
      <c r="B485" s="11" t="s">
        <v>52</v>
      </c>
      <c r="C485" t="s">
        <v>625</v>
      </c>
      <c r="D485" s="12" t="s">
        <v>58</v>
      </c>
      <c r="E485" s="10" t="s">
        <v>569</v>
      </c>
      <c r="F485" s="40">
        <v>291.22000000000003</v>
      </c>
      <c r="G485" s="15"/>
      <c r="I485" s="14">
        <f t="shared" si="7"/>
        <v>291.22000000000003</v>
      </c>
      <c r="J485" s="14">
        <f>Tabla13[[#This Row],[Precio final en USD]]*$P$4</f>
        <v>465.95200000000006</v>
      </c>
    </row>
    <row r="486" spans="1:10" x14ac:dyDescent="0.2">
      <c r="A486" s="12">
        <v>10887</v>
      </c>
      <c r="B486" s="11" t="s">
        <v>52</v>
      </c>
      <c r="C486" t="s">
        <v>623</v>
      </c>
      <c r="D486" s="12" t="s">
        <v>58</v>
      </c>
      <c r="E486" s="10" t="s">
        <v>569</v>
      </c>
      <c r="F486" s="14">
        <v>22.11</v>
      </c>
      <c r="G486" s="15"/>
      <c r="I486" s="14">
        <f t="shared" si="7"/>
        <v>22.11</v>
      </c>
      <c r="J486" s="14">
        <f>Tabla13[[#This Row],[Precio final en USD]]*$P$4</f>
        <v>35.375999999999998</v>
      </c>
    </row>
    <row r="487" spans="1:10" x14ac:dyDescent="0.2">
      <c r="A487" s="12">
        <v>10908</v>
      </c>
      <c r="B487" s="11" t="s">
        <v>52</v>
      </c>
      <c r="C487" t="s">
        <v>635</v>
      </c>
      <c r="D487" s="12" t="s">
        <v>58</v>
      </c>
      <c r="E487" s="10" t="s">
        <v>569</v>
      </c>
      <c r="F487" s="14">
        <v>123.6</v>
      </c>
      <c r="G487" s="15"/>
      <c r="I487" s="14">
        <f t="shared" si="7"/>
        <v>123.6</v>
      </c>
      <c r="J487" s="14">
        <f>Tabla13[[#This Row],[Precio final en USD]]*$P$4</f>
        <v>197.76</v>
      </c>
    </row>
    <row r="488" spans="1:10" x14ac:dyDescent="0.2">
      <c r="A488" s="12"/>
      <c r="B488" s="11" t="s">
        <v>52</v>
      </c>
      <c r="C488" s="13"/>
      <c r="D488" s="12" t="s">
        <v>58</v>
      </c>
      <c r="F488" s="14"/>
      <c r="G488" s="15"/>
      <c r="I488" s="14" t="str">
        <f t="shared" si="7"/>
        <v/>
      </c>
      <c r="J488" s="14" t="e">
        <f>Tabla13[[#This Row],[Precio final en USD]]*$P$4</f>
        <v>#VALUE!</v>
      </c>
    </row>
    <row r="489" spans="1:10" x14ac:dyDescent="0.2">
      <c r="A489" s="12"/>
      <c r="B489" s="11" t="s">
        <v>52</v>
      </c>
      <c r="C489" s="13"/>
      <c r="D489" s="12" t="s">
        <v>58</v>
      </c>
      <c r="F489" s="14"/>
      <c r="G489" s="15"/>
      <c r="I489" s="14" t="str">
        <f t="shared" si="7"/>
        <v/>
      </c>
      <c r="J489" s="14" t="e">
        <f>Tabla13[[#This Row],[Precio final en USD]]*$P$4</f>
        <v>#VALUE!</v>
      </c>
    </row>
    <row r="490" spans="1:10" x14ac:dyDescent="0.2">
      <c r="A490" s="12"/>
      <c r="B490" s="11" t="s">
        <v>52</v>
      </c>
      <c r="C490" s="13"/>
      <c r="D490" s="12" t="s">
        <v>58</v>
      </c>
      <c r="F490" s="14"/>
      <c r="G490" s="15"/>
      <c r="I490" s="14" t="str">
        <f t="shared" si="7"/>
        <v/>
      </c>
      <c r="J490" s="14" t="e">
        <f>Tabla13[[#This Row],[Precio final en USD]]*$P$4</f>
        <v>#VALUE!</v>
      </c>
    </row>
    <row r="491" spans="1:10" x14ac:dyDescent="0.2">
      <c r="A491" s="12"/>
      <c r="B491" s="11" t="s">
        <v>52</v>
      </c>
      <c r="C491" s="13"/>
      <c r="D491" s="12" t="s">
        <v>58</v>
      </c>
      <c r="F491" s="14"/>
      <c r="G491" s="15"/>
      <c r="I491" s="14" t="str">
        <f t="shared" si="7"/>
        <v/>
      </c>
      <c r="J491" s="14" t="e">
        <f>Tabla13[[#This Row],[Precio final en USD]]*$P$4</f>
        <v>#VALUE!</v>
      </c>
    </row>
    <row r="492" spans="1:10" x14ac:dyDescent="0.2">
      <c r="A492" s="12"/>
      <c r="B492" s="11" t="s">
        <v>52</v>
      </c>
      <c r="C492" s="13"/>
      <c r="D492" s="12" t="s">
        <v>58</v>
      </c>
      <c r="F492" s="14"/>
      <c r="G492" s="15"/>
      <c r="I492" s="14" t="str">
        <f t="shared" si="7"/>
        <v/>
      </c>
      <c r="J492" s="14" t="e">
        <f>Tabla13[[#This Row],[Precio final en USD]]*$P$4</f>
        <v>#VALUE!</v>
      </c>
    </row>
    <row r="493" spans="1:10" x14ac:dyDescent="0.2">
      <c r="A493" s="12"/>
      <c r="B493" s="11" t="s">
        <v>52</v>
      </c>
      <c r="C493" s="13"/>
      <c r="D493" s="12" t="s">
        <v>58</v>
      </c>
      <c r="F493" s="14"/>
      <c r="G493" s="15"/>
      <c r="I493" s="14" t="str">
        <f t="shared" si="7"/>
        <v/>
      </c>
      <c r="J493" s="14" t="e">
        <f>Tabla13[[#This Row],[Precio final en USD]]*$P$4</f>
        <v>#VALUE!</v>
      </c>
    </row>
    <row r="494" spans="1:10" x14ac:dyDescent="0.2">
      <c r="A494" s="12"/>
      <c r="B494" s="11" t="s">
        <v>52</v>
      </c>
      <c r="C494" s="13"/>
      <c r="D494" s="12" t="s">
        <v>58</v>
      </c>
      <c r="F494" s="14"/>
      <c r="G494" s="15"/>
      <c r="I494" s="14" t="str">
        <f t="shared" si="7"/>
        <v/>
      </c>
      <c r="J494" s="14" t="e">
        <f>Tabla13[[#This Row],[Precio final en USD]]*$P$4</f>
        <v>#VALUE!</v>
      </c>
    </row>
    <row r="495" spans="1:10" x14ac:dyDescent="0.2">
      <c r="A495" s="12"/>
      <c r="B495" s="11" t="s">
        <v>52</v>
      </c>
      <c r="C495" s="13"/>
      <c r="D495" s="12" t="s">
        <v>58</v>
      </c>
      <c r="F495" s="14"/>
      <c r="G495" s="15"/>
      <c r="I495" s="14" t="str">
        <f t="shared" si="7"/>
        <v/>
      </c>
      <c r="J495" s="14" t="e">
        <f>Tabla13[[#This Row],[Precio final en USD]]*$P$4</f>
        <v>#VALUE!</v>
      </c>
    </row>
    <row r="496" spans="1:10" x14ac:dyDescent="0.2">
      <c r="A496" s="12"/>
      <c r="B496" s="11" t="s">
        <v>52</v>
      </c>
      <c r="C496" s="13"/>
      <c r="D496" s="12" t="s">
        <v>58</v>
      </c>
      <c r="F496" s="14"/>
      <c r="G496" s="15"/>
      <c r="I496" s="14" t="str">
        <f t="shared" si="7"/>
        <v/>
      </c>
      <c r="J496" s="14" t="e">
        <f>Tabla13[[#This Row],[Precio final en USD]]*$P$4</f>
        <v>#VALUE!</v>
      </c>
    </row>
    <row r="497" spans="1:10" x14ac:dyDescent="0.2">
      <c r="A497" s="12"/>
      <c r="B497" s="11" t="s">
        <v>52</v>
      </c>
      <c r="C497" s="13"/>
      <c r="D497" s="12" t="s">
        <v>58</v>
      </c>
      <c r="F497" s="14"/>
      <c r="G497" s="15"/>
      <c r="I497" s="14" t="str">
        <f t="shared" si="7"/>
        <v/>
      </c>
      <c r="J497" s="14" t="e">
        <f>Tabla13[[#This Row],[Precio final en USD]]*$P$4</f>
        <v>#VALUE!</v>
      </c>
    </row>
    <row r="498" spans="1:10" x14ac:dyDescent="0.2">
      <c r="A498" s="12"/>
      <c r="B498" s="11" t="s">
        <v>52</v>
      </c>
      <c r="C498" s="13"/>
      <c r="D498" s="12" t="s">
        <v>58</v>
      </c>
      <c r="F498" s="14"/>
      <c r="G498" s="15"/>
      <c r="I498" s="14" t="str">
        <f t="shared" si="7"/>
        <v/>
      </c>
      <c r="J498" s="14" t="e">
        <f>Tabla13[[#This Row],[Precio final en USD]]*$P$4</f>
        <v>#VALUE!</v>
      </c>
    </row>
    <row r="499" spans="1:10" x14ac:dyDescent="0.2">
      <c r="A499" s="12"/>
      <c r="B499" s="11" t="s">
        <v>52</v>
      </c>
      <c r="C499" s="13"/>
      <c r="D499" s="12" t="s">
        <v>58</v>
      </c>
      <c r="F499" s="14"/>
      <c r="G499" s="15"/>
      <c r="I499" s="14" t="str">
        <f t="shared" si="7"/>
        <v/>
      </c>
      <c r="J499" s="14" t="e">
        <f>Tabla13[[#This Row],[Precio final en USD]]*$P$4</f>
        <v>#VALUE!</v>
      </c>
    </row>
    <row r="500" spans="1:10" x14ac:dyDescent="0.2">
      <c r="A500" s="12"/>
      <c r="B500" s="11" t="s">
        <v>52</v>
      </c>
      <c r="C500" s="13"/>
      <c r="D500" s="12" t="s">
        <v>58</v>
      </c>
      <c r="F500" s="14"/>
      <c r="G500" s="15"/>
      <c r="I500" s="14" t="str">
        <f t="shared" si="7"/>
        <v/>
      </c>
      <c r="J500" s="14" t="e">
        <f>Tabla13[[#This Row],[Precio final en USD]]*$P$4</f>
        <v>#VALUE!</v>
      </c>
    </row>
    <row r="501" spans="1:10" x14ac:dyDescent="0.2">
      <c r="A501" s="12"/>
      <c r="B501" s="11" t="s">
        <v>52</v>
      </c>
      <c r="C501" s="13"/>
      <c r="D501" s="12" t="s">
        <v>58</v>
      </c>
      <c r="F501" s="14"/>
      <c r="G501" s="15"/>
      <c r="I501" s="14" t="str">
        <f t="shared" si="7"/>
        <v/>
      </c>
      <c r="J501" s="14" t="e">
        <f>Tabla13[[#This Row],[Precio final en USD]]*$P$4</f>
        <v>#VALUE!</v>
      </c>
    </row>
    <row r="502" spans="1:10" x14ac:dyDescent="0.2">
      <c r="A502" s="12"/>
      <c r="B502" s="11" t="s">
        <v>52</v>
      </c>
      <c r="C502" s="13"/>
      <c r="D502" s="12" t="s">
        <v>58</v>
      </c>
      <c r="F502" s="14"/>
      <c r="G502" s="15"/>
      <c r="I502" s="14" t="str">
        <f t="shared" si="7"/>
        <v/>
      </c>
      <c r="J502" s="14" t="e">
        <f>Tabla13[[#This Row],[Precio final en USD]]*$P$4</f>
        <v>#VALUE!</v>
      </c>
    </row>
    <row r="503" spans="1:10" x14ac:dyDescent="0.2">
      <c r="A503" s="12"/>
      <c r="B503" s="11" t="s">
        <v>52</v>
      </c>
      <c r="C503" s="13"/>
      <c r="D503" s="12" t="s">
        <v>58</v>
      </c>
      <c r="F503" s="14"/>
      <c r="G503" s="15"/>
      <c r="I503" s="14" t="str">
        <f t="shared" si="7"/>
        <v/>
      </c>
      <c r="J503" s="14" t="e">
        <f>Tabla13[[#This Row],[Precio final en USD]]*$P$4</f>
        <v>#VALUE!</v>
      </c>
    </row>
    <row r="504" spans="1:10" x14ac:dyDescent="0.2">
      <c r="A504" s="12"/>
      <c r="B504" s="11" t="s">
        <v>52</v>
      </c>
      <c r="C504" s="13"/>
      <c r="D504" s="12" t="s">
        <v>58</v>
      </c>
      <c r="F504" s="14"/>
      <c r="G504" s="15"/>
      <c r="I504" s="14" t="str">
        <f t="shared" si="7"/>
        <v/>
      </c>
      <c r="J504" s="14" t="e">
        <f>Tabla13[[#This Row],[Precio final en USD]]*$P$4</f>
        <v>#VALUE!</v>
      </c>
    </row>
    <row r="505" spans="1:10" x14ac:dyDescent="0.2">
      <c r="A505" s="12"/>
      <c r="B505" s="11" t="s">
        <v>52</v>
      </c>
      <c r="C505" s="13"/>
      <c r="D505" s="12" t="s">
        <v>58</v>
      </c>
      <c r="F505" s="14"/>
      <c r="G505" s="15"/>
      <c r="I505" s="14" t="str">
        <f t="shared" si="7"/>
        <v/>
      </c>
      <c r="J505" s="14" t="e">
        <f>Tabla13[[#This Row],[Precio final en USD]]*$P$4</f>
        <v>#VALUE!</v>
      </c>
    </row>
    <row r="506" spans="1:10" x14ac:dyDescent="0.2">
      <c r="A506" s="12"/>
      <c r="B506" s="11" t="s">
        <v>52</v>
      </c>
      <c r="C506" s="13"/>
      <c r="D506" s="12" t="s">
        <v>58</v>
      </c>
      <c r="F506" s="14"/>
      <c r="G506" s="15"/>
      <c r="I506" s="14" t="str">
        <f t="shared" si="7"/>
        <v/>
      </c>
      <c r="J506" s="14" t="e">
        <f>Tabla13[[#This Row],[Precio final en USD]]*$P$4</f>
        <v>#VALUE!</v>
      </c>
    </row>
    <row r="507" spans="1:10" x14ac:dyDescent="0.2">
      <c r="A507" s="12"/>
      <c r="B507" s="11" t="s">
        <v>52</v>
      </c>
      <c r="C507" s="13"/>
      <c r="D507" s="12" t="s">
        <v>58</v>
      </c>
      <c r="F507" s="14"/>
      <c r="G507" s="15"/>
      <c r="I507" s="14" t="str">
        <f t="shared" si="7"/>
        <v/>
      </c>
      <c r="J507" s="14" t="e">
        <f>Tabla13[[#This Row],[Precio final en USD]]*$P$4</f>
        <v>#VALUE!</v>
      </c>
    </row>
    <row r="508" spans="1:10" x14ac:dyDescent="0.2">
      <c r="A508" s="12"/>
      <c r="B508" s="11" t="s">
        <v>52</v>
      </c>
      <c r="C508" s="13"/>
      <c r="D508" s="12" t="s">
        <v>58</v>
      </c>
      <c r="F508" s="14"/>
      <c r="G508" s="15"/>
      <c r="I508" s="14" t="str">
        <f t="shared" si="7"/>
        <v/>
      </c>
      <c r="J508" s="14" t="e">
        <f>Tabla13[[#This Row],[Precio final en USD]]*$P$4</f>
        <v>#VALUE!</v>
      </c>
    </row>
    <row r="509" spans="1:10" x14ac:dyDescent="0.2">
      <c r="A509" s="12"/>
      <c r="B509" s="11" t="s">
        <v>52</v>
      </c>
      <c r="C509" s="13"/>
      <c r="D509" s="12" t="s">
        <v>58</v>
      </c>
      <c r="F509" s="14"/>
      <c r="G509" s="15"/>
      <c r="I509" s="14" t="str">
        <f t="shared" si="7"/>
        <v/>
      </c>
      <c r="J509" s="14" t="e">
        <f>Tabla13[[#This Row],[Precio final en USD]]*$P$4</f>
        <v>#VALUE!</v>
      </c>
    </row>
    <row r="510" spans="1:10" x14ac:dyDescent="0.2">
      <c r="A510" s="12"/>
      <c r="B510" s="11" t="s">
        <v>52</v>
      </c>
      <c r="C510" s="13"/>
      <c r="D510" s="12" t="s">
        <v>58</v>
      </c>
      <c r="F510" s="14"/>
      <c r="G510" s="15"/>
      <c r="I510" s="14" t="str">
        <f t="shared" si="7"/>
        <v/>
      </c>
      <c r="J510" s="14" t="e">
        <f>Tabla13[[#This Row],[Precio final en USD]]*$P$4</f>
        <v>#VALUE!</v>
      </c>
    </row>
    <row r="511" spans="1:10" x14ac:dyDescent="0.2">
      <c r="A511" s="12"/>
      <c r="B511" s="11" t="s">
        <v>52</v>
      </c>
      <c r="C511" s="13"/>
      <c r="D511" s="12" t="s">
        <v>58</v>
      </c>
      <c r="F511" s="14"/>
      <c r="G511" s="15"/>
      <c r="I511" s="14" t="str">
        <f t="shared" si="7"/>
        <v/>
      </c>
      <c r="J511" s="14" t="e">
        <f>Tabla13[[#This Row],[Precio final en USD]]*$P$4</f>
        <v>#VALUE!</v>
      </c>
    </row>
    <row r="512" spans="1:10" x14ac:dyDescent="0.2">
      <c r="A512" s="12"/>
      <c r="B512" s="11" t="s">
        <v>52</v>
      </c>
      <c r="C512" s="13"/>
      <c r="D512" s="12" t="s">
        <v>58</v>
      </c>
      <c r="F512" s="14"/>
      <c r="G512" s="15"/>
      <c r="I512" s="14" t="str">
        <f t="shared" si="7"/>
        <v/>
      </c>
      <c r="J512" s="14" t="e">
        <f>Tabla13[[#This Row],[Precio final en USD]]*$P$4</f>
        <v>#VALUE!</v>
      </c>
    </row>
    <row r="513" spans="1:10" x14ac:dyDescent="0.2">
      <c r="A513" s="12"/>
      <c r="B513" s="11" t="s">
        <v>52</v>
      </c>
      <c r="C513" s="13"/>
      <c r="D513" s="12" t="s">
        <v>58</v>
      </c>
      <c r="F513" s="14"/>
      <c r="G513" s="15"/>
      <c r="I513" s="14" t="str">
        <f t="shared" si="7"/>
        <v/>
      </c>
      <c r="J513" s="14" t="e">
        <f>Tabla13[[#This Row],[Precio final en USD]]*$P$4</f>
        <v>#VALUE!</v>
      </c>
    </row>
    <row r="514" spans="1:10" x14ac:dyDescent="0.2">
      <c r="A514" s="12"/>
      <c r="B514" s="11" t="s">
        <v>52</v>
      </c>
      <c r="C514" s="13"/>
      <c r="D514" s="12" t="s">
        <v>58</v>
      </c>
      <c r="F514" s="14"/>
      <c r="G514" s="15"/>
      <c r="I514" s="14" t="str">
        <f t="shared" ref="I514:I556" si="8">IF(AND(F514="",G514="",H514=""),"",IF(F514&lt;&gt;"",F514,IF(G514&lt;&gt;"",G514/$O$1,IF(H514&lt;&gt;"",H514*$O$2,"ver"))))</f>
        <v/>
      </c>
      <c r="J514" s="14" t="e">
        <f>Tabla13[[#This Row],[Precio final en USD]]*$P$4</f>
        <v>#VALUE!</v>
      </c>
    </row>
    <row r="515" spans="1:10" x14ac:dyDescent="0.2">
      <c r="A515" s="12"/>
      <c r="B515" s="11" t="s">
        <v>52</v>
      </c>
      <c r="C515" s="13"/>
      <c r="D515" s="12" t="s">
        <v>58</v>
      </c>
      <c r="F515" s="14"/>
      <c r="G515" s="15"/>
      <c r="I515" s="14" t="str">
        <f t="shared" si="8"/>
        <v/>
      </c>
      <c r="J515" s="14" t="e">
        <f>Tabla13[[#This Row],[Precio final en USD]]*$P$4</f>
        <v>#VALUE!</v>
      </c>
    </row>
    <row r="516" spans="1:10" x14ac:dyDescent="0.2">
      <c r="A516" s="12"/>
      <c r="B516" s="11" t="s">
        <v>52</v>
      </c>
      <c r="C516" s="13"/>
      <c r="D516" s="12" t="s">
        <v>58</v>
      </c>
      <c r="F516" s="14"/>
      <c r="G516" s="15"/>
      <c r="I516" s="14" t="str">
        <f t="shared" si="8"/>
        <v/>
      </c>
      <c r="J516" s="14" t="e">
        <f>Tabla13[[#This Row],[Precio final en USD]]*$P$4</f>
        <v>#VALUE!</v>
      </c>
    </row>
    <row r="517" spans="1:10" x14ac:dyDescent="0.2">
      <c r="A517" s="12"/>
      <c r="B517" s="11" t="s">
        <v>52</v>
      </c>
      <c r="C517" s="13"/>
      <c r="D517" s="12" t="s">
        <v>58</v>
      </c>
      <c r="F517" s="14"/>
      <c r="G517" s="15"/>
      <c r="I517" s="14" t="str">
        <f t="shared" si="8"/>
        <v/>
      </c>
      <c r="J517" s="14" t="e">
        <f>Tabla13[[#This Row],[Precio final en USD]]*$P$4</f>
        <v>#VALUE!</v>
      </c>
    </row>
    <row r="518" spans="1:10" x14ac:dyDescent="0.2">
      <c r="A518" s="12"/>
      <c r="B518" s="11" t="s">
        <v>52</v>
      </c>
      <c r="C518" s="13"/>
      <c r="D518" s="12" t="s">
        <v>58</v>
      </c>
      <c r="F518" s="14"/>
      <c r="G518" s="15"/>
      <c r="I518" s="14" t="str">
        <f t="shared" si="8"/>
        <v/>
      </c>
      <c r="J518" s="14" t="e">
        <f>Tabla13[[#This Row],[Precio final en USD]]*$P$4</f>
        <v>#VALUE!</v>
      </c>
    </row>
    <row r="519" spans="1:10" x14ac:dyDescent="0.2">
      <c r="A519" s="12"/>
      <c r="B519" s="11" t="s">
        <v>52</v>
      </c>
      <c r="C519" s="13"/>
      <c r="D519" s="12" t="s">
        <v>58</v>
      </c>
      <c r="F519" s="14"/>
      <c r="G519" s="15"/>
      <c r="I519" s="14" t="str">
        <f t="shared" si="8"/>
        <v/>
      </c>
      <c r="J519" s="14" t="e">
        <f>Tabla13[[#This Row],[Precio final en USD]]*$P$4</f>
        <v>#VALUE!</v>
      </c>
    </row>
    <row r="520" spans="1:10" x14ac:dyDescent="0.2">
      <c r="A520" s="12"/>
      <c r="B520" s="11" t="s">
        <v>52</v>
      </c>
      <c r="C520" s="13"/>
      <c r="D520" s="12" t="s">
        <v>58</v>
      </c>
      <c r="F520" s="14"/>
      <c r="G520" s="15"/>
      <c r="I520" s="14" t="str">
        <f t="shared" si="8"/>
        <v/>
      </c>
      <c r="J520" s="14" t="e">
        <f>Tabla13[[#This Row],[Precio final en USD]]*$P$4</f>
        <v>#VALUE!</v>
      </c>
    </row>
    <row r="521" spans="1:10" x14ac:dyDescent="0.2">
      <c r="A521" s="12"/>
      <c r="B521" s="11" t="s">
        <v>52</v>
      </c>
      <c r="C521" s="13"/>
      <c r="D521" s="12" t="s">
        <v>58</v>
      </c>
      <c r="F521" s="14"/>
      <c r="G521" s="15"/>
      <c r="I521" s="14" t="str">
        <f t="shared" si="8"/>
        <v/>
      </c>
      <c r="J521" s="14" t="e">
        <f>Tabla13[[#This Row],[Precio final en USD]]*$P$4</f>
        <v>#VALUE!</v>
      </c>
    </row>
    <row r="522" spans="1:10" x14ac:dyDescent="0.2">
      <c r="A522" s="12"/>
      <c r="B522" s="11" t="s">
        <v>52</v>
      </c>
      <c r="C522" s="13"/>
      <c r="D522" s="12" t="s">
        <v>58</v>
      </c>
      <c r="F522" s="14"/>
      <c r="G522" s="15"/>
      <c r="I522" s="14" t="str">
        <f t="shared" si="8"/>
        <v/>
      </c>
      <c r="J522" s="14" t="e">
        <f>Tabla13[[#This Row],[Precio final en USD]]*$P$4</f>
        <v>#VALUE!</v>
      </c>
    </row>
    <row r="523" spans="1:10" x14ac:dyDescent="0.2">
      <c r="A523" s="12"/>
      <c r="B523" s="11" t="s">
        <v>52</v>
      </c>
      <c r="C523" s="13"/>
      <c r="D523" s="12" t="s">
        <v>58</v>
      </c>
      <c r="F523" s="14"/>
      <c r="G523" s="15"/>
      <c r="I523" s="14" t="str">
        <f t="shared" si="8"/>
        <v/>
      </c>
      <c r="J523" s="14" t="e">
        <f>Tabla13[[#This Row],[Precio final en USD]]*$P$4</f>
        <v>#VALUE!</v>
      </c>
    </row>
    <row r="524" spans="1:10" x14ac:dyDescent="0.2">
      <c r="A524" s="12"/>
      <c r="B524" s="11" t="s">
        <v>52</v>
      </c>
      <c r="C524" s="13"/>
      <c r="D524" s="12" t="s">
        <v>58</v>
      </c>
      <c r="F524" s="14"/>
      <c r="G524" s="15"/>
      <c r="I524" s="14" t="str">
        <f t="shared" si="8"/>
        <v/>
      </c>
      <c r="J524" s="14" t="e">
        <f>Tabla13[[#This Row],[Precio final en USD]]*$P$4</f>
        <v>#VALUE!</v>
      </c>
    </row>
    <row r="525" spans="1:10" x14ac:dyDescent="0.2">
      <c r="A525" s="12"/>
      <c r="B525" s="11" t="s">
        <v>52</v>
      </c>
      <c r="C525" s="13"/>
      <c r="D525" s="12" t="s">
        <v>58</v>
      </c>
      <c r="F525" s="14"/>
      <c r="G525" s="15"/>
      <c r="I525" s="14" t="str">
        <f t="shared" si="8"/>
        <v/>
      </c>
      <c r="J525" s="14" t="e">
        <f>Tabla13[[#This Row],[Precio final en USD]]*$P$4</f>
        <v>#VALUE!</v>
      </c>
    </row>
    <row r="526" spans="1:10" x14ac:dyDescent="0.2">
      <c r="A526" s="12"/>
      <c r="B526" s="11" t="s">
        <v>52</v>
      </c>
      <c r="C526" s="13"/>
      <c r="D526" s="12" t="s">
        <v>58</v>
      </c>
      <c r="F526" s="14"/>
      <c r="G526" s="15"/>
      <c r="I526" s="14" t="str">
        <f t="shared" si="8"/>
        <v/>
      </c>
      <c r="J526" s="14" t="e">
        <f>Tabla13[[#This Row],[Precio final en USD]]*$P$4</f>
        <v>#VALUE!</v>
      </c>
    </row>
    <row r="527" spans="1:10" x14ac:dyDescent="0.2">
      <c r="A527" s="12"/>
      <c r="B527" s="11" t="s">
        <v>52</v>
      </c>
      <c r="C527" s="13"/>
      <c r="D527" s="12" t="s">
        <v>58</v>
      </c>
      <c r="F527" s="14"/>
      <c r="G527" s="15"/>
      <c r="I527" s="14" t="str">
        <f t="shared" si="8"/>
        <v/>
      </c>
      <c r="J527" s="14" t="e">
        <f>Tabla13[[#This Row],[Precio final en USD]]*$P$4</f>
        <v>#VALUE!</v>
      </c>
    </row>
    <row r="528" spans="1:10" x14ac:dyDescent="0.2">
      <c r="A528" s="12"/>
      <c r="B528" s="11" t="s">
        <v>52</v>
      </c>
      <c r="C528" s="13"/>
      <c r="D528" s="12" t="s">
        <v>58</v>
      </c>
      <c r="F528" s="14"/>
      <c r="G528" s="15"/>
      <c r="I528" s="14" t="str">
        <f t="shared" si="8"/>
        <v/>
      </c>
      <c r="J528" s="14" t="e">
        <f>Tabla13[[#This Row],[Precio final en USD]]*$P$4</f>
        <v>#VALUE!</v>
      </c>
    </row>
    <row r="529" spans="1:10" x14ac:dyDescent="0.2">
      <c r="A529" s="12"/>
      <c r="B529" s="11" t="s">
        <v>52</v>
      </c>
      <c r="C529" s="13"/>
      <c r="D529" s="12" t="s">
        <v>58</v>
      </c>
      <c r="F529" s="14"/>
      <c r="G529" s="15"/>
      <c r="I529" s="14" t="str">
        <f t="shared" si="8"/>
        <v/>
      </c>
      <c r="J529" s="14" t="e">
        <f>Tabla13[[#This Row],[Precio final en USD]]*$P$4</f>
        <v>#VALUE!</v>
      </c>
    </row>
    <row r="530" spans="1:10" x14ac:dyDescent="0.2">
      <c r="A530" s="12"/>
      <c r="B530" s="11" t="s">
        <v>52</v>
      </c>
      <c r="C530" s="13"/>
      <c r="D530" s="12" t="s">
        <v>58</v>
      </c>
      <c r="F530" s="14"/>
      <c r="G530" s="15"/>
      <c r="I530" s="14" t="str">
        <f t="shared" si="8"/>
        <v/>
      </c>
      <c r="J530" s="14" t="e">
        <f>Tabla13[[#This Row],[Precio final en USD]]*$P$4</f>
        <v>#VALUE!</v>
      </c>
    </row>
    <row r="531" spans="1:10" x14ac:dyDescent="0.2">
      <c r="A531" s="12"/>
      <c r="B531" s="11" t="s">
        <v>52</v>
      </c>
      <c r="C531" s="13"/>
      <c r="D531" s="12" t="s">
        <v>58</v>
      </c>
      <c r="F531" s="14"/>
      <c r="G531" s="15"/>
      <c r="I531" s="14" t="str">
        <f t="shared" si="8"/>
        <v/>
      </c>
      <c r="J531" s="14" t="e">
        <f>Tabla13[[#This Row],[Precio final en USD]]*$P$4</f>
        <v>#VALUE!</v>
      </c>
    </row>
    <row r="532" spans="1:10" x14ac:dyDescent="0.2">
      <c r="A532" s="12"/>
      <c r="B532" s="11" t="s">
        <v>52</v>
      </c>
      <c r="C532" s="13"/>
      <c r="D532" s="12" t="s">
        <v>58</v>
      </c>
      <c r="F532" s="14"/>
      <c r="G532" s="15"/>
      <c r="I532" s="14" t="str">
        <f t="shared" si="8"/>
        <v/>
      </c>
      <c r="J532" s="14" t="e">
        <f>Tabla13[[#This Row],[Precio final en USD]]*$P$4</f>
        <v>#VALUE!</v>
      </c>
    </row>
    <row r="533" spans="1:10" x14ac:dyDescent="0.2">
      <c r="A533" s="12"/>
      <c r="B533" s="11" t="s">
        <v>52</v>
      </c>
      <c r="C533" s="13"/>
      <c r="D533" s="12" t="s">
        <v>58</v>
      </c>
      <c r="F533" s="14"/>
      <c r="G533" s="15"/>
      <c r="I533" s="14" t="str">
        <f t="shared" si="8"/>
        <v/>
      </c>
      <c r="J533" s="14" t="e">
        <f>Tabla13[[#This Row],[Precio final en USD]]*$P$4</f>
        <v>#VALUE!</v>
      </c>
    </row>
    <row r="534" spans="1:10" x14ac:dyDescent="0.2">
      <c r="A534" s="12"/>
      <c r="B534" s="11" t="s">
        <v>52</v>
      </c>
      <c r="C534" s="13"/>
      <c r="D534" s="12" t="s">
        <v>58</v>
      </c>
      <c r="F534" s="14"/>
      <c r="G534" s="15"/>
      <c r="I534" s="14" t="str">
        <f t="shared" si="8"/>
        <v/>
      </c>
      <c r="J534" s="14" t="e">
        <f>Tabla13[[#This Row],[Precio final en USD]]*$P$4</f>
        <v>#VALUE!</v>
      </c>
    </row>
    <row r="535" spans="1:10" x14ac:dyDescent="0.2">
      <c r="A535" s="12"/>
      <c r="B535" s="11" t="s">
        <v>52</v>
      </c>
      <c r="C535" s="13"/>
      <c r="D535" s="12" t="s">
        <v>58</v>
      </c>
      <c r="F535" s="14"/>
      <c r="G535" s="15"/>
      <c r="I535" s="14" t="str">
        <f t="shared" si="8"/>
        <v/>
      </c>
      <c r="J535" s="14" t="e">
        <f>Tabla13[[#This Row],[Precio final en USD]]*$P$4</f>
        <v>#VALUE!</v>
      </c>
    </row>
    <row r="536" spans="1:10" x14ac:dyDescent="0.2">
      <c r="A536" s="12"/>
      <c r="B536" s="11" t="s">
        <v>52</v>
      </c>
      <c r="C536" s="13"/>
      <c r="D536" s="12" t="s">
        <v>58</v>
      </c>
      <c r="F536" s="14"/>
      <c r="G536" s="15"/>
      <c r="I536" s="14" t="str">
        <f t="shared" si="8"/>
        <v/>
      </c>
      <c r="J536" s="14" t="e">
        <f>Tabla13[[#This Row],[Precio final en USD]]*$P$4</f>
        <v>#VALUE!</v>
      </c>
    </row>
    <row r="537" spans="1:10" x14ac:dyDescent="0.2">
      <c r="A537" s="12"/>
      <c r="B537" s="11" t="s">
        <v>52</v>
      </c>
      <c r="C537" s="13"/>
      <c r="D537" s="12" t="s">
        <v>58</v>
      </c>
      <c r="F537" s="14"/>
      <c r="G537" s="15"/>
      <c r="I537" s="14" t="str">
        <f t="shared" si="8"/>
        <v/>
      </c>
      <c r="J537" s="14" t="e">
        <f>Tabla13[[#This Row],[Precio final en USD]]*$P$4</f>
        <v>#VALUE!</v>
      </c>
    </row>
    <row r="538" spans="1:10" x14ac:dyDescent="0.2">
      <c r="A538" s="12"/>
      <c r="B538" s="11" t="s">
        <v>52</v>
      </c>
      <c r="C538" s="13"/>
      <c r="D538" s="12" t="s">
        <v>58</v>
      </c>
      <c r="F538" s="14"/>
      <c r="G538" s="15"/>
      <c r="I538" s="14" t="str">
        <f t="shared" si="8"/>
        <v/>
      </c>
      <c r="J538" s="14" t="e">
        <f>Tabla13[[#This Row],[Precio final en USD]]*$P$4</f>
        <v>#VALUE!</v>
      </c>
    </row>
    <row r="539" spans="1:10" x14ac:dyDescent="0.2">
      <c r="A539" s="12"/>
      <c r="B539" s="11" t="s">
        <v>52</v>
      </c>
      <c r="C539" s="13"/>
      <c r="D539" s="12" t="s">
        <v>58</v>
      </c>
      <c r="F539" s="14"/>
      <c r="G539" s="15"/>
      <c r="I539" s="14" t="str">
        <f t="shared" si="8"/>
        <v/>
      </c>
      <c r="J539" s="14" t="e">
        <f>Tabla13[[#This Row],[Precio final en USD]]*$P$4</f>
        <v>#VALUE!</v>
      </c>
    </row>
    <row r="540" spans="1:10" x14ac:dyDescent="0.2">
      <c r="A540" s="12"/>
      <c r="B540" s="11" t="s">
        <v>52</v>
      </c>
      <c r="C540" s="13"/>
      <c r="D540" s="12" t="s">
        <v>58</v>
      </c>
      <c r="F540" s="14"/>
      <c r="G540" s="15"/>
      <c r="I540" s="14" t="str">
        <f t="shared" si="8"/>
        <v/>
      </c>
      <c r="J540" s="14" t="e">
        <f>Tabla13[[#This Row],[Precio final en USD]]*$P$4</f>
        <v>#VALUE!</v>
      </c>
    </row>
    <row r="541" spans="1:10" x14ac:dyDescent="0.2">
      <c r="A541" s="12"/>
      <c r="B541" s="11" t="s">
        <v>52</v>
      </c>
      <c r="C541" s="13"/>
      <c r="D541" s="12" t="s">
        <v>58</v>
      </c>
      <c r="F541" s="14"/>
      <c r="G541" s="15"/>
      <c r="I541" s="14" t="str">
        <f t="shared" si="8"/>
        <v/>
      </c>
      <c r="J541" s="14" t="e">
        <f>Tabla13[[#This Row],[Precio final en USD]]*$P$4</f>
        <v>#VALUE!</v>
      </c>
    </row>
    <row r="542" spans="1:10" x14ac:dyDescent="0.2">
      <c r="A542" s="12"/>
      <c r="B542" s="11" t="s">
        <v>52</v>
      </c>
      <c r="C542" s="13"/>
      <c r="D542" s="12" t="s">
        <v>58</v>
      </c>
      <c r="F542" s="14"/>
      <c r="G542" s="15"/>
      <c r="I542" s="14" t="str">
        <f t="shared" si="8"/>
        <v/>
      </c>
      <c r="J542" s="14" t="e">
        <f>Tabla13[[#This Row],[Precio final en USD]]*$P$4</f>
        <v>#VALUE!</v>
      </c>
    </row>
    <row r="543" spans="1:10" x14ac:dyDescent="0.2">
      <c r="A543" s="12"/>
      <c r="B543" s="11" t="s">
        <v>52</v>
      </c>
      <c r="C543" s="13"/>
      <c r="D543" s="12" t="s">
        <v>58</v>
      </c>
      <c r="F543" s="14"/>
      <c r="G543" s="15"/>
      <c r="I543" s="14" t="str">
        <f t="shared" si="8"/>
        <v/>
      </c>
      <c r="J543" s="14" t="e">
        <f>Tabla13[[#This Row],[Precio final en USD]]*$P$4</f>
        <v>#VALUE!</v>
      </c>
    </row>
    <row r="544" spans="1:10" x14ac:dyDescent="0.2">
      <c r="A544" s="12"/>
      <c r="B544" s="11" t="s">
        <v>52</v>
      </c>
      <c r="C544" s="13"/>
      <c r="D544" s="12" t="s">
        <v>58</v>
      </c>
      <c r="F544" s="14"/>
      <c r="G544" s="15"/>
      <c r="I544" s="14" t="str">
        <f t="shared" si="8"/>
        <v/>
      </c>
      <c r="J544" s="14" t="e">
        <f>Tabla13[[#This Row],[Precio final en USD]]*$P$4</f>
        <v>#VALUE!</v>
      </c>
    </row>
    <row r="545" spans="1:12" x14ac:dyDescent="0.2">
      <c r="A545" s="12"/>
      <c r="B545" s="11" t="s">
        <v>52</v>
      </c>
      <c r="C545" s="13"/>
      <c r="D545" s="12" t="s">
        <v>58</v>
      </c>
      <c r="F545" s="14"/>
      <c r="G545" s="15"/>
      <c r="I545" s="14" t="str">
        <f t="shared" si="8"/>
        <v/>
      </c>
      <c r="J545" s="14" t="e">
        <f>Tabla13[[#This Row],[Precio final en USD]]*$P$4</f>
        <v>#VALUE!</v>
      </c>
    </row>
    <row r="546" spans="1:12" x14ac:dyDescent="0.2">
      <c r="A546" s="12"/>
      <c r="B546" s="11" t="s">
        <v>52</v>
      </c>
      <c r="C546" s="13"/>
      <c r="D546" s="12"/>
      <c r="F546" s="14"/>
      <c r="G546" s="15"/>
      <c r="I546" s="14" t="str">
        <f t="shared" si="8"/>
        <v/>
      </c>
      <c r="J546" s="14" t="e">
        <f>Tabla13[[#This Row],[Precio final en USD]]*$P$4</f>
        <v>#VALUE!</v>
      </c>
    </row>
    <row r="547" spans="1:12" x14ac:dyDescent="0.2">
      <c r="A547" s="12"/>
      <c r="B547" s="11" t="s">
        <v>52</v>
      </c>
      <c r="C547" s="13"/>
      <c r="D547" s="12"/>
      <c r="F547" s="14"/>
      <c r="G547" s="15"/>
      <c r="I547" s="14" t="str">
        <f t="shared" si="8"/>
        <v/>
      </c>
      <c r="J547" s="14" t="e">
        <f>Tabla13[[#This Row],[Precio final en USD]]*$P$4</f>
        <v>#VALUE!</v>
      </c>
    </row>
    <row r="548" spans="1:12" x14ac:dyDescent="0.2">
      <c r="A548" s="12"/>
      <c r="B548" s="11"/>
      <c r="C548" s="13"/>
      <c r="D548" s="12"/>
      <c r="F548" s="14"/>
      <c r="G548" s="15"/>
      <c r="I548" s="14" t="str">
        <f t="shared" si="8"/>
        <v/>
      </c>
      <c r="J548" s="14" t="e">
        <f>Tabla13[[#This Row],[Precio final en USD]]*$P$4</f>
        <v>#VALUE!</v>
      </c>
    </row>
    <row r="549" spans="1:12" x14ac:dyDescent="0.2">
      <c r="A549" s="12"/>
      <c r="B549" s="11"/>
      <c r="C549" s="13"/>
      <c r="D549" s="12"/>
      <c r="F549" s="14"/>
      <c r="G549" s="15"/>
      <c r="I549" s="14" t="str">
        <f t="shared" si="8"/>
        <v/>
      </c>
      <c r="J549" s="14" t="e">
        <f>Tabla13[[#This Row],[Precio final en USD]]*$P$4</f>
        <v>#VALUE!</v>
      </c>
    </row>
    <row r="550" spans="1:12" x14ac:dyDescent="0.2">
      <c r="A550" s="12"/>
      <c r="B550" s="11"/>
      <c r="C550" s="13"/>
      <c r="D550" s="12"/>
      <c r="F550" s="14"/>
      <c r="G550" s="15"/>
      <c r="I550" s="14" t="str">
        <f t="shared" si="8"/>
        <v/>
      </c>
      <c r="J550" s="14" t="e">
        <f>Tabla13[[#This Row],[Precio final en USD]]*$P$4</f>
        <v>#VALUE!</v>
      </c>
    </row>
    <row r="551" spans="1:12" x14ac:dyDescent="0.2">
      <c r="A551" s="12"/>
      <c r="B551" s="11"/>
      <c r="C551" s="13"/>
      <c r="D551" s="12"/>
      <c r="F551" s="14"/>
      <c r="G551" s="15"/>
      <c r="I551" s="14" t="str">
        <f t="shared" si="8"/>
        <v/>
      </c>
      <c r="J551" s="14" t="e">
        <f>Tabla13[[#This Row],[Precio final en USD]]*$P$4</f>
        <v>#VALUE!</v>
      </c>
    </row>
    <row r="552" spans="1:12" x14ac:dyDescent="0.2">
      <c r="A552" s="12"/>
      <c r="B552" s="11"/>
      <c r="C552" s="13"/>
      <c r="D552" s="12"/>
      <c r="F552" s="14"/>
      <c r="G552" s="15"/>
      <c r="I552" s="14" t="str">
        <f t="shared" si="8"/>
        <v/>
      </c>
      <c r="J552" s="14" t="e">
        <f>Tabla13[[#This Row],[Precio final en USD]]*$P$4</f>
        <v>#VALUE!</v>
      </c>
    </row>
    <row r="553" spans="1:12" x14ac:dyDescent="0.2">
      <c r="A553" s="12"/>
      <c r="B553" s="11"/>
      <c r="C553" s="13"/>
      <c r="D553" s="12"/>
      <c r="F553" s="14"/>
      <c r="G553" s="15"/>
      <c r="I553" s="14" t="str">
        <f t="shared" si="8"/>
        <v/>
      </c>
      <c r="J553" s="14" t="e">
        <f>Tabla13[[#This Row],[Precio final en USD]]*$P$4</f>
        <v>#VALUE!</v>
      </c>
    </row>
    <row r="554" spans="1:12" x14ac:dyDescent="0.2">
      <c r="A554" s="12"/>
      <c r="B554" s="11"/>
      <c r="C554" s="13"/>
      <c r="D554" s="12"/>
      <c r="F554" s="14"/>
      <c r="G554" s="15"/>
      <c r="I554" s="14" t="str">
        <f t="shared" si="8"/>
        <v/>
      </c>
      <c r="J554" s="14" t="e">
        <f>Tabla13[[#This Row],[Precio final en USD]]*$P$4</f>
        <v>#VALUE!</v>
      </c>
    </row>
    <row r="555" spans="1:12" x14ac:dyDescent="0.2">
      <c r="A555" s="12"/>
      <c r="B555" s="11"/>
      <c r="C555" s="13"/>
      <c r="D555" s="12"/>
      <c r="F555" s="14"/>
      <c r="G555" s="15"/>
      <c r="I555" s="14" t="str">
        <f t="shared" si="8"/>
        <v/>
      </c>
      <c r="J555" s="14" t="e">
        <f>Tabla13[[#This Row],[Precio final en USD]]*$P$4</f>
        <v>#VALUE!</v>
      </c>
    </row>
    <row r="556" spans="1:12" x14ac:dyDescent="0.2">
      <c r="A556" s="12"/>
      <c r="B556" s="11"/>
      <c r="C556" s="13"/>
      <c r="D556" s="12"/>
      <c r="F556" s="14"/>
      <c r="G556" s="15"/>
      <c r="I556" s="14" t="str">
        <f t="shared" si="8"/>
        <v/>
      </c>
      <c r="J556" s="14" t="e">
        <f>Tabla13[[#This Row],[Precio final en USD]]*$P$4</f>
        <v>#VALUE!</v>
      </c>
    </row>
    <row r="557" spans="1:12" x14ac:dyDescent="0.2">
      <c r="A557" s="34"/>
      <c r="B557" s="35"/>
      <c r="C557" s="36"/>
      <c r="D557" s="37"/>
      <c r="E557" s="33"/>
      <c r="F557" s="38"/>
      <c r="G557" s="39"/>
      <c r="H557" s="33"/>
      <c r="I557" s="38"/>
      <c r="J557" s="38"/>
      <c r="K557" s="33"/>
      <c r="L557" s="33"/>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ANALISIS ENERO</vt:lpstr>
      <vt:lpstr>ENERO</vt:lpstr>
      <vt:lpstr>GRAFICOS</vt:lpstr>
      <vt:lpstr>BASE TICKETS</vt:lpstr>
      <vt:lpstr>Margen de ganancia</vt:lpstr>
      <vt:lpstr>REPUESTOS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Maximiliano Ezcurra</dc:creator>
  <cp:lastModifiedBy>Cristian Merlo</cp:lastModifiedBy>
  <dcterms:created xsi:type="dcterms:W3CDTF">2025-12-19T12:38:40Z</dcterms:created>
  <dcterms:modified xsi:type="dcterms:W3CDTF">2026-03-11T19:18:38Z</dcterms:modified>
</cp:coreProperties>
</file>