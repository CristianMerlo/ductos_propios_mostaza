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1"/>
  <sheetViews>
    <sheetView workbookViewId="0">
      <pane ySplit="1" topLeftCell="A2" activePane="bottomLeft" state="frozen"/>
      <selection pane="bottomLeft" activeCell="A1" sqref="A1"/>
    </sheetView>
  </sheetViews>
  <sheetFormatPr baseColWidth="8" defaultRowHeight="15"/>
  <sheetData>
    <row r="1">
      <c r="A1" s="1" t="inlineStr">
        <is>
          <t>Código</t>
        </is>
      </c>
      <c r="B1" s="1" t="inlineStr">
        <is>
          <t>Incidencia</t>
        </is>
      </c>
      <c r="C1" s="1" t="inlineStr">
        <is>
          <t>Título</t>
        </is>
      </c>
      <c r="D1" s="1" t="inlineStr">
        <is>
          <t>Descripción</t>
        </is>
      </c>
      <c r="E1" s="1" t="inlineStr">
        <is>
          <t>Prioridad</t>
        </is>
      </c>
      <c r="F1" s="1" t="inlineStr">
        <is>
          <t>Última Respuesta</t>
        </is>
      </c>
      <c r="G1" s="1" t="inlineStr">
        <is>
          <t>Responde</t>
        </is>
      </c>
      <c r="H1" s="1" t="inlineStr">
        <is>
          <t>Fecha Respuesta</t>
        </is>
      </c>
      <c r="I1" s="1" t="inlineStr">
        <is>
          <t>Cód. de Sucursal</t>
        </is>
      </c>
      <c r="J1" s="1" t="inlineStr">
        <is>
          <t>Sucursal</t>
        </is>
      </c>
      <c r="K1" s="1" t="inlineStr">
        <is>
          <t>Técnico Asignado</t>
        </is>
      </c>
      <c r="L1" s="1" t="inlineStr">
        <is>
          <t>Estado</t>
        </is>
      </c>
      <c r="M1" s="1" t="inlineStr">
        <is>
          <t>Última Actualización</t>
        </is>
      </c>
      <c r="N1" s="1" t="inlineStr">
        <is>
          <t>Resuelto por</t>
        </is>
      </c>
      <c r="O1" s="1" t="inlineStr">
        <is>
          <t>Fecha de Resolución</t>
        </is>
      </c>
      <c r="P1" s="1" t="inlineStr">
        <is>
          <t>Mensaje de Resolución</t>
        </is>
      </c>
      <c r="Q1" s="1" t="inlineStr">
        <is>
          <t>Categoría</t>
        </is>
      </c>
      <c r="R1" s="1" t="inlineStr">
        <is>
          <t>Inicio</t>
        </is>
      </c>
      <c r="S1" s="1" t="inlineStr">
        <is>
          <t>Tiempo Transcurrido (%)</t>
        </is>
      </c>
      <c r="T1" s="1" t="inlineStr">
        <is>
          <t>Desviación (%)</t>
        </is>
      </c>
      <c r="U1" s="1" t="inlineStr">
        <is>
          <t>Zona</t>
        </is>
      </c>
      <c r="V1" s="1" t="inlineStr">
        <is>
          <t>Km</t>
        </is>
      </c>
      <c r="W1" s="1" t="inlineStr">
        <is>
          <t>Valor Hora (USD)</t>
        </is>
      </c>
      <c r="X1" s="1" t="inlineStr">
        <is>
          <t>Hs Mínimas</t>
        </is>
      </c>
      <c r="Y1" s="1" t="inlineStr">
        <is>
          <t>HS_Tecnica</t>
        </is>
      </c>
      <c r="Z1" s="1" t="inlineStr">
        <is>
          <t>HS_Chat</t>
        </is>
      </c>
      <c r="AA1" s="1" t="inlineStr">
        <is>
          <t>HS_PDF</t>
        </is>
      </c>
      <c r="AB1" s="1" t="inlineStr">
        <is>
          <t>base tecnicos</t>
        </is>
      </c>
      <c r="AC1" s="1" t="inlineStr">
        <is>
          <t>HS_Resolucion</t>
        </is>
      </c>
      <c r="AD1" s="1" t="inlineStr">
        <is>
          <t>HS_Final</t>
        </is>
      </c>
      <c r="AE1" s="1" t="inlineStr">
        <is>
          <t>USD</t>
        </is>
      </c>
      <c r="AF1" s="1" t="inlineStr">
        <is>
          <t>Observaciones_Audit</t>
        </is>
      </c>
      <c r="AG1" s="1" t="inlineStr">
        <is>
          <t>Check</t>
        </is>
      </c>
      <c r="AH1" s="1" t="inlineStr">
        <is>
          <t>Sucursal.1</t>
        </is>
      </c>
    </row>
    <row r="2">
      <c r="A2" s="2" t="n">
        <v>110988</v>
      </c>
      <c r="B2" s="2" t="inlineStr">
        <is>
          <t>ER 033 y 034 - Falla de válvula, revisar según error</t>
        </is>
      </c>
      <c r="C2" s="2" t="inlineStr">
        <is>
          <t>-</t>
        </is>
      </c>
      <c r="D2" s="2" t="inlineStr">
        <is>
          <t>Buen día! Contamos en el local con los repuestos para la reparación de la cafetera, las válvulas y sensores que se detallaron en diferentes tk. Para su pronta reparación. Gracias</t>
        </is>
      </c>
      <c r="E2" s="2" t="inlineStr">
        <is>
          <t>Urgente</t>
        </is>
      </c>
      <c r="F2" s="2" t="inlineStr"/>
      <c r="G2" s="2" t="inlineStr"/>
      <c r="H2" s="2" t="inlineStr"/>
      <c r="I2" s="2" t="inlineStr">
        <is>
          <t>FAVE</t>
        </is>
      </c>
      <c r="J2" s="2" t="inlineStr">
        <is>
          <t>Avellaneda</t>
        </is>
      </c>
      <c r="K2" s="2" t="inlineStr"/>
      <c r="L2" s="2" t="inlineStr">
        <is>
          <t>Cerrado</t>
        </is>
      </c>
      <c r="M2" s="2" t="inlineStr">
        <is>
          <t>2026-02-12 01:00:05</t>
        </is>
      </c>
      <c r="N2" s="2" t="inlineStr">
        <is>
          <t>Bruno Leyes</t>
        </is>
      </c>
      <c r="O2" s="2" t="inlineStr">
        <is>
          <t>2026-02-07 20:17:09</t>
        </is>
      </c>
      <c r="P2" s="2" t="inlineStr">
        <is>
          <t>Tiempo de servicio: 5 hrs
Se cambió valvula de sobrepresion con el capuchón, elf3 y kit de oring superior e inferior. También se dejó calibrada  y se ajusto y enderezó la barredora de pastillas. Se le hizo una limpieza especifica al grupo por fuera y por dentro</t>
        </is>
      </c>
      <c r="Q2" s="2" t="inlineStr">
        <is>
          <t>EQUIPOS;CAFETERAS CIMBALI</t>
        </is>
      </c>
      <c r="R2" s="2" t="inlineStr">
        <is>
          <t>2026-02-07 11:42:20</t>
        </is>
      </c>
      <c r="S2" s="2" t="n">
        <v>90</v>
      </c>
      <c r="T2" s="2" t="inlineStr"/>
      <c r="U2" s="2" t="inlineStr">
        <is>
          <t>Zona 1 — CABA / GBA Cercano (≤30 km)</t>
        </is>
      </c>
      <c r="V2" s="2" t="n">
        <v>13.7</v>
      </c>
      <c r="W2" s="2" t="n">
        <v>35</v>
      </c>
      <c r="X2" s="2" t="n">
        <v>2</v>
      </c>
      <c r="Y2" s="2" t="n">
        <v>5</v>
      </c>
      <c r="Z2" s="2" t="n">
        <v>0</v>
      </c>
      <c r="AA2" s="2" t="n">
        <v>0</v>
      </c>
      <c r="AB2" s="2" t="n">
        <v>0</v>
      </c>
      <c r="AC2" s="2" t="n">
        <v>5</v>
      </c>
      <c r="AD2" s="2" t="n">
        <v>5</v>
      </c>
      <c r="AE2" s="3">
        <f>AD2*35.0</f>
        <v/>
      </c>
      <c r="AF2" s="2" t="inlineStr">
        <is>
          <t>Skill: Resolución | Skill: Reglas Técnicas</t>
        </is>
      </c>
      <c r="AG2" s="2" t="inlineStr"/>
      <c r="AH2" s="2" t="inlineStr">
        <is>
          <t>Avellaneda</t>
        </is>
      </c>
    </row>
    <row r="3">
      <c r="A3" s="2" t="n">
        <v>111197</v>
      </c>
      <c r="B3" s="2" t="inlineStr">
        <is>
          <t>ER 008 - Timeout manipulación grupo, falla en bloque mecanico</t>
        </is>
      </c>
      <c r="C3" s="2" t="inlineStr">
        <is>
          <t>-</t>
        </is>
      </c>
      <c r="D3" s="2" t="inlineStr">
        <is>
          <t>No sale cafe</t>
        </is>
      </c>
      <c r="E3" s="2" t="inlineStr">
        <is>
          <t>Urgente</t>
        </is>
      </c>
      <c r="F3" s="2" t="inlineStr"/>
      <c r="G3" s="2" t="inlineStr"/>
      <c r="H3" s="2" t="inlineStr"/>
      <c r="I3" s="2" t="inlineStr">
        <is>
          <t>FAVE</t>
        </is>
      </c>
      <c r="J3" s="2" t="inlineStr">
        <is>
          <t>Avellaneda</t>
        </is>
      </c>
      <c r="K3" s="2" t="inlineStr"/>
      <c r="L3" s="2" t="inlineStr">
        <is>
          <t>Cerrado</t>
        </is>
      </c>
      <c r="M3" s="2" t="inlineStr">
        <is>
          <t>2026-02-14 01:00:06</t>
        </is>
      </c>
      <c r="N3" s="2" t="inlineStr">
        <is>
          <t>Bruno Leyes</t>
        </is>
      </c>
      <c r="O3" s="2" t="inlineStr">
        <is>
          <t>2026-02-09 11:39:12</t>
        </is>
      </c>
      <c r="P3" s="2" t="inlineStr">
        <is>
          <t>Tiempo de servicio: 1hr
El grupo de la cafetera se encontraba bloqueado por lo q no permitía sacar café,, se saco el grupo y se limpiaron sensores para descartar que haya alguno averiado. Se coloco y activaron los 4 sensores por lo que la cafetera quedo operando correctamente</t>
        </is>
      </c>
      <c r="Q3" s="2" t="inlineStr">
        <is>
          <t>EQUIPOS;CAFETERAS CIMBALI</t>
        </is>
      </c>
      <c r="R3" s="2" t="inlineStr">
        <is>
          <t>2026-02-09 08:40:11</t>
        </is>
      </c>
      <c r="S3" s="2" t="n">
        <v>30</v>
      </c>
      <c r="T3" s="2" t="inlineStr"/>
      <c r="U3" s="2" t="inlineStr">
        <is>
          <t>Zona 1 — CABA / GBA Cercano (≤30 km)</t>
        </is>
      </c>
      <c r="V3" s="2" t="n">
        <v>13.7</v>
      </c>
      <c r="W3" s="2" t="n">
        <v>35</v>
      </c>
      <c r="X3" s="2" t="n">
        <v>2</v>
      </c>
      <c r="Y3" s="2" t="n">
        <v>1</v>
      </c>
      <c r="Z3" s="2" t="n">
        <v>0</v>
      </c>
      <c r="AA3" s="2" t="n">
        <v>0</v>
      </c>
      <c r="AB3" s="2" t="n">
        <v>0</v>
      </c>
      <c r="AC3" s="2" t="n">
        <v>1</v>
      </c>
      <c r="AD3" s="2" t="n">
        <v>2</v>
      </c>
      <c r="AE3" s="3">
        <f>AD3*35.0</f>
        <v/>
      </c>
      <c r="AF3" s="2" t="inlineStr">
        <is>
          <t>Skill: Resolución | Skill: Reglas Técnicas</t>
        </is>
      </c>
      <c r="AG3" s="2" t="inlineStr"/>
      <c r="AH3" s="2" t="inlineStr">
        <is>
          <t>Avellaneda</t>
        </is>
      </c>
    </row>
    <row r="4">
      <c r="A4" s="2" t="n">
        <v>111676</v>
      </c>
      <c r="B4" s="2" t="inlineStr">
        <is>
          <t>ER 008 - Timeout manipulación grupo, falla en bloque mecanico</t>
        </is>
      </c>
      <c r="C4" s="2" t="inlineStr">
        <is>
          <t>-</t>
        </is>
      </c>
      <c r="D4" s="2" t="inlineStr">
        <is>
          <t>Se compró el repuesto que se solicitó tienen que venir a cambiarlo urgente gracias</t>
        </is>
      </c>
      <c r="E4" s="2" t="inlineStr">
        <is>
          <t>Urgente</t>
        </is>
      </c>
      <c r="F4" s="2" t="inlineStr"/>
      <c r="G4" s="2" t="inlineStr"/>
      <c r="H4" s="2" t="inlineStr"/>
      <c r="I4" s="2" t="inlineStr">
        <is>
          <t>FAVE</t>
        </is>
      </c>
      <c r="J4" s="2" t="inlineStr">
        <is>
          <t>Avellaneda</t>
        </is>
      </c>
      <c r="K4" s="2" t="inlineStr"/>
      <c r="L4" s="2" t="inlineStr">
        <is>
          <t>Cerrado</t>
        </is>
      </c>
      <c r="M4" s="2" t="inlineStr">
        <is>
          <t>2026-02-19 01:00:04</t>
        </is>
      </c>
      <c r="N4" s="2" t="inlineStr">
        <is>
          <t>Lucas Ale</t>
        </is>
      </c>
      <c r="O4" s="2" t="inlineStr">
        <is>
          <t>2026-02-14 13:57:19</t>
        </is>
      </c>
      <c r="P4" s="2" t="inlineStr">
        <is>
          <t>Cafetera Avellaneda 
Ticket número :111676
Serie número:1977238
Hora de servicio: 1h
Se realizó el recambio de la resistencia (error 55).
Cafetera operando.</t>
        </is>
      </c>
      <c r="Q4" s="2" t="inlineStr">
        <is>
          <t>EQUIPOS;CAFETERAS CIMBALI</t>
        </is>
      </c>
      <c r="R4" s="2" t="inlineStr">
        <is>
          <t>2026-02-13 11:41:15</t>
        </is>
      </c>
      <c r="S4" s="2" t="n">
        <v>206</v>
      </c>
      <c r="T4" s="2" t="n">
        <v>106</v>
      </c>
      <c r="U4" s="2" t="inlineStr">
        <is>
          <t>Zona 1 — CABA / GBA Cercano (≤30 km)</t>
        </is>
      </c>
      <c r="V4" s="2" t="n">
        <v>13.7</v>
      </c>
      <c r="W4" s="2" t="n">
        <v>35</v>
      </c>
      <c r="X4" s="2" t="n">
        <v>2</v>
      </c>
      <c r="Y4" s="2" t="n">
        <v>5</v>
      </c>
      <c r="Z4" s="2" t="n">
        <v>0</v>
      </c>
      <c r="AA4" s="2" t="n">
        <v>0</v>
      </c>
      <c r="AB4" s="2" t="n">
        <v>0</v>
      </c>
      <c r="AC4" s="2" t="n">
        <v>0</v>
      </c>
      <c r="AD4" s="2" t="n">
        <v>5</v>
      </c>
      <c r="AE4" s="3">
        <f>AD4*35.0</f>
        <v/>
      </c>
      <c r="AF4" s="2" t="inlineStr">
        <is>
          <t>Skill: Reglas Técnicas</t>
        </is>
      </c>
      <c r="AG4" s="2" t="inlineStr"/>
      <c r="AH4" s="2" t="inlineStr">
        <is>
          <t>Avellaneda</t>
        </is>
      </c>
    </row>
    <row r="5">
      <c r="A5" s="2" t="n">
        <v>107777</v>
      </c>
      <c r="B5" s="2" t="inlineStr">
        <is>
          <t>Otros trabajos, detallar en comentarios</t>
        </is>
      </c>
      <c r="C5" s="2" t="inlineStr">
        <is>
          <t>-</t>
        </is>
      </c>
      <c r="D5" s="2" t="inlineStr">
        <is>
          <t>Puerta automática no funciona no abre ni cierra solo manual hace un mes .</t>
        </is>
      </c>
      <c r="E5" s="2" t="inlineStr">
        <is>
          <t>Baja</t>
        </is>
      </c>
      <c r="F5" s="2" t="inlineStr">
        <is>
          <t>Buen día! Hay novedades de este tk??? Gracias</t>
        </is>
      </c>
      <c r="G5" s="2" t="inlineStr">
        <is>
          <t>Sucursal AVELLANEDA</t>
        </is>
      </c>
      <c r="H5" s="2" t="inlineStr">
        <is>
          <t>2026-01-30 20:08:01</t>
        </is>
      </c>
      <c r="I5" s="2" t="inlineStr">
        <is>
          <t>FAVE</t>
        </is>
      </c>
      <c r="J5" s="2" t="inlineStr">
        <is>
          <t>Avellaneda</t>
        </is>
      </c>
      <c r="K5" s="2" t="inlineStr"/>
      <c r="L5" s="2" t="inlineStr">
        <is>
          <t>Cerrado</t>
        </is>
      </c>
      <c r="M5" s="2" t="inlineStr">
        <is>
          <t>2026-02-25 01:00:04</t>
        </is>
      </c>
      <c r="N5" s="2" t="inlineStr">
        <is>
          <t>Nahuel Loubiere</t>
        </is>
      </c>
      <c r="O5" s="2" t="inlineStr">
        <is>
          <t>2026-02-20 19:27:51</t>
        </is>
      </c>
      <c r="P5" s="2" t="inlineStr">
        <is>
          <t>Estimados, 
Se hablo con Aylen y por el elevado costo, se vera de otras opciones.
Se cierra tk.
Saludos</t>
        </is>
      </c>
      <c r="Q5" s="2" t="inlineStr">
        <is>
          <t>;OTROS</t>
        </is>
      </c>
      <c r="R5" s="2" t="inlineStr">
        <is>
          <t>2026-01-13 13:42:10</t>
        </is>
      </c>
      <c r="S5" s="2" t="n">
        <v>147</v>
      </c>
      <c r="T5" s="2" t="n">
        <v>47</v>
      </c>
      <c r="U5" s="2" t="inlineStr">
        <is>
          <t>Zona 1 — CABA / GBA Cercano (≤30 km)</t>
        </is>
      </c>
      <c r="V5" s="2" t="n">
        <v>13.7</v>
      </c>
      <c r="W5" s="2" t="n">
        <v>35</v>
      </c>
      <c r="X5" s="2" t="n">
        <v>2</v>
      </c>
      <c r="Y5" s="2" t="n">
        <v>2</v>
      </c>
      <c r="Z5" s="2" t="n">
        <v>0</v>
      </c>
      <c r="AA5" s="2" t="n">
        <v>0</v>
      </c>
      <c r="AB5" s="2" t="n">
        <v>0</v>
      </c>
      <c r="AC5" s="2" t="n">
        <v>0</v>
      </c>
      <c r="AD5" s="2" t="n">
        <v>2</v>
      </c>
      <c r="AE5" s="3">
        <f>AD5*35.0</f>
        <v/>
      </c>
      <c r="AF5" s="2" t="inlineStr">
        <is>
          <t>Skill: Reglas Técnicas</t>
        </is>
      </c>
      <c r="AG5" s="2" t="inlineStr"/>
      <c r="AH5" s="2" t="inlineStr">
        <is>
          <t>Avellaneda</t>
        </is>
      </c>
    </row>
    <row r="6">
      <c r="A6" s="2" t="n">
        <v>112916</v>
      </c>
      <c r="B6" s="2" t="inlineStr">
        <is>
          <t>ER 025 a 032 - Cableado defectuoso, revisar según error</t>
        </is>
      </c>
      <c r="C6" s="2" t="inlineStr">
        <is>
          <t>-</t>
        </is>
      </c>
      <c r="D6" s="2" t="inlineStr">
        <is>
          <t>Buen día la cafetera hoy falló y el tobogán se llenó de café húmedo. El dia sábado 14/2 se cambia este repuesto que adjunto para que no suceda este problema y hoy dos semanas después lo volvemos a tener.</t>
        </is>
      </c>
      <c r="E6" s="2" t="inlineStr">
        <is>
          <t>Urgente</t>
        </is>
      </c>
      <c r="F6" s="2" t="inlineStr">
        <is>
          <t>Fotos</t>
        </is>
      </c>
      <c r="G6" s="2" t="inlineStr">
        <is>
          <t>Lucas Ale</t>
        </is>
      </c>
      <c r="H6" s="2" t="inlineStr">
        <is>
          <t>2026-02-25 11:47:54</t>
        </is>
      </c>
      <c r="I6" s="2" t="inlineStr">
        <is>
          <t>FAVE</t>
        </is>
      </c>
      <c r="J6" s="2" t="inlineStr">
        <is>
          <t>Avellaneda</t>
        </is>
      </c>
      <c r="K6" s="2" t="inlineStr"/>
      <c r="L6" s="2" t="inlineStr">
        <is>
          <t>Cerrado</t>
        </is>
      </c>
      <c r="M6" s="2" t="inlineStr">
        <is>
          <t>2026-03-02 01:00:05</t>
        </is>
      </c>
      <c r="N6" s="2" t="inlineStr">
        <is>
          <t>Lucas Ale</t>
        </is>
      </c>
      <c r="O6" s="2" t="inlineStr">
        <is>
          <t>2026-02-25 11:48:06</t>
        </is>
      </c>
      <c r="P6" s="2" t="inlineStr">
        <is>
          <t>Cafetera Avellaneda
Número de ticket:112916
Número de serie:1977238
Hora de servicio: 1h50m
Se encontró con el tobogán lleno de café obstruyendo el paso y eso provocada a que en ves de café salga agua.
Se hizo una profunda limpieza del grupo tanto como el pistón superior e inferior y toda su base.
Se realizó puesta 0 y calibración de las moliendas mm1 y mm2.
Pastillas bien formadas y caen directo al cajón de pozos correctamente.
Se realizó destapacion del matcha.
Observaciones:
-error 54 sensor de temperatura de grupo(no influye su funcionamiento)
-sin filtro en la lanza de té( hace que tire agua caliente por todos lados)
-no cuentan en el kit de limpieza el cepillo para poder limpiar el embudo de la pastilla de lavado y tobogán.
Cafetera operando.
*La última visita se cambió el repuesto del error 55(resistencia de grupo) fue un problema distinto a lo ocurrido de la visita de hoy 25/2 (error 54 actualmente). A lo mismo que el tobogán tapado fueron otro problema.</t>
        </is>
      </c>
      <c r="Q6" s="2" t="inlineStr">
        <is>
          <t>EQUIPOS;CAFETERAS CIMBALI</t>
        </is>
      </c>
      <c r="R6" s="2" t="inlineStr">
        <is>
          <t>2026-02-24 13:21:58</t>
        </is>
      </c>
      <c r="S6" s="2" t="n">
        <v>180</v>
      </c>
      <c r="T6" s="2" t="n">
        <v>80</v>
      </c>
      <c r="U6" s="2" t="inlineStr">
        <is>
          <t>Zona 1 — CABA / GBA Cercano (≤30 km)</t>
        </is>
      </c>
      <c r="V6" s="2" t="n">
        <v>13.7</v>
      </c>
      <c r="W6" s="2" t="n">
        <v>35</v>
      </c>
      <c r="X6" s="2" t="n">
        <v>2</v>
      </c>
      <c r="Y6" s="2" t="n">
        <v>5</v>
      </c>
      <c r="Z6" s="2" t="n">
        <v>0</v>
      </c>
      <c r="AA6" s="2" t="n">
        <v>0</v>
      </c>
      <c r="AB6" s="2" t="n">
        <v>0</v>
      </c>
      <c r="AC6" s="2" t="n">
        <v>0</v>
      </c>
      <c r="AD6" s="2" t="n">
        <v>5</v>
      </c>
      <c r="AE6" s="3">
        <f>AD6*35.0</f>
        <v/>
      </c>
      <c r="AF6" s="2" t="inlineStr">
        <is>
          <t>Skill: Reglas Técnicas</t>
        </is>
      </c>
      <c r="AG6" s="2" t="inlineStr"/>
      <c r="AH6" s="2" t="inlineStr">
        <is>
          <t>Avellaneda</t>
        </is>
      </c>
    </row>
    <row r="7">
      <c r="A7" s="2" t="n">
        <v>110357</v>
      </c>
      <c r="B7" s="2" t="inlineStr">
        <is>
          <t>ER 008 - Timeout manipulación grupo, falla en bloque mecanico</t>
        </is>
      </c>
      <c r="C7" s="2" t="inlineStr">
        <is>
          <t>-</t>
        </is>
      </c>
      <c r="D7" s="2" t="inlineStr">
        <is>
          <t>Buenas no sale café en ninguna molienda.</t>
        </is>
      </c>
      <c r="E7" s="2" t="inlineStr">
        <is>
          <t>Urgente</t>
        </is>
      </c>
      <c r="F7" s="2" t="inlineStr"/>
      <c r="G7" s="2" t="inlineStr"/>
      <c r="H7" s="2" t="inlineStr"/>
      <c r="I7" s="2" t="inlineStr">
        <is>
          <t>FMBOE</t>
        </is>
      </c>
      <c r="J7" s="2" t="inlineStr">
        <is>
          <t>Boedo</t>
        </is>
      </c>
      <c r="K7" s="2" t="inlineStr"/>
      <c r="L7" s="2" t="inlineStr">
        <is>
          <t>Cerrado</t>
        </is>
      </c>
      <c r="M7" s="2" t="inlineStr">
        <is>
          <t>2026-02-07 01:00:05</t>
        </is>
      </c>
      <c r="N7" s="2" t="inlineStr">
        <is>
          <t>Nahuel Loubiere</t>
        </is>
      </c>
      <c r="O7" s="2" t="inlineStr">
        <is>
          <t>2026-02-02 13:19:00</t>
        </is>
      </c>
      <c r="P7" s="2" t="inlineStr">
        <is>
          <t>Estimados,
Se encuentra el tobogan roto. Se envia cotizacion por el mismo.
Una vez que tengan el repuesto, por favor generar un nuevo tk.
Saludos.</t>
        </is>
      </c>
      <c r="Q7" s="2" t="inlineStr">
        <is>
          <t>EQUIPOS;CAFETERAS CIMBALI</t>
        </is>
      </c>
      <c r="R7" s="2" t="inlineStr">
        <is>
          <t>2026-02-02 09:30:02</t>
        </is>
      </c>
      <c r="S7" s="2" t="n">
        <v>40</v>
      </c>
      <c r="T7" s="2" t="inlineStr"/>
      <c r="U7" s="2" t="inlineStr">
        <is>
          <t>Zona 1 — CABA / GBA Cercano (≤30 km)</t>
        </is>
      </c>
      <c r="V7" s="2" t="n">
        <v>3.7</v>
      </c>
      <c r="W7" s="2" t="n">
        <v>35</v>
      </c>
      <c r="X7" s="2" t="n">
        <v>2</v>
      </c>
      <c r="Y7" s="2" t="n">
        <v>2</v>
      </c>
      <c r="Z7" s="2" t="n">
        <v>0</v>
      </c>
      <c r="AA7" s="2" t="n">
        <v>0</v>
      </c>
      <c r="AB7" s="2" t="n">
        <v>0</v>
      </c>
      <c r="AC7" s="2" t="n">
        <v>0</v>
      </c>
      <c r="AD7" s="2" t="n">
        <v>2</v>
      </c>
      <c r="AE7" s="3">
        <f>AD7*35.0</f>
        <v/>
      </c>
      <c r="AF7" s="2" t="inlineStr">
        <is>
          <t>Skill: Reglas Técnicas</t>
        </is>
      </c>
      <c r="AG7" s="2" t="inlineStr"/>
      <c r="AH7" s="2" t="inlineStr">
        <is>
          <t>Boedo</t>
        </is>
      </c>
    </row>
    <row r="8">
      <c r="A8" s="2" t="n">
        <v>110651</v>
      </c>
      <c r="B8" s="2" t="inlineStr">
        <is>
          <t>ER 008 - Timeout manipulación grupo, falla en bloque mecanico</t>
        </is>
      </c>
      <c r="C8" s="2" t="inlineStr">
        <is>
          <t>-</t>
        </is>
      </c>
      <c r="D8" s="2" t="inlineStr">
        <is>
          <t>Buenas, tobogan roto y barredora doblada</t>
        </is>
      </c>
      <c r="E8" s="2" t="inlineStr">
        <is>
          <t>Urgente</t>
        </is>
      </c>
      <c r="F8" s="2" t="inlineStr"/>
      <c r="G8" s="2" t="inlineStr"/>
      <c r="H8" s="2" t="inlineStr"/>
      <c r="I8" s="2" t="inlineStr">
        <is>
          <t>FMBOE</t>
        </is>
      </c>
      <c r="J8" s="2" t="inlineStr">
        <is>
          <t>Boedo</t>
        </is>
      </c>
      <c r="K8" s="2" t="inlineStr"/>
      <c r="L8" s="2" t="inlineStr">
        <is>
          <t>Cerrado</t>
        </is>
      </c>
      <c r="M8" s="2" t="inlineStr">
        <is>
          <t>2026-02-09 01:00:05</t>
        </is>
      </c>
      <c r="N8" s="2" t="inlineStr">
        <is>
          <t>Nicolas Franco</t>
        </is>
      </c>
      <c r="O8" s="2" t="inlineStr">
        <is>
          <t>2026-02-04 18:39:50</t>
        </is>
      </c>
      <c r="P8" s="2" t="inlineStr">
        <is>
          <t>Cafetera boedo ( 2 horas de trabajo)
Cimbali 1860967
Tiket#110651
Se cambió tobogán y barredor de porra de café , se lubrico sistema de barredora, se armó todo y se realizó todos los lavados pendientes, lam máquina quedó operando</t>
        </is>
      </c>
      <c r="Q8" s="2" t="inlineStr">
        <is>
          <t>EQUIPOS;CAFETERAS CIMBALI</t>
        </is>
      </c>
      <c r="R8" s="2" t="inlineStr">
        <is>
          <t>2026-02-04 11:11:12</t>
        </is>
      </c>
      <c r="S8" s="2" t="n">
        <v>80</v>
      </c>
      <c r="T8" s="2" t="inlineStr"/>
      <c r="U8" s="2" t="inlineStr">
        <is>
          <t>Zona 1 — CABA / GBA Cercano (≤30 km)</t>
        </is>
      </c>
      <c r="V8" s="2" t="n">
        <v>3.7</v>
      </c>
      <c r="W8" s="2" t="n">
        <v>35</v>
      </c>
      <c r="X8" s="2" t="n">
        <v>2</v>
      </c>
      <c r="Y8" s="2" t="n">
        <v>2</v>
      </c>
      <c r="Z8" s="2" t="n">
        <v>2</v>
      </c>
      <c r="AA8" s="2" t="n">
        <v>0</v>
      </c>
      <c r="AB8" s="2" t="n">
        <v>2</v>
      </c>
      <c r="AC8" s="2" t="n">
        <v>2</v>
      </c>
      <c r="AD8" s="2" t="n">
        <v>2</v>
      </c>
      <c r="AE8" s="3">
        <f>AD8*35.0</f>
        <v/>
      </c>
      <c r="AF8" s="2" t="inlineStr">
        <is>
          <t>Skill: Base Técnicos | Skill: Resolución | Skill: Chat | Skill: Reglas Técnicas</t>
        </is>
      </c>
      <c r="AG8" s="2" t="inlineStr"/>
      <c r="AH8" s="2" t="inlineStr">
        <is>
          <t>Boedo</t>
        </is>
      </c>
    </row>
    <row r="9">
      <c r="A9" s="2" t="n">
        <v>111187</v>
      </c>
      <c r="B9" s="2" t="inlineStr">
        <is>
          <t>Equipo salta el disyuntor o térmica</t>
        </is>
      </c>
      <c r="C9" s="2" t="inlineStr">
        <is>
          <t>-</t>
        </is>
      </c>
      <c r="D9" s="2" t="inlineStr">
        <is>
          <t>Buen día salta la térmica de la cafetera</t>
        </is>
      </c>
      <c r="E9" s="2" t="inlineStr">
        <is>
          <t>Urgente</t>
        </is>
      </c>
      <c r="F9" s="2" t="inlineStr"/>
      <c r="G9" s="2" t="inlineStr"/>
      <c r="H9" s="2" t="inlineStr"/>
      <c r="I9" s="2" t="inlineStr">
        <is>
          <t>FMBOE</t>
        </is>
      </c>
      <c r="J9" s="2" t="inlineStr">
        <is>
          <t>Boedo</t>
        </is>
      </c>
      <c r="K9" s="2" t="inlineStr"/>
      <c r="L9" s="2" t="inlineStr">
        <is>
          <t>Cerrado</t>
        </is>
      </c>
      <c r="M9" s="2" t="inlineStr">
        <is>
          <t>2026-02-14 01:00:06</t>
        </is>
      </c>
      <c r="N9" s="2" t="inlineStr">
        <is>
          <t>Bruno Leyes</t>
        </is>
      </c>
      <c r="O9" s="2" t="inlineStr">
        <is>
          <t>2026-02-09 14:20:31</t>
        </is>
      </c>
      <c r="P9" s="2" t="inlineStr">
        <is>
          <t>Tiempo de servicio: 1:30hrs
A la hora de realizar el lavado la cafetera hacia saltar el disyuntor, ya que tenía la valvula de sobrepresion abierta y la salida hacia el desagüe tapado por lo que condensaba el vapor dentro de la cafetera y mojaba cables terminales y resistencias, también se observo fuga de vapor por las boquillas de los acoples de la caldera y la rosca. Se destapó la manguera obstruida de la valvula de sobrepresion se recorto la manguera del acople de la caldera por lo que ya no pierde al moverlo pero si por la rosca de la caldera.
Repuestos a solicitar:
•valvula de sobrepresion
•acople superior de caldera con boquilla de 6mm
•embudo de pastilla de lavado</t>
        </is>
      </c>
      <c r="Q9" s="2" t="inlineStr">
        <is>
          <t>EQUIPOS;CAFETERAS CIMBALI</t>
        </is>
      </c>
      <c r="R9" s="2" t="inlineStr">
        <is>
          <t>2026-02-09 06:54:17</t>
        </is>
      </c>
      <c r="S9" s="2" t="n">
        <v>80</v>
      </c>
      <c r="T9" s="2" t="inlineStr"/>
      <c r="U9" s="2" t="inlineStr">
        <is>
          <t>Zona 1 — CABA / GBA Cercano (≤30 km)</t>
        </is>
      </c>
      <c r="V9" s="2" t="n">
        <v>3.7</v>
      </c>
      <c r="W9" s="2" t="n">
        <v>35</v>
      </c>
      <c r="X9" s="2" t="n">
        <v>2</v>
      </c>
      <c r="Y9" s="2" t="n">
        <v>1</v>
      </c>
      <c r="Z9" s="2" t="n">
        <v>0</v>
      </c>
      <c r="AA9" s="2" t="n">
        <v>0</v>
      </c>
      <c r="AB9" s="2" t="n">
        <v>0</v>
      </c>
      <c r="AC9" s="2" t="n">
        <v>1</v>
      </c>
      <c r="AD9" s="2" t="n">
        <v>2</v>
      </c>
      <c r="AE9" s="3">
        <f>AD9*35.0</f>
        <v/>
      </c>
      <c r="AF9" s="2" t="inlineStr">
        <is>
          <t>Skill: Resolución | Skill: Reglas Técnicas</t>
        </is>
      </c>
      <c r="AG9" s="2" t="inlineStr"/>
      <c r="AH9" s="2" t="inlineStr">
        <is>
          <t>Boedo</t>
        </is>
      </c>
    </row>
    <row r="10">
      <c r="A10" s="2" t="n">
        <v>111326</v>
      </c>
      <c r="B10" s="2" t="inlineStr">
        <is>
          <t xml:space="preserve">ER 066 y 067 - Falta de agua </t>
        </is>
      </c>
      <c r="C10" s="2" t="inlineStr">
        <is>
          <t>-</t>
        </is>
      </c>
      <c r="D10" s="2" t="inlineStr">
        <is>
          <t>No corta el agua. Error 66</t>
        </is>
      </c>
      <c r="E10" s="2" t="inlineStr">
        <is>
          <t>Urgente</t>
        </is>
      </c>
      <c r="F10" s="2" t="inlineStr"/>
      <c r="G10" s="2" t="inlineStr"/>
      <c r="H10" s="2" t="inlineStr"/>
      <c r="I10" s="2" t="inlineStr">
        <is>
          <t>FMBOE</t>
        </is>
      </c>
      <c r="J10" s="2" t="inlineStr">
        <is>
          <t>Boedo</t>
        </is>
      </c>
      <c r="K10" s="2" t="inlineStr"/>
      <c r="L10" s="2" t="inlineStr">
        <is>
          <t>Cerrado</t>
        </is>
      </c>
      <c r="M10" s="2" t="inlineStr">
        <is>
          <t>2026-02-15 01:00:04</t>
        </is>
      </c>
      <c r="N10" s="2" t="inlineStr">
        <is>
          <t>Nahuel Loubiere</t>
        </is>
      </c>
      <c r="O10" s="2" t="inlineStr">
        <is>
          <t>2026-02-10 12:10:53</t>
        </is>
      </c>
      <c r="P10" s="2" t="inlineStr">
        <is>
          <t>Estimados, 
Café n: 1860967
Días de uso 1236
Solicitar volumetrico por falla, se le enseño al local a calibrar volumetrico en caso que falle pero es esporádica la falla.
Se usó limpia contacto y mostró mejoría pero aún persiste la falla.
Cafetera operando
Repuesto volumetrico: 10190
Saludos</t>
        </is>
      </c>
      <c r="Q10" s="2" t="inlineStr">
        <is>
          <t>EQUIPOS;CAFETERAS CIMBALI</t>
        </is>
      </c>
      <c r="R10" s="2" t="inlineStr">
        <is>
          <t>2026-02-10 07:37:16</t>
        </is>
      </c>
      <c r="S10" s="2" t="n">
        <v>50</v>
      </c>
      <c r="T10" s="2" t="inlineStr"/>
      <c r="U10" s="2" t="inlineStr">
        <is>
          <t>Zona 1 — CABA / GBA Cercano (≤30 km)</t>
        </is>
      </c>
      <c r="V10" s="2" t="n">
        <v>3.7</v>
      </c>
      <c r="W10" s="2" t="n">
        <v>35</v>
      </c>
      <c r="X10" s="2" t="n">
        <v>2</v>
      </c>
      <c r="Y10" s="2" t="n">
        <v>2</v>
      </c>
      <c r="Z10" s="2" t="n">
        <v>0</v>
      </c>
      <c r="AA10" s="2" t="n">
        <v>0</v>
      </c>
      <c r="AB10" s="2" t="n">
        <v>0</v>
      </c>
      <c r="AC10" s="2" t="n">
        <v>0</v>
      </c>
      <c r="AD10" s="2" t="n">
        <v>2</v>
      </c>
      <c r="AE10" s="3">
        <f>AD10*35.0</f>
        <v/>
      </c>
      <c r="AF10" s="2" t="inlineStr">
        <is>
          <t>Skill: Reglas Técnicas</t>
        </is>
      </c>
      <c r="AG10" s="2" t="inlineStr"/>
      <c r="AH10" s="2" t="inlineStr">
        <is>
          <t>Boedo</t>
        </is>
      </c>
    </row>
    <row r="11">
      <c r="A11" s="2" t="n">
        <v>111940</v>
      </c>
      <c r="B11" s="2" t="inlineStr">
        <is>
          <t>Equipo salta el disyuntor o térmica</t>
        </is>
      </c>
      <c r="C11" s="2" t="inlineStr">
        <is>
          <t>-</t>
        </is>
      </c>
      <c r="D11" s="2" t="inlineStr">
        <is>
          <t>Buen día, salta la térmica cuando prendo la cafetera.</t>
        </is>
      </c>
      <c r="E11" s="2" t="inlineStr">
        <is>
          <t>Urgente</t>
        </is>
      </c>
      <c r="F11" s="2" t="inlineStr"/>
      <c r="G11" s="2" t="inlineStr"/>
      <c r="H11" s="2" t="inlineStr"/>
      <c r="I11" s="2" t="inlineStr">
        <is>
          <t>FMBOE</t>
        </is>
      </c>
      <c r="J11" s="2" t="inlineStr">
        <is>
          <t>Boedo</t>
        </is>
      </c>
      <c r="K11" s="2" t="inlineStr"/>
      <c r="L11" s="2" t="inlineStr">
        <is>
          <t>Cerrado</t>
        </is>
      </c>
      <c r="M11" s="2" t="inlineStr">
        <is>
          <t>2026-02-21 01:00:04</t>
        </is>
      </c>
      <c r="N11" s="2" t="inlineStr">
        <is>
          <t>Lucas Ale</t>
        </is>
      </c>
      <c r="O11" s="2" t="inlineStr">
        <is>
          <t>2026-02-16 14:26:07</t>
        </is>
      </c>
      <c r="P11" s="2" t="inlineStr">
        <is>
          <t>Cafetera boedo
Ticket número: 111940
Serie número:1860967
Hora de servicio: 30m
Se revisó cafetera y se encontró pérdida de vapor por la válvula de seguridad que está abierta por lo tanto va seguir perdiendo vapor seguir condensando el agua y haga saltar diyuntor.
Repuestos: 
-válvula de sobrepresion
-acople superior de caldera con boquilla de 6mm
-embudo de pastilla de lavado
Cafetera inoperativa.</t>
        </is>
      </c>
      <c r="Q11" s="2" t="inlineStr">
        <is>
          <t>EQUIPOS;CAFETERAS CIMBALI</t>
        </is>
      </c>
      <c r="R11" s="2" t="inlineStr">
        <is>
          <t>2026-02-16 09:07:34</t>
        </is>
      </c>
      <c r="S11" s="2" t="n">
        <v>60</v>
      </c>
      <c r="T11" s="2" t="inlineStr"/>
      <c r="U11" s="2" t="inlineStr">
        <is>
          <t>Zona 1 — CABA / GBA Cercano (≤30 km)</t>
        </is>
      </c>
      <c r="V11" s="2" t="n">
        <v>3.7</v>
      </c>
      <c r="W11" s="2" t="n">
        <v>35</v>
      </c>
      <c r="X11" s="2" t="n">
        <v>2</v>
      </c>
      <c r="Y11" s="2" t="n">
        <v>2</v>
      </c>
      <c r="Z11" s="2" t="n">
        <v>0</v>
      </c>
      <c r="AA11" s="2" t="n">
        <v>0</v>
      </c>
      <c r="AB11" s="2" t="n">
        <v>0</v>
      </c>
      <c r="AC11" s="2" t="n">
        <v>0</v>
      </c>
      <c r="AD11" s="2" t="n">
        <v>2</v>
      </c>
      <c r="AE11" s="3">
        <f>AD11*35.0</f>
        <v/>
      </c>
      <c r="AF11" s="2" t="inlineStr">
        <is>
          <t>Skill: Reglas Técnicas</t>
        </is>
      </c>
      <c r="AG11" s="2" t="inlineStr"/>
      <c r="AH11" s="2" t="inlineStr">
        <is>
          <t>Boedo</t>
        </is>
      </c>
    </row>
    <row r="12">
      <c r="A12" s="2" t="n">
        <v>112954</v>
      </c>
      <c r="B12" s="2" t="inlineStr">
        <is>
          <t>Equipo salta el disyuntor o térmica</t>
        </is>
      </c>
      <c r="C12" s="2" t="inlineStr">
        <is>
          <t>-</t>
        </is>
      </c>
      <c r="D12" s="2" t="inlineStr"/>
      <c r="E12" s="2" t="inlineStr">
        <is>
          <t>Urgente</t>
        </is>
      </c>
      <c r="F12" s="2" t="inlineStr"/>
      <c r="G12" s="2" t="inlineStr"/>
      <c r="H12" s="2" t="inlineStr"/>
      <c r="I12" s="2" t="inlineStr">
        <is>
          <t>FMBLV</t>
        </is>
      </c>
      <c r="J12" s="2" t="inlineStr">
        <is>
          <t>Bolivar</t>
        </is>
      </c>
      <c r="K12" s="2" t="inlineStr"/>
      <c r="L12" s="2" t="inlineStr">
        <is>
          <t>Cerrado</t>
        </is>
      </c>
      <c r="M12" s="2" t="inlineStr">
        <is>
          <t>2026-03-02 01:00:05</t>
        </is>
      </c>
      <c r="N12" s="2" t="inlineStr">
        <is>
          <t>Lucas Ale</t>
        </is>
      </c>
      <c r="O12" s="2" t="inlineStr">
        <is>
          <t>2026-02-25 09:28:02</t>
        </is>
      </c>
      <c r="P12" s="2" t="inlineStr">
        <is>
          <t>Tk duplicado</t>
        </is>
      </c>
      <c r="Q12" s="2" t="inlineStr">
        <is>
          <t>EQUIPOS;CAFETERAS CIMBALI</t>
        </is>
      </c>
      <c r="R12" s="2" t="inlineStr">
        <is>
          <t>2026-02-25 09:24:45</t>
        </is>
      </c>
      <c r="S12" s="2" t="inlineStr"/>
      <c r="T12" s="2" t="inlineStr"/>
      <c r="U12" s="2" t="inlineStr">
        <is>
          <t>Zona 3+ — GBA Lejano / Interior (&gt;60 km)</t>
        </is>
      </c>
      <c r="V12" s="2" t="n">
        <v>415.9</v>
      </c>
      <c r="W12" s="2" t="n">
        <v>35</v>
      </c>
      <c r="X12" s="2" t="n">
        <v>4</v>
      </c>
      <c r="Y12" s="2" t="n">
        <v>2</v>
      </c>
      <c r="Z12" s="2" t="n">
        <v>0</v>
      </c>
      <c r="AA12" s="2" t="n">
        <v>0</v>
      </c>
      <c r="AB12" s="2" t="n">
        <v>0</v>
      </c>
      <c r="AC12" s="2" t="n">
        <v>0</v>
      </c>
      <c r="AD12" s="2" t="n">
        <v>0</v>
      </c>
      <c r="AE12" s="3">
        <f>AD12*35.0</f>
        <v/>
      </c>
      <c r="AF12" s="2" t="inlineStr">
        <is>
          <t>Ticket Repetido/Duplicado</t>
        </is>
      </c>
      <c r="AG12" s="2" t="inlineStr"/>
      <c r="AH12" s="2" t="inlineStr">
        <is>
          <t>Bolivar</t>
        </is>
      </c>
    </row>
    <row r="13">
      <c r="A13" s="2" t="n">
        <v>110586</v>
      </c>
      <c r="B13" s="2" t="inlineStr">
        <is>
          <t>Equipo salta el disyuntor o térmica</t>
        </is>
      </c>
      <c r="C13" s="2" t="inlineStr">
        <is>
          <t>-</t>
        </is>
      </c>
      <c r="D13" s="2" t="inlineStr"/>
      <c r="E13" s="2" t="inlineStr">
        <is>
          <t>Urgente</t>
        </is>
      </c>
      <c r="F13" s="2" t="inlineStr">
        <is>
          <t>Fotos</t>
        </is>
      </c>
      <c r="G13" s="2" t="inlineStr">
        <is>
          <t>Lucas Ale</t>
        </is>
      </c>
      <c r="H13" s="2" t="inlineStr">
        <is>
          <t>2026-02-04 19:35:03</t>
        </is>
      </c>
      <c r="I13" s="2" t="inlineStr">
        <is>
          <t>FCABI</t>
        </is>
      </c>
      <c r="J13" s="2" t="inlineStr">
        <is>
          <t>Cabildo</t>
        </is>
      </c>
      <c r="K13" s="2" t="inlineStr"/>
      <c r="L13" s="2" t="inlineStr">
        <is>
          <t>Cerrado</t>
        </is>
      </c>
      <c r="M13" s="2" t="inlineStr">
        <is>
          <t>2026-02-09 01:00:05</t>
        </is>
      </c>
      <c r="N13" s="2" t="inlineStr">
        <is>
          <t>Lucas Ale</t>
        </is>
      </c>
      <c r="O13" s="2" t="inlineStr">
        <is>
          <t>2026-02-04 19:35:12</t>
        </is>
      </c>
      <c r="P13" s="2" t="inlineStr">
        <is>
          <t>Cafetera  Cabildo 
Tk n:110586
Hora de servicio: 2h
Se encontró con la cafetera apagada.
Se realizó cambio de válvula de seguridad y se hizo los lavados requeridos.
Se realizó una limpieza profunda muelas y grupo.
Se realizó puesta 0 y calibración de las dos moliendas.
Se calibró leche y espuma.
Observaciones: cafetera en muy mal estado con óxido debido al tanto tiempo parada la cafetera
Se recomienda conseguir filtro de leche para evitar futuros problemas con la bomba / circuito de leche.
Cafetera 2 
Se destapó manguera de matcha
Cafetera operando.</t>
        </is>
      </c>
      <c r="Q13" s="2" t="inlineStr">
        <is>
          <t>EQUIPOS;CAFETERAS CIMBALI</t>
        </is>
      </c>
      <c r="R13" s="2" t="inlineStr">
        <is>
          <t>2026-02-03 16:32:46</t>
        </is>
      </c>
      <c r="S13" s="2" t="n">
        <v>213</v>
      </c>
      <c r="T13" s="2" t="n">
        <v>113</v>
      </c>
      <c r="U13" s="2" t="inlineStr">
        <is>
          <t>Zona 1 — CABA / GBA Cercano (≤30 km)</t>
        </is>
      </c>
      <c r="V13" s="2" t="n">
        <v>9</v>
      </c>
      <c r="W13" s="2" t="n">
        <v>35</v>
      </c>
      <c r="X13" s="2" t="n">
        <v>2</v>
      </c>
      <c r="Y13" s="2" t="n">
        <v>6</v>
      </c>
      <c r="Z13" s="2" t="n">
        <v>0</v>
      </c>
      <c r="AA13" s="2" t="n">
        <v>0</v>
      </c>
      <c r="AB13" s="2" t="n">
        <v>2</v>
      </c>
      <c r="AC13" s="2" t="n">
        <v>0</v>
      </c>
      <c r="AD13" s="2" t="n">
        <v>2</v>
      </c>
      <c r="AE13" s="3">
        <f>AD13*35.0</f>
        <v/>
      </c>
      <c r="AF13" s="2" t="inlineStr">
        <is>
          <t>Skill: Base Técnicos | Skill: Reglas Técnicas</t>
        </is>
      </c>
      <c r="AG13" s="2" t="inlineStr"/>
      <c r="AH13" s="2" t="inlineStr">
        <is>
          <t>Cabildo</t>
        </is>
      </c>
    </row>
    <row r="14">
      <c r="A14" s="2" t="n">
        <v>110739</v>
      </c>
      <c r="B14" s="2" t="inlineStr">
        <is>
          <t>ER 021  y 022 - Anomalía en movimiento de las muelas</t>
        </is>
      </c>
      <c r="C14" s="2" t="inlineStr">
        <is>
          <t>-</t>
        </is>
      </c>
      <c r="D14" s="2" t="inlineStr">
        <is>
          <t>No sale cafe y está húmedo por dentro</t>
        </is>
      </c>
      <c r="E14" s="2" t="inlineStr">
        <is>
          <t>Urgente</t>
        </is>
      </c>
      <c r="F14" s="2" t="inlineStr"/>
      <c r="G14" s="2" t="inlineStr"/>
      <c r="H14" s="2" t="inlineStr"/>
      <c r="I14" s="2" t="inlineStr">
        <is>
          <t>FCABI</t>
        </is>
      </c>
      <c r="J14" s="2" t="inlineStr">
        <is>
          <t>Cabildo</t>
        </is>
      </c>
      <c r="K14" s="2" t="inlineStr"/>
      <c r="L14" s="2" t="inlineStr">
        <is>
          <t>Cerrado</t>
        </is>
      </c>
      <c r="M14" s="2" t="inlineStr">
        <is>
          <t>2026-02-10 01:00:06</t>
        </is>
      </c>
      <c r="N14" s="2" t="inlineStr">
        <is>
          <t>Bruno Leyes</t>
        </is>
      </c>
      <c r="O14" s="2" t="inlineStr">
        <is>
          <t>2026-02-05 19:40:39</t>
        </is>
      </c>
      <c r="P14" s="2" t="inlineStr">
        <is>
          <t>Tiempo de servicio: 4;00 hrs
Se le coloco el oring de la valvula de sobrepresion cambiada a la nueva que estaba colocada ya que tenía una pequeña fuga de vapor y humedeció todo el cafe y la maquina, también se destrabo y calibro las muelas en donde se encontró café molido en mal estado obstruyendo la salida. El filtro de la bomba estaba tapado con caucho del mismo flexible por lo cual se lo purgo para que expulse todos los restos qué le quedaban por el momento.
Repuestos a solicitar:
•pico de café
•flexible de bomba de agua 
•sensor de temperatura
•se recomienda cambiar el filtro del agua</t>
        </is>
      </c>
      <c r="Q14" s="2" t="inlineStr">
        <is>
          <t>EQUIPOS;CAFETERAS CIMBALI</t>
        </is>
      </c>
      <c r="R14" s="2" t="inlineStr">
        <is>
          <t>2026-02-05 08:54:46</t>
        </is>
      </c>
      <c r="S14" s="2" t="n">
        <v>110</v>
      </c>
      <c r="T14" s="2" t="n">
        <v>10</v>
      </c>
      <c r="U14" s="2" t="inlineStr">
        <is>
          <t>Zona 1 — CABA / GBA Cercano (≤30 km)</t>
        </is>
      </c>
      <c r="V14" s="2" t="n">
        <v>9</v>
      </c>
      <c r="W14" s="2" t="n">
        <v>35</v>
      </c>
      <c r="X14" s="2" t="n">
        <v>2</v>
      </c>
      <c r="Y14" s="2" t="n">
        <v>4</v>
      </c>
      <c r="Z14" s="2" t="n">
        <v>0</v>
      </c>
      <c r="AA14" s="2" t="n">
        <v>0</v>
      </c>
      <c r="AB14" s="2" t="n">
        <v>4</v>
      </c>
      <c r="AC14" s="2" t="n">
        <v>4</v>
      </c>
      <c r="AD14" s="2" t="n">
        <v>4</v>
      </c>
      <c r="AE14" s="3">
        <f>AD14*35.0</f>
        <v/>
      </c>
      <c r="AF14" s="2" t="inlineStr">
        <is>
          <t>Skill: Base Técnicos | Skill: Resolución | Skill: Reglas Técnicas</t>
        </is>
      </c>
      <c r="AG14" s="2" t="inlineStr"/>
      <c r="AH14" s="2" t="inlineStr">
        <is>
          <t>Cabildo</t>
        </is>
      </c>
    </row>
    <row r="15">
      <c r="A15" s="2" t="n">
        <v>110758</v>
      </c>
      <c r="B15" s="2" t="inlineStr">
        <is>
          <t>ER 021  y 022 - Anomalía en movimiento de las muelas</t>
        </is>
      </c>
      <c r="C15" s="2" t="inlineStr">
        <is>
          <t>-</t>
        </is>
      </c>
      <c r="D15" s="2" t="inlineStr">
        <is>
          <t>Se tapa la cafetera</t>
        </is>
      </c>
      <c r="E15" s="2" t="inlineStr">
        <is>
          <t>Urgente</t>
        </is>
      </c>
      <c r="F15" s="2" t="inlineStr"/>
      <c r="G15" s="2" t="inlineStr"/>
      <c r="H15" s="2" t="inlineStr"/>
      <c r="I15" s="2" t="inlineStr">
        <is>
          <t>FCABI</t>
        </is>
      </c>
      <c r="J15" s="2" t="inlineStr">
        <is>
          <t>Cabildo</t>
        </is>
      </c>
      <c r="K15" s="2" t="inlineStr"/>
      <c r="L15" s="2" t="inlineStr">
        <is>
          <t>Cerrado</t>
        </is>
      </c>
      <c r="M15" s="2" t="inlineStr">
        <is>
          <t>2026-02-10 01:00:06</t>
        </is>
      </c>
      <c r="N15" s="2" t="inlineStr">
        <is>
          <t>Bruno Leyes</t>
        </is>
      </c>
      <c r="O15" s="2" t="inlineStr">
        <is>
          <t>2026-02-05 19:45:06</t>
        </is>
      </c>
      <c r="P15" s="2" t="inlineStr">
        <is>
          <t>Tiempo de servicio: 4;00 hrs
Se destapó la salida de la cafetera, se calibro.
 Ya quedo operando correctamente ambas cafeteras</t>
        </is>
      </c>
      <c r="Q15" s="2" t="inlineStr">
        <is>
          <t>EQUIPOS;CAFETERAS CIMBALI</t>
        </is>
      </c>
      <c r="R15" s="2" t="inlineStr">
        <is>
          <t>2026-02-05 09:34:43</t>
        </is>
      </c>
      <c r="S15" s="2" t="n">
        <v>100</v>
      </c>
      <c r="T15" s="2" t="inlineStr"/>
      <c r="U15" s="2" t="inlineStr">
        <is>
          <t>Zona 1 — CABA / GBA Cercano (≤30 km)</t>
        </is>
      </c>
      <c r="V15" s="2" t="n">
        <v>9</v>
      </c>
      <c r="W15" s="2" t="n">
        <v>35</v>
      </c>
      <c r="X15" s="2" t="n">
        <v>2</v>
      </c>
      <c r="Y15" s="2" t="n">
        <v>4</v>
      </c>
      <c r="Z15" s="2" t="n">
        <v>0</v>
      </c>
      <c r="AA15" s="2" t="n">
        <v>0</v>
      </c>
      <c r="AB15" s="2" t="n">
        <v>0</v>
      </c>
      <c r="AC15" s="2" t="n">
        <v>4</v>
      </c>
      <c r="AD15" s="2" t="n">
        <v>4</v>
      </c>
      <c r="AE15" s="3">
        <f>AD15*35.0</f>
        <v/>
      </c>
      <c r="AF15" s="2" t="inlineStr">
        <is>
          <t>Skill: Resolución | Skill: Reglas Técnicas</t>
        </is>
      </c>
      <c r="AG15" s="2" t="inlineStr"/>
      <c r="AH15" s="2" t="inlineStr">
        <is>
          <t>Cabildo</t>
        </is>
      </c>
    </row>
    <row r="16">
      <c r="A16" s="2" t="n">
        <v>110888</v>
      </c>
      <c r="B16" s="2" t="inlineStr">
        <is>
          <t>ER 021  y 022 - Anomalía en movimiento de las muelas</t>
        </is>
      </c>
      <c r="C16" s="2" t="inlineStr">
        <is>
          <t>-</t>
        </is>
      </c>
      <c r="D16" s="2" t="inlineStr">
        <is>
          <t>Hola, buen dia. Una de las cafeteras no se encuentra funcionando correctamente. No sale cafe</t>
        </is>
      </c>
      <c r="E16" s="2" t="inlineStr">
        <is>
          <t>Urgente</t>
        </is>
      </c>
      <c r="F16" s="2" t="inlineStr">
        <is>
          <t>Fotos</t>
        </is>
      </c>
      <c r="G16" s="2" t="inlineStr">
        <is>
          <t>Lucas Ale</t>
        </is>
      </c>
      <c r="H16" s="2" t="inlineStr">
        <is>
          <t>2026-02-07 15:15:58</t>
        </is>
      </c>
      <c r="I16" s="2" t="inlineStr">
        <is>
          <t>FCABI</t>
        </is>
      </c>
      <c r="J16" s="2" t="inlineStr">
        <is>
          <t>Cabildo</t>
        </is>
      </c>
      <c r="K16" s="2" t="inlineStr"/>
      <c r="L16" s="2" t="inlineStr">
        <is>
          <t>Cerrado</t>
        </is>
      </c>
      <c r="M16" s="2" t="inlineStr">
        <is>
          <t>2026-02-12 01:00:05</t>
        </is>
      </c>
      <c r="N16" s="2" t="inlineStr">
        <is>
          <t>Lucas Ale</t>
        </is>
      </c>
      <c r="O16" s="2" t="inlineStr">
        <is>
          <t>2026-02-07 15:16:08</t>
        </is>
      </c>
      <c r="P16" s="2" t="inlineStr">
        <is>
          <t>Cafetera Cabildo 
Tk n: 110888
Serie n 1840650
Hora de servicio 2h
Se encontraron con las cafeteras sin que anden las moliendas.
Se notó que algunas de las tolvas estaban mal colocadas de igual manera se hizo una puesta 0 y calibración ya que la otra molienda estaba mal calibrada.
Se limpió y sacó óxido de la cafetera.
Se repuso tornillo faltante en la rueda dentada ya que no lo tenía.
Observaciones: difusor de café roto 
Cafetera operando.
Cafetera 2 
Se encontró  la cafetera sin que anden las moliendas y fue tambien por mala colocación de tolva mm2.
Se realizó de igual manera puesta 0 y calibración de moliendas ya que el café estaba aguado.
Se destapó matcha lleno de granos de café .
Cafetera operando
(Reveer las recetas de las 2 cafeteras ya que una tiene mucha dosis de café y la otra muy baja)</t>
        </is>
      </c>
      <c r="Q16" s="2" t="inlineStr">
        <is>
          <t>EQUIPOS;CAFETERAS CIMBALI</t>
        </is>
      </c>
      <c r="R16" s="2" t="inlineStr">
        <is>
          <t>2026-02-06 15:04:34</t>
        </is>
      </c>
      <c r="S16" s="2" t="n">
        <v>191</v>
      </c>
      <c r="T16" s="2" t="n">
        <v>91</v>
      </c>
      <c r="U16" s="2" t="inlineStr">
        <is>
          <t>Zona 1 — CABA / GBA Cercano (≤30 km)</t>
        </is>
      </c>
      <c r="V16" s="2" t="n">
        <v>9</v>
      </c>
      <c r="W16" s="2" t="n">
        <v>35</v>
      </c>
      <c r="X16" s="2" t="n">
        <v>2</v>
      </c>
      <c r="Y16" s="2" t="n">
        <v>2</v>
      </c>
      <c r="Z16" s="2" t="n">
        <v>0</v>
      </c>
      <c r="AA16" s="2" t="n">
        <v>0</v>
      </c>
      <c r="AB16" s="2" t="n">
        <v>0</v>
      </c>
      <c r="AC16" s="2" t="n">
        <v>0</v>
      </c>
      <c r="AD16" s="2" t="n">
        <v>2</v>
      </c>
      <c r="AE16" s="3">
        <f>AD16*35.0</f>
        <v/>
      </c>
      <c r="AF16" s="2" t="inlineStr">
        <is>
          <t>Skill: Reglas Técnicas</t>
        </is>
      </c>
      <c r="AG16" s="2" t="inlineStr"/>
      <c r="AH16" s="2" t="inlineStr">
        <is>
          <t>Cabildo</t>
        </is>
      </c>
    </row>
    <row r="17">
      <c r="A17" s="2" t="n">
        <v>111020</v>
      </c>
      <c r="B17" s="2" t="inlineStr">
        <is>
          <t>Otros trabajos, detallar en comentarios</t>
        </is>
      </c>
      <c r="C17" s="2" t="inlineStr">
        <is>
          <t>-</t>
        </is>
      </c>
      <c r="D17" s="2" t="inlineStr">
        <is>
          <t>Shake no funciona!</t>
        </is>
      </c>
      <c r="E17" s="2" t="inlineStr">
        <is>
          <t>Baja</t>
        </is>
      </c>
      <c r="F17" s="2" t="inlineStr"/>
      <c r="G17" s="2" t="inlineStr"/>
      <c r="H17" s="2" t="inlineStr"/>
      <c r="I17" s="2" t="inlineStr">
        <is>
          <t>FCABI</t>
        </is>
      </c>
      <c r="J17" s="2" t="inlineStr">
        <is>
          <t>Cabildo</t>
        </is>
      </c>
      <c r="K17" s="2" t="inlineStr"/>
      <c r="L17" s="2" t="inlineStr">
        <is>
          <t>Cerrado</t>
        </is>
      </c>
      <c r="M17" s="2" t="inlineStr">
        <is>
          <t>2026-02-12 01:00:05</t>
        </is>
      </c>
      <c r="N17" s="2" t="inlineStr">
        <is>
          <t>Lucas Ale</t>
        </is>
      </c>
      <c r="O17" s="2" t="inlineStr">
        <is>
          <t>2026-02-07 17:06:45</t>
        </is>
      </c>
      <c r="P17" s="2" t="inlineStr">
        <is>
          <t>Resuelto</t>
        </is>
      </c>
      <c r="Q17" s="2" t="inlineStr">
        <is>
          <t>;OTROS</t>
        </is>
      </c>
      <c r="R17" s="2" t="inlineStr">
        <is>
          <t>2026-02-07 16:33:48</t>
        </is>
      </c>
      <c r="S17" s="2" t="inlineStr"/>
      <c r="T17" s="2" t="inlineStr"/>
      <c r="U17" s="2" t="inlineStr">
        <is>
          <t>Zona 1 — CABA / GBA Cercano (≤30 km)</t>
        </is>
      </c>
      <c r="V17" s="2" t="n">
        <v>9</v>
      </c>
      <c r="W17" s="2" t="n">
        <v>35</v>
      </c>
      <c r="X17" s="2" t="n">
        <v>2</v>
      </c>
      <c r="Y17" s="2" t="n">
        <v>2</v>
      </c>
      <c r="Z17" s="2" t="n">
        <v>0</v>
      </c>
      <c r="AA17" s="2" t="n">
        <v>0</v>
      </c>
      <c r="AB17" s="2" t="n">
        <v>0</v>
      </c>
      <c r="AC17" s="2" t="n">
        <v>0</v>
      </c>
      <c r="AD17" s="2" t="n">
        <v>2</v>
      </c>
      <c r="AE17" s="3">
        <f>AD17*35.0</f>
        <v/>
      </c>
      <c r="AF17" s="2" t="inlineStr">
        <is>
          <t>Skill: Reglas Técnicas</t>
        </is>
      </c>
      <c r="AG17" s="2" t="inlineStr"/>
      <c r="AH17" s="2" t="inlineStr">
        <is>
          <t>Cabildo</t>
        </is>
      </c>
    </row>
    <row r="18">
      <c r="A18" s="2" t="n">
        <v>111790</v>
      </c>
      <c r="B18" s="2" t="inlineStr">
        <is>
          <t>ER 021  y 022 - Anomalía en movimiento de las muelas</t>
        </is>
      </c>
      <c r="C18" s="2" t="inlineStr">
        <is>
          <t>-</t>
        </is>
      </c>
      <c r="D18" s="2" t="inlineStr">
        <is>
          <t>Muelas de cafetera 2 trabadas más especifico mm1
Cafetera 1 no sale latte ni expreso corto</t>
        </is>
      </c>
      <c r="E18" s="2" t="inlineStr">
        <is>
          <t>Urgente</t>
        </is>
      </c>
      <c r="F18" s="2" t="inlineStr"/>
      <c r="G18" s="2" t="inlineStr"/>
      <c r="H18" s="2" t="inlineStr"/>
      <c r="I18" s="2" t="inlineStr">
        <is>
          <t>FCABI</t>
        </is>
      </c>
      <c r="J18" s="2" t="inlineStr">
        <is>
          <t>Cabildo</t>
        </is>
      </c>
      <c r="K18" s="2" t="inlineStr"/>
      <c r="L18" s="2" t="inlineStr">
        <is>
          <t>Cerrado</t>
        </is>
      </c>
      <c r="M18" s="2" t="inlineStr">
        <is>
          <t>2026-02-19 01:00:04</t>
        </is>
      </c>
      <c r="N18" s="2" t="inlineStr">
        <is>
          <t>Nahuel Loubiere</t>
        </is>
      </c>
      <c r="O18" s="2" t="inlineStr">
        <is>
          <t>2026-02-14 15:41:39</t>
        </is>
      </c>
      <c r="P18" s="2" t="inlineStr">
        <is>
          <t>Estimados,
Por favor no duplicar los tk
Saludos</t>
        </is>
      </c>
      <c r="Q18" s="2" t="inlineStr">
        <is>
          <t>EQUIPOS;CAFETERAS CIMBALI</t>
        </is>
      </c>
      <c r="R18" s="2" t="inlineStr">
        <is>
          <t>2026-02-14 15:40:07</t>
        </is>
      </c>
      <c r="S18" s="2" t="inlineStr"/>
      <c r="T18" s="2" t="inlineStr"/>
      <c r="U18" s="2" t="inlineStr">
        <is>
          <t>Zona 1 — CABA / GBA Cercano (≤30 km)</t>
        </is>
      </c>
      <c r="V18" s="2" t="n">
        <v>9</v>
      </c>
      <c r="W18" s="2" t="n">
        <v>35</v>
      </c>
      <c r="X18" s="2" t="n">
        <v>2</v>
      </c>
      <c r="Y18" s="2" t="n">
        <v>2</v>
      </c>
      <c r="Z18" s="2" t="n">
        <v>0</v>
      </c>
      <c r="AA18" s="2" t="n">
        <v>0</v>
      </c>
      <c r="AB18" s="2" t="n">
        <v>0</v>
      </c>
      <c r="AC18" s="2" t="n">
        <v>0</v>
      </c>
      <c r="AD18" s="2" t="n">
        <v>2</v>
      </c>
      <c r="AE18" s="3">
        <f>AD18*35.0</f>
        <v/>
      </c>
      <c r="AF18" s="2" t="inlineStr">
        <is>
          <t>Skill: Reglas Técnicas</t>
        </is>
      </c>
      <c r="AG18" s="2" t="inlineStr"/>
      <c r="AH18" s="2" t="inlineStr">
        <is>
          <t>Cabildo</t>
        </is>
      </c>
    </row>
    <row r="19">
      <c r="A19" s="2" t="n">
        <v>111781</v>
      </c>
      <c r="B19" s="2" t="inlineStr">
        <is>
          <t>ER 021  y 022 - Anomalía en movimiento de las muelas</t>
        </is>
      </c>
      <c r="C19" s="2" t="inlineStr">
        <is>
          <t>-</t>
        </is>
      </c>
      <c r="D19" s="2" t="inlineStr">
        <is>
          <t>Ambas cafeteras se encuentran con una de las moliendas trabadas. Por ejemplo: Cafetera 1: solo sale café con capu/cortado. Cafetera 2: Solo con latte y expreso.</t>
        </is>
      </c>
      <c r="E19" s="2" t="inlineStr">
        <is>
          <t>Urgente</t>
        </is>
      </c>
      <c r="F19" s="2" t="inlineStr"/>
      <c r="G19" s="2" t="inlineStr"/>
      <c r="H19" s="2" t="inlineStr"/>
      <c r="I19" s="2" t="inlineStr">
        <is>
          <t>FCABI</t>
        </is>
      </c>
      <c r="J19" s="2" t="inlineStr">
        <is>
          <t>Cabildo</t>
        </is>
      </c>
      <c r="K19" s="2" t="inlineStr"/>
      <c r="L19" s="2" t="inlineStr">
        <is>
          <t>Cerrado</t>
        </is>
      </c>
      <c r="M19" s="2" t="inlineStr">
        <is>
          <t>2026-02-19 01:00:04</t>
        </is>
      </c>
      <c r="N19" s="2" t="inlineStr">
        <is>
          <t>Bruno Leyes</t>
        </is>
      </c>
      <c r="O19" s="2" t="inlineStr">
        <is>
          <t>2026-02-14 18:47:11</t>
        </is>
      </c>
      <c r="P19" s="2" t="inlineStr">
        <is>
          <t>Tiempo de servicio: 2:10 hrs
La cafetera se encontraba trabada por pedazo de plástico, se dejó calibrada.
Observaciones: tiene una fuga de vapor en un acople. Pistón superior y kit de oring desgastados, elf 3 faltante 
Repuestos a solicitar:
•acople "T" 1/4 con boquillas de 6mm(racor 1/4)
•elf 3
•pistón superior D.44
•kit de oring de grupo</t>
        </is>
      </c>
      <c r="Q19" s="2" t="inlineStr">
        <is>
          <t>EQUIPOS;CAFETERAS CIMBALI</t>
        </is>
      </c>
      <c r="R19" s="2" t="inlineStr">
        <is>
          <t>2026-02-14 14:17:28</t>
        </is>
      </c>
      <c r="S19" s="2" t="n">
        <v>50</v>
      </c>
      <c r="T19" s="2" t="inlineStr"/>
      <c r="U19" s="2" t="inlineStr">
        <is>
          <t>Zona 1 — CABA / GBA Cercano (≤30 km)</t>
        </is>
      </c>
      <c r="V19" s="2" t="n">
        <v>9</v>
      </c>
      <c r="W19" s="2" t="n">
        <v>35</v>
      </c>
      <c r="X19" s="2" t="n">
        <v>2</v>
      </c>
      <c r="Y19" s="2" t="n">
        <v>2</v>
      </c>
      <c r="Z19" s="2" t="n">
        <v>0</v>
      </c>
      <c r="AA19" s="2" t="n">
        <v>0</v>
      </c>
      <c r="AB19" s="2" t="n">
        <v>0</v>
      </c>
      <c r="AC19" s="2" t="n">
        <v>2</v>
      </c>
      <c r="AD19" s="2" t="n">
        <v>2</v>
      </c>
      <c r="AE19" s="3">
        <f>AD19*35.0</f>
        <v/>
      </c>
      <c r="AF19" s="2" t="inlineStr">
        <is>
          <t>Skill: Resolución | Skill: Reglas Técnicas</t>
        </is>
      </c>
      <c r="AG19" s="2" t="inlineStr"/>
      <c r="AH19" s="2" t="inlineStr">
        <is>
          <t>Cabildo</t>
        </is>
      </c>
    </row>
    <row r="20">
      <c r="A20" s="2" t="n">
        <v>112700</v>
      </c>
      <c r="B20" s="2" t="inlineStr">
        <is>
          <t>ER 008 - Timeout manipulación grupo, falla en bloque mecanico</t>
        </is>
      </c>
      <c r="C20" s="2" t="inlineStr">
        <is>
          <t>-</t>
        </is>
      </c>
      <c r="D20" s="2" t="inlineStr">
        <is>
          <t>Hola la cafetera esta pidiendo lavado constantemente ,no sale agua ni café, tira el error 8  ,esta así desde las 6am</t>
        </is>
      </c>
      <c r="E20" s="2" t="inlineStr">
        <is>
          <t>Urgente</t>
        </is>
      </c>
      <c r="F20" s="2" t="inlineStr"/>
      <c r="G20" s="2" t="inlineStr"/>
      <c r="H20" s="2" t="inlineStr"/>
      <c r="I20" s="2" t="inlineStr">
        <is>
          <t>FMCAN</t>
        </is>
      </c>
      <c r="J20" s="2" t="inlineStr">
        <is>
          <t>Canning</t>
        </is>
      </c>
      <c r="K20" s="2" t="inlineStr"/>
      <c r="L20" s="2" t="inlineStr">
        <is>
          <t>Cerrado</t>
        </is>
      </c>
      <c r="M20" s="2" t="inlineStr">
        <is>
          <t>2026-02-28 01:00:04</t>
        </is>
      </c>
      <c r="N20" s="2" t="inlineStr">
        <is>
          <t>Cristian Merlo</t>
        </is>
      </c>
      <c r="O20" s="2" t="inlineStr">
        <is>
          <t>2026-02-23 16:42:31</t>
        </is>
      </c>
      <c r="P20" s="2" t="inlineStr">
        <is>
          <t>3 horas de trabajo bajo el concepto de "Mantenimiento Profundo/Desarme", dado que la extracción de sólidos acumulados suele implicar desarmar partes del chasis o el grupo para acceder a zonas críticas.
INFORME DE SERVICIO TÉCNICO
1. DATOS DE LA INTERVENCIÓN
Tiempo de Labor: 03:00 hs.
2. ESTADO DEL EQUIPO
Estado Final: 🟢 OPERATIVA
3. DETALLE TÉCNICO DE LA INTERVENCIÓN
Mantenimiento Correctivo Integral:
Incidencia: El equipo presentaba acumulación severa de residuos que afectaba el funcionamiento de los componentes electromecánicos.
Trabajos Realizados:
Grupo Erogador: Desarme y limpieza profunda del mecanismo del grupo.
Sensores: Limpieza técnica de los sensores (de posición/presencia) para restablecer la lectura correcta y evitar fallas de ciclo.
Chasis/Habitáculo: Se procedió a la extracción manual de residuos sólidos (café compactado/restos) acumulados en el interior del gabinete y zonas de difícil acceso.
4. OBSERVACIONES
El equipo queda limpio y funcionando correctamente tras la intervención.
Repuestos utilizados: Ninguno (Solo mano de obra y limpieza técnica).
Técnico:
Fernando Soria</t>
        </is>
      </c>
      <c r="Q20" s="2" t="inlineStr">
        <is>
          <t>EQUIPOS;CAFETERAS CIMBALI</t>
        </is>
      </c>
      <c r="R20" s="2" t="inlineStr">
        <is>
          <t>2026-02-22 13:23:47</t>
        </is>
      </c>
      <c r="S20" s="2" t="n">
        <v>215</v>
      </c>
      <c r="T20" s="2" t="n">
        <v>115</v>
      </c>
      <c r="U20" s="2" t="inlineStr">
        <is>
          <t>Zona 2 — GBA Medio (30-60 km)</t>
        </is>
      </c>
      <c r="V20" s="2" t="n">
        <v>32.6</v>
      </c>
      <c r="W20" s="2" t="n">
        <v>35</v>
      </c>
      <c r="X20" s="2" t="n">
        <v>3</v>
      </c>
      <c r="Y20" s="2" t="n">
        <v>2</v>
      </c>
      <c r="Z20" s="2" t="n">
        <v>0</v>
      </c>
      <c r="AA20" s="2" t="n">
        <v>0</v>
      </c>
      <c r="AB20" s="2" t="n">
        <v>0</v>
      </c>
      <c r="AC20" s="2" t="n">
        <v>3</v>
      </c>
      <c r="AD20" s="2" t="n">
        <v>3</v>
      </c>
      <c r="AE20" s="3">
        <f>AD20*35.0</f>
        <v/>
      </c>
      <c r="AF20" s="2" t="inlineStr">
        <is>
          <t>Skill: Resolución | Skill: Reglas Técnicas</t>
        </is>
      </c>
      <c r="AG20" s="2" t="inlineStr"/>
      <c r="AH20" s="2" t="inlineStr">
        <is>
          <t>Canning</t>
        </is>
      </c>
    </row>
    <row r="21">
      <c r="A21" s="2" t="n">
        <v>112751</v>
      </c>
      <c r="B21" s="2" t="inlineStr">
        <is>
          <t>ER 003 - Cámara fuera de posición, maquina bloqueada</t>
        </is>
      </c>
      <c r="C21" s="2" t="inlineStr">
        <is>
          <t>-</t>
        </is>
      </c>
      <c r="D21" s="2" t="inlineStr">
        <is>
          <t>Buenos dias! La cafetera tira error 58 y pide el lavado reiteradas veces. No pertime realizar el lavado</t>
        </is>
      </c>
      <c r="E21" s="2" t="inlineStr">
        <is>
          <t>Urgente</t>
        </is>
      </c>
      <c r="F21" s="2" t="inlineStr"/>
      <c r="G21" s="2" t="inlineStr"/>
      <c r="H21" s="2" t="inlineStr"/>
      <c r="I21" s="2" t="inlineStr">
        <is>
          <t>FCFQU</t>
        </is>
      </c>
      <c r="J21" s="2" t="inlineStr">
        <is>
          <t>Carr Quilmes</t>
        </is>
      </c>
      <c r="K21" s="2" t="inlineStr"/>
      <c r="L21" s="2" t="inlineStr">
        <is>
          <t>Cerrado</t>
        </is>
      </c>
      <c r="M21" s="2" t="inlineStr">
        <is>
          <t>2026-03-01 01:00:04</t>
        </is>
      </c>
      <c r="N21" s="2" t="inlineStr">
        <is>
          <t>Bruno Leyes</t>
        </is>
      </c>
      <c r="O21" s="2" t="inlineStr">
        <is>
          <t>2026-02-24 12:48:02</t>
        </is>
      </c>
      <c r="P21" s="2" t="inlineStr">
        <is>
          <t>Tiempo de servicio: 3hrs
Cafetera no levantaba temperatura y no permitía hacer lavado. Se limpio circuito de leche la cual estaba lleno de leche condensada por falta del uso de líquido de lavado, se limpio elf3, bomba de leche y esm. Se encontró térmico partido, se tuvo que puentear los terminales hasta que consigan el repuesto. También se observo que la lanza de te no tenía buena salida de agua y la misma salia fría por lo que se procedió a sacar el pescador el cual se encontraba tapado. 
Observaciones: valvula de sobrepresion abierta. ablandador no se encuentra operando, tiene un sistema de filtrado antisarro no muy efectivo.
Repuestos a solicitar:
• Valvula de sobrepresion
•térmico lateral</t>
        </is>
      </c>
      <c r="Q21" s="2" t="inlineStr">
        <is>
          <t>EQUIPOS;CAFETERAS CIMBALI</t>
        </is>
      </c>
      <c r="R21" s="2" t="inlineStr">
        <is>
          <t>2026-02-23 07:12:58</t>
        </is>
      </c>
      <c r="S21" s="2" t="n">
        <v>234</v>
      </c>
      <c r="T21" s="2" t="n">
        <v>134</v>
      </c>
      <c r="U21" s="2" t="inlineStr">
        <is>
          <t>Zona 1 — CABA / GBA Cercano (≤30 km)</t>
        </is>
      </c>
      <c r="V21" s="2" t="n">
        <v>17.4</v>
      </c>
      <c r="W21" s="2" t="n">
        <v>35</v>
      </c>
      <c r="X21" s="2" t="n">
        <v>2</v>
      </c>
      <c r="Y21" s="2" t="n">
        <v>6</v>
      </c>
      <c r="Z21" s="2" t="n">
        <v>0</v>
      </c>
      <c r="AA21" s="2" t="n">
        <v>0</v>
      </c>
      <c r="AB21" s="2" t="n">
        <v>0</v>
      </c>
      <c r="AC21" s="2" t="n">
        <v>3</v>
      </c>
      <c r="AD21" s="2" t="n">
        <v>3</v>
      </c>
      <c r="AE21" s="3">
        <f>AD21*35.0</f>
        <v/>
      </c>
      <c r="AF21" s="2" t="inlineStr">
        <is>
          <t>Skill: Resolución | Skill: Reglas Técnicas</t>
        </is>
      </c>
      <c r="AG21" s="2" t="inlineStr"/>
      <c r="AH21" s="2" t="inlineStr">
        <is>
          <t>Carr Quilmes</t>
        </is>
      </c>
    </row>
    <row r="22">
      <c r="A22" s="2" t="n">
        <v>110774</v>
      </c>
      <c r="B22" s="2" t="inlineStr">
        <is>
          <t>ER 056 - Falla en sensor de temperatura</t>
        </is>
      </c>
      <c r="C22" s="2" t="inlineStr">
        <is>
          <t>-</t>
        </is>
      </c>
      <c r="D22" s="2" t="inlineStr">
        <is>
          <t>Buenas,al día de la fecha la cafetera no logra realizar el lavado de leche,haciendo que no la podamos utilizar.
Aguardo respuesta, muchas gracias</t>
        </is>
      </c>
      <c r="E22" s="2" t="inlineStr">
        <is>
          <t>Normal</t>
        </is>
      </c>
      <c r="F22" s="2" t="inlineStr">
        <is>
          <t>Fotos</t>
        </is>
      </c>
      <c r="G22" s="2" t="inlineStr">
        <is>
          <t>Lucas Ale</t>
        </is>
      </c>
      <c r="H22" s="2" t="inlineStr">
        <is>
          <t>2026-02-06 17:42:15</t>
        </is>
      </c>
      <c r="I22" s="2" t="inlineStr">
        <is>
          <t>FEZEA</t>
        </is>
      </c>
      <c r="J22" s="2" t="inlineStr">
        <is>
          <t>Ezeiza</t>
        </is>
      </c>
      <c r="K22" s="2" t="inlineStr"/>
      <c r="L22" s="2" t="inlineStr">
        <is>
          <t>Cerrado</t>
        </is>
      </c>
      <c r="M22" s="2" t="inlineStr">
        <is>
          <t>2026-02-11 01:00:06</t>
        </is>
      </c>
      <c r="N22" s="2" t="inlineStr">
        <is>
          <t>Lucas Ale</t>
        </is>
      </c>
      <c r="O22" s="2" t="inlineStr">
        <is>
          <t>2026-02-06 17:42:34</t>
        </is>
      </c>
      <c r="P22" s="2" t="inlineStr">
        <is>
          <t>Cafetera Ezeiza 
Tk n:110774
Serie n:1980865
Hora de servicio: 3h
Se encontró con la cafetera sin poder hacer lavados.
Se limpió el pescador de la caldera llena de sarro.
Se purgó flexible de agua
Se calibró leche y espuma
Observaciones: error 54 sensor de temperatura de grupo no influye el funcionamiento.
Sin filtro de leche
Revisar filtros o poner nuevos para evitar el sarro. El agua de dureza da 396 👎🏻
No cuentan con la válvula elf3
Repuestos :
Elf3 
Filtro de leche
Cafetera operativa.</t>
        </is>
      </c>
      <c r="Q22" s="2" t="inlineStr">
        <is>
          <t>EQUIPOS;CAFETERAS CIMBALI</t>
        </is>
      </c>
      <c r="R22" s="2" t="inlineStr">
        <is>
          <t>2026-02-05 11:22:41</t>
        </is>
      </c>
      <c r="S22" s="2" t="n">
        <v>25</v>
      </c>
      <c r="T22" s="2" t="inlineStr"/>
      <c r="U22" s="2" t="inlineStr">
        <is>
          <t>Zona 1 — CABA / GBA Cercano (≤30 km)</t>
        </is>
      </c>
      <c r="V22" s="2" t="n">
        <v>29.8</v>
      </c>
      <c r="W22" s="2" t="n">
        <v>35</v>
      </c>
      <c r="X22" s="2" t="n">
        <v>2</v>
      </c>
      <c r="Y22" s="2" t="n">
        <v>5</v>
      </c>
      <c r="Z22" s="2" t="n">
        <v>0</v>
      </c>
      <c r="AA22" s="2" t="n">
        <v>0</v>
      </c>
      <c r="AB22" s="2" t="n">
        <v>0</v>
      </c>
      <c r="AC22" s="2" t="n">
        <v>0</v>
      </c>
      <c r="AD22" s="2" t="n">
        <v>5</v>
      </c>
      <c r="AE22" s="3">
        <f>AD22*35.0</f>
        <v/>
      </c>
      <c r="AF22" s="2" t="inlineStr">
        <is>
          <t>Skill: Reglas Técnicas</t>
        </is>
      </c>
      <c r="AG22" s="2" t="inlineStr"/>
      <c r="AH22" s="2" t="inlineStr">
        <is>
          <t>Ezeiza</t>
        </is>
      </c>
    </row>
    <row r="23">
      <c r="A23" s="2" t="n">
        <v>112205</v>
      </c>
      <c r="B23" s="2" t="inlineStr">
        <is>
          <t>ER 062 a 065 - Calibrar equipo, filtros obstruidos o falla sensor, según error</t>
        </is>
      </c>
      <c r="C23" s="2" t="inlineStr">
        <is>
          <t>-</t>
        </is>
      </c>
      <c r="D23" s="2" t="inlineStr"/>
      <c r="E23" s="2" t="inlineStr">
        <is>
          <t>Normal</t>
        </is>
      </c>
      <c r="F23" s="2" t="inlineStr">
        <is>
          <t>?</t>
        </is>
      </c>
      <c r="G23" s="2" t="inlineStr">
        <is>
          <t>Lucas Ale</t>
        </is>
      </c>
      <c r="H23" s="2" t="inlineStr">
        <is>
          <t>2026-02-19 17:53:27</t>
        </is>
      </c>
      <c r="I23" s="2" t="inlineStr">
        <is>
          <t>FFLOR</t>
        </is>
      </c>
      <c r="J23" s="2" t="inlineStr">
        <is>
          <t>Flores</t>
        </is>
      </c>
      <c r="K23" s="2" t="inlineStr"/>
      <c r="L23" s="2" t="inlineStr">
        <is>
          <t>Cerrado</t>
        </is>
      </c>
      <c r="M23" s="2" t="inlineStr">
        <is>
          <t>2026-02-27 01:00:05</t>
        </is>
      </c>
      <c r="N23" s="2" t="inlineStr">
        <is>
          <t>Lucas Ale</t>
        </is>
      </c>
      <c r="O23" s="2" t="inlineStr">
        <is>
          <t>2026-02-22 16:49:56</t>
        </is>
      </c>
      <c r="P23" s="2" t="inlineStr">
        <is>
          <t>Sin repuesta del local</t>
        </is>
      </c>
      <c r="Q23" s="2" t="inlineStr">
        <is>
          <t>EQUIPOS;CAFETERAS CIMBALI</t>
        </is>
      </c>
      <c r="R23" s="2" t="inlineStr">
        <is>
          <t>2026-02-18 11:05:06</t>
        </is>
      </c>
      <c r="S23" s="2" t="n">
        <v>85</v>
      </c>
      <c r="T23" s="2" t="inlineStr"/>
      <c r="U23" s="2" t="inlineStr">
        <is>
          <t>Zona 1 — CABA / GBA Cercano (≤30 km)</t>
        </is>
      </c>
      <c r="V23" s="2" t="n">
        <v>7.6</v>
      </c>
      <c r="W23" s="2" t="n">
        <v>35</v>
      </c>
      <c r="X23" s="2" t="n">
        <v>2</v>
      </c>
      <c r="Y23" s="2" t="n">
        <v>2</v>
      </c>
      <c r="Z23" s="2" t="n">
        <v>0</v>
      </c>
      <c r="AA23" s="2" t="n">
        <v>0</v>
      </c>
      <c r="AB23" s="2" t="n">
        <v>0</v>
      </c>
      <c r="AC23" s="2" t="n">
        <v>0</v>
      </c>
      <c r="AD23" s="2" t="n">
        <v>2</v>
      </c>
      <c r="AE23" s="3">
        <f>AD23*35.0</f>
        <v/>
      </c>
      <c r="AF23" s="2" t="inlineStr">
        <is>
          <t>Skill: Reglas Técnicas</t>
        </is>
      </c>
      <c r="AG23" s="2" t="inlineStr"/>
      <c r="AH23" s="2" t="inlineStr">
        <is>
          <t>Flores</t>
        </is>
      </c>
    </row>
    <row r="24">
      <c r="A24" s="2" t="n">
        <v>110347</v>
      </c>
      <c r="B24" s="2" t="inlineStr">
        <is>
          <t xml:space="preserve">ER 066 y 067 - Falta de agua </t>
        </is>
      </c>
      <c r="C24" s="2" t="inlineStr">
        <is>
          <t>-</t>
        </is>
      </c>
      <c r="D24" s="2" t="inlineStr">
        <is>
          <t>Buenos días. El día sábado le cambiaron repuestos al equipo y al día de hoy seguimos sin poder sacar café, el técnico que vino el sábado dijo que ayer domingo iba a venir otro técnico pero no vino nadie. Va una semana sin vender café, es realmente urgente.</t>
        </is>
      </c>
      <c r="E24" s="2" t="inlineStr">
        <is>
          <t>Urgente</t>
        </is>
      </c>
      <c r="F24" s="2" t="inlineStr"/>
      <c r="G24" s="2" t="inlineStr"/>
      <c r="H24" s="2" t="inlineStr"/>
      <c r="I24" s="2" t="inlineStr">
        <is>
          <t>FGRBG</t>
        </is>
      </c>
      <c r="J24" s="2" t="inlineStr">
        <is>
          <t>Grand Bourg</t>
        </is>
      </c>
      <c r="K24" s="2" t="inlineStr"/>
      <c r="L24" s="2" t="inlineStr">
        <is>
          <t>Cerrado</t>
        </is>
      </c>
      <c r="M24" s="2" t="inlineStr">
        <is>
          <t>2026-02-09 01:00:05</t>
        </is>
      </c>
      <c r="N24" s="2" t="inlineStr">
        <is>
          <t>Nicolas Franco</t>
        </is>
      </c>
      <c r="O24" s="2" t="inlineStr">
        <is>
          <t>2026-02-04 08:19:05</t>
        </is>
      </c>
      <c r="P24" s="2" t="inlineStr">
        <is>
          <t>Cafetera grand Burg (10 horas de trabajo) 
Cimbali 1859984
Tiket#1010347
Se encuentra equipo con problemas de circulación de agua continua en el esquipo, haciendo q levanté presión a la hora de realizar el lavado, llegando a 2.1 de presión de caldera, a su vez no salta la válvula de sobre presión (no es normal), por otro lado la cafetera levanta presión antes de calentar lo cual debería ser al revéz, se  trajo cafetera para probar repuesto y sigue sin cambios , se reviso el agua y se notan algunas partículas blanquecinas en el mismo, se dio aviso al gerencial la turno, se purgo flexible reduciendo un poco la presencia del mismo,se tomó la desición de hacer cambio de grupo entre cafetera y dejar de modo temporal máquina de backup , en caso de presentar las mismas fallas se debe a las impurezas del agua q de forma gradual fueron obstruyendo el circuito completo de agua de la cafetera, a la cafetera operando se le puso la cual tiene acople de bomba de agua, grupo completo, tolvas de café, y bandeja de  desagüe de la máquina sin operar, se realizó calibración y puesta cero, se calibro leche y espuma, local vendiendo café.</t>
        </is>
      </c>
      <c r="Q24" s="2" t="inlineStr">
        <is>
          <t>EQUIPOS;CAFETERAS CIMBALI</t>
        </is>
      </c>
      <c r="R24" s="2" t="inlineStr">
        <is>
          <t>2026-02-02 07:23:32</t>
        </is>
      </c>
      <c r="S24" s="2" t="n">
        <v>387</v>
      </c>
      <c r="T24" s="2" t="n">
        <v>287</v>
      </c>
      <c r="U24" s="2" t="inlineStr">
        <is>
          <t>Zona 2 — GBA Medio (30-60 km)</t>
        </is>
      </c>
      <c r="V24" s="2" t="n">
        <v>33.5</v>
      </c>
      <c r="W24" s="2" t="n">
        <v>35</v>
      </c>
      <c r="X24" s="2" t="n">
        <v>3</v>
      </c>
      <c r="Y24" s="2" t="n">
        <v>1</v>
      </c>
      <c r="Z24" s="2" t="n">
        <v>0</v>
      </c>
      <c r="AA24" s="2" t="n">
        <v>0</v>
      </c>
      <c r="AB24" s="2" t="n">
        <v>0</v>
      </c>
      <c r="AC24" s="2" t="n">
        <v>10</v>
      </c>
      <c r="AD24" s="2" t="n">
        <v>10</v>
      </c>
      <c r="AE24" s="3">
        <f>AD24*35.0</f>
        <v/>
      </c>
      <c r="AF24" s="2" t="inlineStr">
        <is>
          <t>Skill: Resolución | Skill: Reglas Técnicas</t>
        </is>
      </c>
      <c r="AG24" s="2" t="inlineStr"/>
      <c r="AH24" s="2" t="inlineStr">
        <is>
          <t>Grand Bourg</t>
        </is>
      </c>
    </row>
    <row r="25">
      <c r="A25" s="2" t="n">
        <v>110729</v>
      </c>
      <c r="B25" s="2" t="inlineStr">
        <is>
          <t>Equipo salta el disyuntor o térmica</t>
        </is>
      </c>
      <c r="C25" s="2" t="inlineStr">
        <is>
          <t>-</t>
        </is>
      </c>
      <c r="D25" s="2" t="inlineStr">
        <is>
          <t>Buenos dias, antes de ayer nos dejaron una cafetera de prestamo, ayer teniamos problema con los cafes ya que salian frios y hoy al intentar prenderla me hizo saltar en varias ocasiones el diyuntor, necesito una solución urgente ya que hace dias venimos con problemas en la cafetera</t>
        </is>
      </c>
      <c r="E25" s="2" t="inlineStr">
        <is>
          <t>Urgente</t>
        </is>
      </c>
      <c r="F25" s="2" t="inlineStr"/>
      <c r="G25" s="2" t="inlineStr"/>
      <c r="H25" s="2" t="inlineStr"/>
      <c r="I25" s="2" t="inlineStr">
        <is>
          <t>FGRBG</t>
        </is>
      </c>
      <c r="J25" s="2" t="inlineStr">
        <is>
          <t>Grand Bourg</t>
        </is>
      </c>
      <c r="K25" s="2" t="inlineStr"/>
      <c r="L25" s="2" t="inlineStr">
        <is>
          <t>Cerrado</t>
        </is>
      </c>
      <c r="M25" s="2" t="inlineStr">
        <is>
          <t>2026-02-10 01:00:06</t>
        </is>
      </c>
      <c r="N25" s="2" t="inlineStr">
        <is>
          <t>Nicolas Franco</t>
        </is>
      </c>
      <c r="O25" s="2" t="inlineStr">
        <is>
          <t>2026-02-05 19:53:07</t>
        </is>
      </c>
      <c r="P25" s="2" t="inlineStr">
        <is>
          <t>Cafetera grand Burg (2 horas de trabajo)
Cimbali 1842013(cafetera de depo)
Tiket#110729
Equipo con válvula gsol en falso contacto por eso saltaba el disyuntor,se legalizó todos los lavados pendientes y no volvió a saltar el mismo, con respecto a la leche se calibro para q salga más caliente llegando a los 63°,equipo quedó operando</t>
        </is>
      </c>
      <c r="Q25" s="2" t="inlineStr">
        <is>
          <t>EQUIPOS;CAFETERAS CIMBALI</t>
        </is>
      </c>
      <c r="R25" s="2" t="inlineStr">
        <is>
          <t>2026-02-05 07:34:19</t>
        </is>
      </c>
      <c r="S25" s="2" t="n">
        <v>130</v>
      </c>
      <c r="T25" s="2" t="n">
        <v>30</v>
      </c>
      <c r="U25" s="2" t="inlineStr">
        <is>
          <t>Zona 2 — GBA Medio (30-60 km)</t>
        </is>
      </c>
      <c r="V25" s="2" t="n">
        <v>33.5</v>
      </c>
      <c r="W25" s="2" t="n">
        <v>35</v>
      </c>
      <c r="X25" s="2" t="n">
        <v>3</v>
      </c>
      <c r="Y25" s="2" t="n">
        <v>2</v>
      </c>
      <c r="Z25" s="2" t="n">
        <v>2</v>
      </c>
      <c r="AA25" s="2" t="n">
        <v>0</v>
      </c>
      <c r="AB25" s="2" t="n">
        <v>2</v>
      </c>
      <c r="AC25" s="2" t="n">
        <v>2</v>
      </c>
      <c r="AD25" s="2" t="n">
        <v>3</v>
      </c>
      <c r="AE25" s="3">
        <f>AD25*35.0</f>
        <v/>
      </c>
      <c r="AF25" s="2" t="inlineStr">
        <is>
          <t>Skill: Base Técnicos | Skill: Resolución | Skill: Chat | Skill: Reglas Técnicas</t>
        </is>
      </c>
      <c r="AG25" s="2" t="inlineStr"/>
      <c r="AH25" s="2" t="inlineStr">
        <is>
          <t>Grand Bourg</t>
        </is>
      </c>
    </row>
    <row r="26">
      <c r="A26" s="2" t="n">
        <v>110674</v>
      </c>
      <c r="B26" s="2" t="inlineStr">
        <is>
          <t>ER 055 - Elemento calentador averiado</t>
        </is>
      </c>
      <c r="C26" s="2" t="inlineStr">
        <is>
          <t>-</t>
        </is>
      </c>
      <c r="D26" s="2" t="inlineStr">
        <is>
          <t>Buenas tardes, el día de ayer nos dejaron una cafetera de préstamo, estaba todo funcionando correctamente hasta el día de hoy que el latte, lágrima y capuchino empezaron a salir fríos, también la cafetera empezó a pedir el lavado de leche a cada 15 minutos aproximadamente. Me podrían dar alguna solucion?</t>
        </is>
      </c>
      <c r="E26" s="2" t="inlineStr">
        <is>
          <t>Normal</t>
        </is>
      </c>
      <c r="F26" s="2" t="inlineStr"/>
      <c r="G26" s="2" t="inlineStr"/>
      <c r="H26" s="2" t="inlineStr"/>
      <c r="I26" s="2" t="inlineStr">
        <is>
          <t>FGRBG</t>
        </is>
      </c>
      <c r="J26" s="2" t="inlineStr">
        <is>
          <t>Grand Bourg</t>
        </is>
      </c>
      <c r="K26" s="2" t="inlineStr"/>
      <c r="L26" s="2" t="inlineStr">
        <is>
          <t>Cerrado</t>
        </is>
      </c>
      <c r="M26" s="2" t="inlineStr">
        <is>
          <t>2026-02-10 01:00:06</t>
        </is>
      </c>
      <c r="N26" s="2" t="inlineStr">
        <is>
          <t>Nahuel Loubiere</t>
        </is>
      </c>
      <c r="O26" s="2" t="inlineStr">
        <is>
          <t>2026-02-05 20:11:03</t>
        </is>
      </c>
      <c r="P26" s="2" t="inlineStr">
        <is>
          <t>Estimados,
Esto fue resuelto por Nicolas Franco
Saludos.</t>
        </is>
      </c>
      <c r="Q26" s="2" t="inlineStr">
        <is>
          <t>EQUIPOS;CAFETERAS CIMBALI</t>
        </is>
      </c>
      <c r="R26" s="2" t="inlineStr">
        <is>
          <t>2026-02-04 16:14:53</t>
        </is>
      </c>
      <c r="S26" s="2" t="n">
        <v>23</v>
      </c>
      <c r="T26" s="2" t="inlineStr"/>
      <c r="U26" s="2" t="inlineStr">
        <is>
          <t>Zona 2 — GBA Medio (30-60 km)</t>
        </is>
      </c>
      <c r="V26" s="2" t="n">
        <v>33.5</v>
      </c>
      <c r="W26" s="2" t="n">
        <v>35</v>
      </c>
      <c r="X26" s="2" t="n">
        <v>3</v>
      </c>
      <c r="Y26" s="2" t="n">
        <v>5</v>
      </c>
      <c r="Z26" s="2" t="n">
        <v>0</v>
      </c>
      <c r="AA26" s="2" t="n">
        <v>0</v>
      </c>
      <c r="AB26" s="2" t="n">
        <v>0</v>
      </c>
      <c r="AC26" s="2" t="n">
        <v>0</v>
      </c>
      <c r="AD26" s="2" t="n">
        <v>5</v>
      </c>
      <c r="AE26" s="3">
        <f>AD26*35.0</f>
        <v/>
      </c>
      <c r="AF26" s="2" t="inlineStr">
        <is>
          <t>Skill: Reglas Técnicas</t>
        </is>
      </c>
      <c r="AG26" s="2" t="inlineStr"/>
      <c r="AH26" s="2" t="inlineStr">
        <is>
          <t>Grand Bourg</t>
        </is>
      </c>
    </row>
    <row r="27">
      <c r="A27" s="2" t="n">
        <v>110853</v>
      </c>
      <c r="B27" s="2" t="inlineStr">
        <is>
          <t>Equipo salta el disyuntor o térmica</t>
        </is>
      </c>
      <c r="C27" s="2" t="inlineStr">
        <is>
          <t>-</t>
        </is>
      </c>
      <c r="D27" s="2" t="inlineStr">
        <is>
          <t>Buen dia, ayer realizamos un ticket ya que saltaba el diyuntor al ensender la cafetera, vinieron a verla, supuestamente habia quedado ok y hoy devuelta estoy teniendo el mismo problema, necesito alguna solución urgente</t>
        </is>
      </c>
      <c r="E27" s="2" t="inlineStr">
        <is>
          <t>Urgente</t>
        </is>
      </c>
      <c r="F27" s="2" t="inlineStr"/>
      <c r="G27" s="2" t="inlineStr"/>
      <c r="H27" s="2" t="inlineStr"/>
      <c r="I27" s="2" t="inlineStr">
        <is>
          <t>FGRBG</t>
        </is>
      </c>
      <c r="J27" s="2" t="inlineStr">
        <is>
          <t>Grand Bourg</t>
        </is>
      </c>
      <c r="K27" s="2" t="inlineStr"/>
      <c r="L27" s="2" t="inlineStr">
        <is>
          <t>Cerrado</t>
        </is>
      </c>
      <c r="M27" s="2" t="inlineStr">
        <is>
          <t>2026-02-11 01:00:06</t>
        </is>
      </c>
      <c r="N27" s="2" t="inlineStr">
        <is>
          <t>Nicolas Franco</t>
        </is>
      </c>
      <c r="O27" s="2" t="inlineStr">
        <is>
          <t>2026-02-06 20:59:45</t>
        </is>
      </c>
      <c r="P27" s="2" t="inlineStr">
        <is>
          <t>Cafetera grand Burg (1 hora de trabajo)
Cimbali de depo (1840208)
Tiket#110853
Cafetera saltaba el disyuntor se testeo  con tierra suelto dando 91v de pérdida, se reviso y era la caldera q quedó en corto por falta de agua, máquina sin operar, se recomienda poner filtros ya q es la segunda cafetera afectada por este tema, de midió dureza de agua dando arriba de los 600.</t>
        </is>
      </c>
      <c r="Q27" s="2" t="inlineStr">
        <is>
          <t>EQUIPOS;CAFETERAS CIMBALI</t>
        </is>
      </c>
      <c r="R27" s="2" t="inlineStr">
        <is>
          <t>2026-02-06 05:47:42</t>
        </is>
      </c>
      <c r="S27" s="2" t="n">
        <v>140</v>
      </c>
      <c r="T27" s="2" t="n">
        <v>40</v>
      </c>
      <c r="U27" s="2" t="inlineStr">
        <is>
          <t>Zona 2 — GBA Medio (30-60 km)</t>
        </is>
      </c>
      <c r="V27" s="2" t="n">
        <v>33.5</v>
      </c>
      <c r="W27" s="2" t="n">
        <v>35</v>
      </c>
      <c r="X27" s="2" t="n">
        <v>3</v>
      </c>
      <c r="Y27" s="2" t="n">
        <v>2</v>
      </c>
      <c r="Z27" s="2" t="n">
        <v>1</v>
      </c>
      <c r="AA27" s="2" t="n">
        <v>0</v>
      </c>
      <c r="AB27" s="2" t="n">
        <v>0</v>
      </c>
      <c r="AC27" s="2" t="n">
        <v>1</v>
      </c>
      <c r="AD27" s="2" t="n">
        <v>3</v>
      </c>
      <c r="AE27" s="3">
        <f>AD27*35.0</f>
        <v/>
      </c>
      <c r="AF27" s="2" t="inlineStr">
        <is>
          <t>Skill: Resolución | Skill: Chat | Skill: Reglas Técnicas</t>
        </is>
      </c>
      <c r="AG27" s="2" t="inlineStr"/>
      <c r="AH27" s="2" t="inlineStr">
        <is>
          <t>Grand Bourg</t>
        </is>
      </c>
    </row>
    <row r="28">
      <c r="A28" s="2" t="n">
        <v>111640</v>
      </c>
      <c r="B28" s="2" t="inlineStr">
        <is>
          <t>ER 037 y 038 - Falla en sensor, revisar según error</t>
        </is>
      </c>
      <c r="C28" s="2" t="inlineStr">
        <is>
          <t>-</t>
        </is>
      </c>
      <c r="D28" s="2" t="inlineStr">
        <is>
          <t>Corresponde a la acarameladora que falla y no puede girar</t>
        </is>
      </c>
      <c r="E28" s="2" t="inlineStr">
        <is>
          <t>Urgente</t>
        </is>
      </c>
      <c r="F28" s="2" t="inlineStr"/>
      <c r="G28" s="2" t="inlineStr"/>
      <c r="H28" s="2" t="inlineStr"/>
      <c r="I28" s="2" t="inlineStr">
        <is>
          <t>FMGUA</t>
        </is>
      </c>
      <c r="J28" s="2" t="inlineStr">
        <is>
          <t>Gualeguaychú</t>
        </is>
      </c>
      <c r="K28" s="2" t="inlineStr"/>
      <c r="L28" s="2" t="inlineStr">
        <is>
          <t>Cerrado</t>
        </is>
      </c>
      <c r="M28" s="2" t="inlineStr">
        <is>
          <t>2026-02-19 01:00:04</t>
        </is>
      </c>
      <c r="N28" s="2" t="inlineStr">
        <is>
          <t>Nahuel Loubiere</t>
        </is>
      </c>
      <c r="O28" s="2" t="inlineStr">
        <is>
          <t>2026-02-14 14:48:25</t>
        </is>
      </c>
      <c r="P28" s="2" t="inlineStr">
        <is>
          <t>Estimados,
Se reemplaza el equipo por garantia.
Saludos.</t>
        </is>
      </c>
      <c r="Q28" s="2" t="inlineStr">
        <is>
          <t>EQUIPOS;CAFETERAS CIMBALI</t>
        </is>
      </c>
      <c r="R28" s="2" t="inlineStr">
        <is>
          <t>2026-02-12 19:54:29</t>
        </is>
      </c>
      <c r="S28" s="2" t="n">
        <v>20</v>
      </c>
      <c r="T28" s="2" t="inlineStr"/>
      <c r="U28" s="2" t="inlineStr">
        <is>
          <t>Zona 3+ — GBA Lejano / Interior (&gt;60 km)</t>
        </is>
      </c>
      <c r="V28" s="2" t="n">
        <v>180.8</v>
      </c>
      <c r="W28" s="2" t="n">
        <v>35</v>
      </c>
      <c r="X28" s="2" t="n">
        <v>4</v>
      </c>
      <c r="Y28" s="2" t="n">
        <v>2</v>
      </c>
      <c r="Z28" s="2" t="n">
        <v>0</v>
      </c>
      <c r="AA28" s="2" t="n">
        <v>0</v>
      </c>
      <c r="AB28" s="2" t="n">
        <v>0</v>
      </c>
      <c r="AC28" s="2" t="n">
        <v>0</v>
      </c>
      <c r="AD28" s="2" t="n">
        <v>4</v>
      </c>
      <c r="AE28" s="3">
        <f>AD28*35.0</f>
        <v/>
      </c>
      <c r="AF28" s="2" t="inlineStr">
        <is>
          <t>Skill: Reglas Técnicas</t>
        </is>
      </c>
      <c r="AG28" s="2" t="inlineStr"/>
      <c r="AH28" s="2" t="inlineStr">
        <is>
          <t>Gualeguaychú</t>
        </is>
      </c>
    </row>
    <row r="29">
      <c r="A29" s="2" t="n">
        <v>110870</v>
      </c>
      <c r="B29" s="2" t="inlineStr">
        <is>
          <t>Equipo salta el disyuntor o térmica</t>
        </is>
      </c>
      <c r="C29" s="2" t="inlineStr">
        <is>
          <t>-</t>
        </is>
      </c>
      <c r="D29" s="2" t="inlineStr">
        <is>
          <t>Pierde agua y salta térmica</t>
        </is>
      </c>
      <c r="E29" s="2" t="inlineStr">
        <is>
          <t>Urgente</t>
        </is>
      </c>
      <c r="F29" s="2" t="inlineStr"/>
      <c r="G29" s="2" t="inlineStr"/>
      <c r="H29" s="2" t="inlineStr"/>
      <c r="I29" s="2" t="inlineStr">
        <is>
          <t>FGUE</t>
        </is>
      </c>
      <c r="J29" s="2" t="inlineStr">
        <is>
          <t>Guemes</t>
        </is>
      </c>
      <c r="K29" s="2" t="inlineStr"/>
      <c r="L29" s="2" t="inlineStr">
        <is>
          <t>Cerrado</t>
        </is>
      </c>
      <c r="M29" s="2" t="inlineStr">
        <is>
          <t>2026-02-11 01:00:06</t>
        </is>
      </c>
      <c r="N29" s="2" t="inlineStr">
        <is>
          <t>Lucas Ale</t>
        </is>
      </c>
      <c r="O29" s="2" t="inlineStr">
        <is>
          <t>2026-02-06 10:37:24</t>
        </is>
      </c>
      <c r="P29" s="2" t="inlineStr">
        <is>
          <t>Cafetera guemes
Tk n:110870
Serie n:1977235
Hora de servicio: 1h
Se encontró con la cafetera con perdida de agua.
Se encontró una fuga de vapor por la misma válvula de seguridad que se encuentra abierta.
En consecuencia de eso hace que condense y haya una pérdida de agua por debajo de la cafetera y también salte el diyuntor.
Observaciones: ausencia de puerta trasera y sin filtro de leche
Repuestos: 
-válvula de seguridad
-Puerta trasera
Cafetera inoperativa.</t>
        </is>
      </c>
      <c r="Q29" s="2" t="inlineStr">
        <is>
          <t>EQUIPOS;CAFETERAS CIMBALI</t>
        </is>
      </c>
      <c r="R29" s="2" t="inlineStr">
        <is>
          <t>2026-02-06 09:59:33</t>
        </is>
      </c>
      <c r="S29" s="2" t="n">
        <v>10</v>
      </c>
      <c r="T29" s="2" t="inlineStr"/>
      <c r="U29" s="2" t="inlineStr">
        <is>
          <t>Zona 3+ — GBA Lejano / Interior (&gt;60 km)</t>
        </is>
      </c>
      <c r="V29" s="2" t="n">
        <v>265</v>
      </c>
      <c r="W29" s="2" t="n">
        <v>35</v>
      </c>
      <c r="X29" s="2" t="n">
        <v>4</v>
      </c>
      <c r="Y29" s="2" t="n">
        <v>2</v>
      </c>
      <c r="Z29" s="2" t="n">
        <v>0</v>
      </c>
      <c r="AA29" s="2" t="n">
        <v>0</v>
      </c>
      <c r="AB29" s="2" t="n">
        <v>1</v>
      </c>
      <c r="AC29" s="2" t="n">
        <v>0</v>
      </c>
      <c r="AD29" s="2" t="n">
        <v>4</v>
      </c>
      <c r="AE29" s="3">
        <f>AD29*35.0</f>
        <v/>
      </c>
      <c r="AF29" s="2" t="inlineStr">
        <is>
          <t>Skill: Base Técnicos | Skill: Reglas Técnicas</t>
        </is>
      </c>
      <c r="AG29" s="2" t="inlineStr"/>
      <c r="AH29" s="2" t="inlineStr">
        <is>
          <t>Guemes</t>
        </is>
      </c>
    </row>
    <row r="30">
      <c r="A30" s="2" t="n">
        <v>112232</v>
      </c>
      <c r="B30" s="2" t="inlineStr">
        <is>
          <t>ER 008 - Timeout manipulación grupo, falla en bloque mecanico</t>
        </is>
      </c>
      <c r="C30" s="2" t="inlineStr">
        <is>
          <t>-</t>
        </is>
      </c>
      <c r="D30" s="2" t="inlineStr">
        <is>
          <t>Se detalla la supervisora iris con equipo mtm manda fotos y videos respeto a la perdida de agua , cafetera 2 lado catta</t>
        </is>
      </c>
      <c r="E30" s="2" t="inlineStr">
        <is>
          <t>Urgente</t>
        </is>
      </c>
      <c r="F30" s="2" t="inlineStr">
        <is>
          <t>Fotos</t>
        </is>
      </c>
      <c r="G30" s="2" t="inlineStr">
        <is>
          <t>Lucas Ale</t>
        </is>
      </c>
      <c r="H30" s="2" t="inlineStr">
        <is>
          <t>2026-02-19 17:52:00</t>
        </is>
      </c>
      <c r="I30" s="2" t="inlineStr">
        <is>
          <t>FGUE</t>
        </is>
      </c>
      <c r="J30" s="2" t="inlineStr">
        <is>
          <t>Guemes</t>
        </is>
      </c>
      <c r="K30" s="2" t="inlineStr"/>
      <c r="L30" s="2" t="inlineStr">
        <is>
          <t>Cerrado</t>
        </is>
      </c>
      <c r="M30" s="2" t="inlineStr">
        <is>
          <t>2026-02-24 01:00:05</t>
        </is>
      </c>
      <c r="N30" s="2" t="inlineStr">
        <is>
          <t>Lucas Ale</t>
        </is>
      </c>
      <c r="O30" s="2" t="inlineStr">
        <is>
          <t>2026-02-19 17:52:06</t>
        </is>
      </c>
      <c r="P30" s="2" t="inlineStr">
        <is>
          <t>Cafetera guemes
Ticket número:112232
Serie número:1976012
Hora de servicio 2h:30
Se encontró la cafetera con que saltaba el diyuntor se observó que perdía por el acople rápido de arriba del pistón superior.
El local ya contaba con el repuesto asi que se intercambió por el mismo.
Se sustrajo pistón superior y se limpió ya que estaba tapado.
Se hizo una limpieza en profundidad del grupo.
Se realizó una puesta cero y calibración de las moliendas mm1 y mm2 quedaron en tiempo y calibrado.
Observaciones: 
-cafetera lado izquierdo se encontró apagada por el faltante de repuestos aún.
Cafetera operando.</t>
        </is>
      </c>
      <c r="Q30" s="2" t="inlineStr">
        <is>
          <t>EQUIPOS;CAFETERAS CIMBALI</t>
        </is>
      </c>
      <c r="R30" s="2" t="inlineStr">
        <is>
          <t>2026-02-18 15:32:53</t>
        </is>
      </c>
      <c r="S30" s="2" t="n">
        <v>207</v>
      </c>
      <c r="T30" s="2" t="n">
        <v>107</v>
      </c>
      <c r="U30" s="2" t="inlineStr">
        <is>
          <t>Zona 3+ — GBA Lejano / Interior (&gt;60 km)</t>
        </is>
      </c>
      <c r="V30" s="2" t="n">
        <v>265</v>
      </c>
      <c r="W30" s="2" t="n">
        <v>35</v>
      </c>
      <c r="X30" s="2" t="n">
        <v>4</v>
      </c>
      <c r="Y30" s="2" t="n">
        <v>2</v>
      </c>
      <c r="Z30" s="2" t="n">
        <v>0</v>
      </c>
      <c r="AA30" s="2" t="n">
        <v>0</v>
      </c>
      <c r="AB30" s="2" t="n">
        <v>0</v>
      </c>
      <c r="AC30" s="2" t="n">
        <v>0</v>
      </c>
      <c r="AD30" s="2" t="n">
        <v>4</v>
      </c>
      <c r="AE30" s="3">
        <f>AD30*35.0</f>
        <v/>
      </c>
      <c r="AF30" s="2" t="inlineStr">
        <is>
          <t>Skill: Reglas Técnicas</t>
        </is>
      </c>
      <c r="AG30" s="2" t="inlineStr"/>
      <c r="AH30" s="2" t="inlineStr">
        <is>
          <t>Guemes</t>
        </is>
      </c>
    </row>
    <row r="31">
      <c r="A31" s="2" t="n">
        <v>111884</v>
      </c>
      <c r="B31" s="2" t="inlineStr">
        <is>
          <t>ER 021  y 022 - Anomalía en movimiento de las muelas</t>
        </is>
      </c>
      <c r="C31" s="2" t="inlineStr">
        <is>
          <t>-</t>
        </is>
      </c>
      <c r="D31" s="2" t="inlineStr">
        <is>
          <t>Estimados, buenas tardes.
Solicito la visita de un técnico debido a una falla en el funcionamiento de la molienda 1 de la cafetera. 
Quedamos a la espera de una respuesta.
Desde ya, muchas gracias.</t>
        </is>
      </c>
      <c r="E31" s="2" t="inlineStr">
        <is>
          <t>Urgente</t>
        </is>
      </c>
      <c r="F31" s="2" t="inlineStr">
        <is>
          <t>Confirmando las condiciones de servicio.</t>
        </is>
      </c>
      <c r="G31" s="2" t="inlineStr">
        <is>
          <t>Cristian Merlo</t>
        </is>
      </c>
      <c r="H31" s="2" t="inlineStr">
        <is>
          <t>2026-02-16 15:12:23</t>
        </is>
      </c>
      <c r="I31" s="2" t="inlineStr">
        <is>
          <t>FMJCP</t>
        </is>
      </c>
      <c r="J31" s="2" t="inlineStr">
        <is>
          <t>Jose C paz</t>
        </is>
      </c>
      <c r="K31" s="2" t="inlineStr"/>
      <c r="L31" s="2" t="inlineStr">
        <is>
          <t>Cerrado</t>
        </is>
      </c>
      <c r="M31" s="2" t="inlineStr">
        <is>
          <t>2026-02-28 01:00:04</t>
        </is>
      </c>
      <c r="N31" s="2" t="inlineStr">
        <is>
          <t>Cristian Merlo</t>
        </is>
      </c>
      <c r="O31" s="2" t="inlineStr">
        <is>
          <t>2026-02-23 17:19:39</t>
        </is>
      </c>
      <c r="P31" s="2" t="inlineStr">
        <is>
          <t>Buenas tardes, nos confirman que lo siguen con personal propio.
Se cierra el ticket.</t>
        </is>
      </c>
      <c r="Q31" s="2" t="inlineStr">
        <is>
          <t>EQUIPOS;CAFETERAS CIMBALI</t>
        </is>
      </c>
      <c r="R31" s="2" t="inlineStr">
        <is>
          <t>2026-02-15 15:35:17</t>
        </is>
      </c>
      <c r="S31" s="2" t="n">
        <v>190</v>
      </c>
      <c r="T31" s="2" t="n">
        <v>90</v>
      </c>
      <c r="U31" s="2" t="inlineStr">
        <is>
          <t>Zona 2 — GBA Medio (30-60 km)</t>
        </is>
      </c>
      <c r="V31" s="2" t="n">
        <v>36.4</v>
      </c>
      <c r="W31" s="2" t="n">
        <v>35</v>
      </c>
      <c r="X31" s="2" t="n">
        <v>3</v>
      </c>
      <c r="Y31" s="2" t="n">
        <v>2</v>
      </c>
      <c r="Z31" s="2" t="n">
        <v>0</v>
      </c>
      <c r="AA31" s="2" t="n">
        <v>0</v>
      </c>
      <c r="AB31" s="2" t="n">
        <v>0</v>
      </c>
      <c r="AC31" s="2" t="n">
        <v>0</v>
      </c>
      <c r="AD31" s="2" t="n">
        <v>3</v>
      </c>
      <c r="AE31" s="3">
        <f>AD31*35.0</f>
        <v/>
      </c>
      <c r="AF31" s="2" t="inlineStr">
        <is>
          <t>Skill: Reglas Técnicas</t>
        </is>
      </c>
      <c r="AG31" s="2" t="inlineStr"/>
      <c r="AH31" s="2" t="inlineStr">
        <is>
          <t>Jose C paz</t>
        </is>
      </c>
    </row>
    <row r="32">
      <c r="A32" s="2" t="n">
        <v>111047</v>
      </c>
      <c r="B32" s="2" t="inlineStr">
        <is>
          <t>Otros trabajos, detallar en comentarios</t>
        </is>
      </c>
      <c r="C32" s="2" t="inlineStr">
        <is>
          <t>-</t>
        </is>
      </c>
      <c r="D32" s="2" t="inlineStr">
        <is>
          <t>No contamos con la segunda línea ya que la Pc no funciona la conexión de red</t>
        </is>
      </c>
      <c r="E32" s="2" t="inlineStr">
        <is>
          <t>Baja</t>
        </is>
      </c>
      <c r="F32" s="2" t="inlineStr"/>
      <c r="G32" s="2" t="inlineStr"/>
      <c r="H32" s="2" t="inlineStr"/>
      <c r="I32" s="2" t="inlineStr">
        <is>
          <t>FMP3</t>
        </is>
      </c>
      <c r="J32" s="2" t="inlineStr">
        <is>
          <t>La Perla</t>
        </is>
      </c>
      <c r="K32" s="2" t="inlineStr"/>
      <c r="L32" s="2" t="inlineStr">
        <is>
          <t>Cerrado</t>
        </is>
      </c>
      <c r="M32" s="2" t="inlineStr">
        <is>
          <t>2026-02-12 01:00:05</t>
        </is>
      </c>
      <c r="N32" s="2" t="inlineStr">
        <is>
          <t>Nahuel Loubiere</t>
        </is>
      </c>
      <c r="O32" s="2" t="inlineStr">
        <is>
          <t>2026-02-07 21:14:06</t>
        </is>
      </c>
      <c r="P32" s="2" t="inlineStr">
        <is>
          <t>Estimados,
Esto no corresponde a mantenimiento. Ver con sistemas.
Saludos.</t>
        </is>
      </c>
      <c r="Q32" s="2" t="inlineStr">
        <is>
          <t>;OTROS</t>
        </is>
      </c>
      <c r="R32" s="2" t="inlineStr">
        <is>
          <t>2026-02-07 18:51:34</t>
        </is>
      </c>
      <c r="S32" s="2" t="inlineStr"/>
      <c r="T32" s="2" t="inlineStr"/>
      <c r="U32" s="2" t="inlineStr">
        <is>
          <t>Zona 3+ — GBA Lejano / Interior (&gt;60 km)</t>
        </is>
      </c>
      <c r="V32" s="2" t="n">
        <v>383.1</v>
      </c>
      <c r="W32" s="2" t="n">
        <v>35</v>
      </c>
      <c r="X32" s="2" t="n">
        <v>4</v>
      </c>
      <c r="Y32" s="2" t="n">
        <v>2</v>
      </c>
      <c r="Z32" s="2" t="n">
        <v>0</v>
      </c>
      <c r="AA32" s="2" t="n">
        <v>0</v>
      </c>
      <c r="AB32" s="2" t="n">
        <v>0</v>
      </c>
      <c r="AC32" s="2" t="n">
        <v>0</v>
      </c>
      <c r="AD32" s="2" t="n">
        <v>4</v>
      </c>
      <c r="AE32" s="3">
        <f>AD32*35.0</f>
        <v/>
      </c>
      <c r="AF32" s="2" t="inlineStr">
        <is>
          <t>Skill: Reglas Técnicas</t>
        </is>
      </c>
      <c r="AG32" s="2" t="inlineStr"/>
      <c r="AH32" s="2" t="inlineStr">
        <is>
          <t>La Perla</t>
        </is>
      </c>
    </row>
    <row r="33">
      <c r="A33" s="2" t="n">
        <v>111046</v>
      </c>
      <c r="B33" s="2" t="inlineStr">
        <is>
          <t>ER 021  y 022 - Anomalía en movimiento de las muelas</t>
        </is>
      </c>
      <c r="C33" s="2" t="inlineStr">
        <is>
          <t>-</t>
        </is>
      </c>
      <c r="D33" s="2" t="inlineStr">
        <is>
          <t>Buenas tardes, el café sale corto y aguado. No sale la espuma correspondiente y a su vez no contamos con el filtro de la leche</t>
        </is>
      </c>
      <c r="E33" s="2" t="inlineStr">
        <is>
          <t>Urgente</t>
        </is>
      </c>
      <c r="F33" s="2" t="inlineStr">
        <is>
          <t>Fotos</t>
        </is>
      </c>
      <c r="G33" s="2" t="inlineStr">
        <is>
          <t>Lucas Ale</t>
        </is>
      </c>
      <c r="H33" s="2" t="inlineStr">
        <is>
          <t>2026-02-10 15:59:29</t>
        </is>
      </c>
      <c r="I33" s="2" t="inlineStr">
        <is>
          <t>FMP3</t>
        </is>
      </c>
      <c r="J33" s="2" t="inlineStr">
        <is>
          <t>La Perla</t>
        </is>
      </c>
      <c r="K33" s="2" t="inlineStr"/>
      <c r="L33" s="2" t="inlineStr">
        <is>
          <t>Cerrado</t>
        </is>
      </c>
      <c r="M33" s="2" t="inlineStr">
        <is>
          <t>2026-02-15 01:00:04</t>
        </is>
      </c>
      <c r="N33" s="2" t="inlineStr">
        <is>
          <t>Lucas Ale</t>
        </is>
      </c>
      <c r="O33" s="2" t="inlineStr">
        <is>
          <t>2026-02-10 15:59:38</t>
        </is>
      </c>
      <c r="P33" s="2" t="inlineStr">
        <is>
          <t>Cafetera La Perla
Ticket número: 111046
Serie número: 1970905
Hora de servicios: 2h
Se encontró la cafetera con los cafés aguados.
Se realizó una puesta cero y calibración de las moliendas mm1 y mm2. Cafés cálidad y espumoso.
Se revisó todo lo que es el circuito de la espuma y se encontró el chicler hacia la bomba de leche al revés, se sustrajo,se limpió y colocó correctamente.
Se limpió matcha(manguera tapada y colocada incorrectamente) ya okey.
Deslizador y resorte roto no cae bien las pastillas al pozo y eso provoca que caiga café por toda la cafetera y perjudique al equipo.
Observaciones: 
-Se observó deslizador y resorte roto hacia el cajón de pozos (cambiarlo)
-Sin filtro de leche(eso afecta a la vida útil de la bomba de leche)se recomienda conseguirlo.
-tolvas mm1 y mm2 rotas se recomiendan conseguirlas nuevas.
-moliendas mm1,mm2 inferior y superior gastadas se recomienda cambiarlo. 
Repuestos: 
-Filtro de leche
-kit de moliendas
-deslizante y resorte hacia cajón de pozos 
-tolvas mm1 y Mm2
-elf2
Cafetera operando.</t>
        </is>
      </c>
      <c r="Q33" s="2" t="inlineStr">
        <is>
          <t>EQUIPOS;CAFETERAS CIMBALI</t>
        </is>
      </c>
      <c r="R33" s="2" t="inlineStr">
        <is>
          <t>2026-02-07 18:50:30</t>
        </is>
      </c>
      <c r="S33" s="2" t="n">
        <v>545</v>
      </c>
      <c r="T33" s="2" t="n">
        <v>445</v>
      </c>
      <c r="U33" s="2" t="inlineStr">
        <is>
          <t>Zona 3+ — GBA Lejano / Interior (&gt;60 km)</t>
        </is>
      </c>
      <c r="V33" s="2" t="n">
        <v>383.1</v>
      </c>
      <c r="W33" s="2" t="n">
        <v>35</v>
      </c>
      <c r="X33" s="2" t="n">
        <v>4</v>
      </c>
      <c r="Y33" s="2" t="n">
        <v>2</v>
      </c>
      <c r="Z33" s="2" t="n">
        <v>0</v>
      </c>
      <c r="AA33" s="2" t="n">
        <v>0</v>
      </c>
      <c r="AB33" s="2" t="n">
        <v>0</v>
      </c>
      <c r="AC33" s="2" t="n">
        <v>0</v>
      </c>
      <c r="AD33" s="2" t="n">
        <v>4</v>
      </c>
      <c r="AE33" s="3">
        <f>AD33*35.0</f>
        <v/>
      </c>
      <c r="AF33" s="2" t="inlineStr">
        <is>
          <t>Skill: Reglas Técnicas</t>
        </is>
      </c>
      <c r="AG33" s="2" t="inlineStr"/>
      <c r="AH33" s="2" t="inlineStr">
        <is>
          <t>La Perla</t>
        </is>
      </c>
    </row>
    <row r="34">
      <c r="A34" s="2" t="n">
        <v>112807</v>
      </c>
      <c r="B34" s="2" t="inlineStr">
        <is>
          <t>Equipo salta el disyuntor o térmica</t>
        </is>
      </c>
      <c r="C34" s="2" t="inlineStr">
        <is>
          <t>-</t>
        </is>
      </c>
      <c r="D34" s="2" t="inlineStr">
        <is>
          <t>Salta la termica porque el agua pierde y sale por otro lado y no hace ningun cafe</t>
        </is>
      </c>
      <c r="E34" s="2" t="inlineStr">
        <is>
          <t>Urgente</t>
        </is>
      </c>
      <c r="F34" s="2" t="inlineStr"/>
      <c r="G34" s="2" t="inlineStr"/>
      <c r="H34" s="2" t="inlineStr"/>
      <c r="I34" s="2" t="inlineStr">
        <is>
          <t>FLPCA</t>
        </is>
      </c>
      <c r="J34" s="2" t="inlineStr">
        <is>
          <t>La Plata 2</t>
        </is>
      </c>
      <c r="K34" s="2" t="inlineStr"/>
      <c r="L34" s="2" t="inlineStr">
        <is>
          <t>Cerrado</t>
        </is>
      </c>
      <c r="M34" s="2" t="inlineStr">
        <is>
          <t>2026-02-28 01:00:04</t>
        </is>
      </c>
      <c r="N34" s="2" t="inlineStr">
        <is>
          <t>Nahuel Loubiere</t>
        </is>
      </c>
      <c r="O34" s="2" t="inlineStr">
        <is>
          <t>2026-02-23 21:57:17</t>
        </is>
      </c>
      <c r="P34" s="2" t="inlineStr">
        <is>
          <t>Estimados,
Esto fue resuelto por el local
Saludos.</t>
        </is>
      </c>
      <c r="Q34" s="2" t="inlineStr">
        <is>
          <t>EQUIPOS;CAFETERAS CIMBALI</t>
        </is>
      </c>
      <c r="R34" s="2" t="inlineStr">
        <is>
          <t>2026-02-23 13:13:10</t>
        </is>
      </c>
      <c r="S34" s="2" t="n">
        <v>90</v>
      </c>
      <c r="T34" s="2" t="inlineStr"/>
      <c r="U34" s="2" t="inlineStr">
        <is>
          <t>Zona 2 — GBA Medio (30-60 km)</t>
        </is>
      </c>
      <c r="V34" s="2" t="n">
        <v>52.8</v>
      </c>
      <c r="W34" s="2" t="n">
        <v>35</v>
      </c>
      <c r="X34" s="2" t="n">
        <v>3</v>
      </c>
      <c r="Y34" s="2" t="n">
        <v>0</v>
      </c>
      <c r="Z34" s="2" t="n">
        <v>0</v>
      </c>
      <c r="AA34" s="2" t="n">
        <v>0</v>
      </c>
      <c r="AB34" s="2" t="n">
        <v>0</v>
      </c>
      <c r="AC34" s="2" t="n">
        <v>0</v>
      </c>
      <c r="AD34" s="2" t="n">
        <v>0</v>
      </c>
      <c r="AE34" s="3">
        <f>AD34*35.0</f>
        <v/>
      </c>
      <c r="AF34" s="2" t="inlineStr">
        <is>
          <t>Resuelto por el Local (0 HS)</t>
        </is>
      </c>
      <c r="AG34" s="2" t="inlineStr"/>
      <c r="AH34" s="2" t="inlineStr">
        <is>
          <t>La Plata 2</t>
        </is>
      </c>
    </row>
    <row r="35">
      <c r="A35" s="2" t="n">
        <v>110012</v>
      </c>
      <c r="B35" s="2" t="inlineStr">
        <is>
          <t>ER 055 - Elemento calentador averiado</t>
        </is>
      </c>
      <c r="C35" s="2" t="inlineStr">
        <is>
          <t>-</t>
        </is>
      </c>
      <c r="D35" s="2" t="inlineStr">
        <is>
          <t>Buenass se nos traban las moliendas y la cafetera dice error 55</t>
        </is>
      </c>
      <c r="E35" s="2" t="inlineStr">
        <is>
          <t>Normal</t>
        </is>
      </c>
      <c r="F35" s="2" t="inlineStr"/>
      <c r="G35" s="2" t="inlineStr"/>
      <c r="H35" s="2" t="inlineStr"/>
      <c r="I35" s="2" t="inlineStr">
        <is>
          <t>FLPC4</t>
        </is>
      </c>
      <c r="J35" s="2" t="inlineStr">
        <is>
          <t>La Plata 4</t>
        </is>
      </c>
      <c r="K35" s="2" t="inlineStr"/>
      <c r="L35" s="2" t="inlineStr">
        <is>
          <t>Cerrado</t>
        </is>
      </c>
      <c r="M35" s="2" t="inlineStr">
        <is>
          <t>2026-02-05 01:00:04</t>
        </is>
      </c>
      <c r="N35" s="2" t="inlineStr">
        <is>
          <t>Nahuel Loubiere</t>
        </is>
      </c>
      <c r="O35" s="2" t="inlineStr">
        <is>
          <t>2026-02-01 00:38:31</t>
        </is>
      </c>
      <c r="P35" s="2" t="inlineStr">
        <is>
          <t>Se destrabo moliendas y se reviso la valvula de seguridad de la caldera por pérdida de vapor. También se observo que tira error 55 que se debe a la falla en la resistencia del grupo lo que no permite levantar temperatura en el grupo de la cafetera  y tenía perdida de agua en un costado, ocasionado por el embudo del matcha tapado
Solicitar repuestos:
•resistencia de grupo
•valvula de sobrepresion 
•capuchón de valvula de sobrepresion</t>
        </is>
      </c>
      <c r="Q35" s="2" t="inlineStr">
        <is>
          <t>EQUIPOS;CAFETERAS CIMBALI</t>
        </is>
      </c>
      <c r="R35" s="2" t="inlineStr">
        <is>
          <t>2026-01-29 11:11:23</t>
        </is>
      </c>
      <c r="S35" s="2" t="n">
        <v>51</v>
      </c>
      <c r="T35" s="2" t="inlineStr"/>
      <c r="U35" s="2" t="inlineStr">
        <is>
          <t>Zona 2 — GBA Medio (30-60 km)</t>
        </is>
      </c>
      <c r="V35" s="2" t="n">
        <v>52.8</v>
      </c>
      <c r="W35" s="2" t="n">
        <v>35</v>
      </c>
      <c r="X35" s="2" t="n">
        <v>3</v>
      </c>
      <c r="Y35" s="2" t="n">
        <v>5</v>
      </c>
      <c r="Z35" s="2" t="n">
        <v>0</v>
      </c>
      <c r="AA35" s="2" t="n">
        <v>0</v>
      </c>
      <c r="AB35" s="2" t="n">
        <v>3</v>
      </c>
      <c r="AC35" s="2" t="n">
        <v>0</v>
      </c>
      <c r="AD35" s="2" t="n">
        <v>3</v>
      </c>
      <c r="AE35" s="3">
        <f>AD35*35.0</f>
        <v/>
      </c>
      <c r="AF35" s="2" t="inlineStr">
        <is>
          <t>Skill: Base Técnicos | Skill: Reglas Técnicas</t>
        </is>
      </c>
      <c r="AG35" s="2" t="inlineStr"/>
      <c r="AH35" s="2" t="inlineStr">
        <is>
          <t>La Plata 4</t>
        </is>
      </c>
    </row>
    <row r="36">
      <c r="A36" s="2" t="n">
        <v>110923</v>
      </c>
      <c r="B36" s="2" t="inlineStr">
        <is>
          <t>ER 021  y 022 - Anomalía en movimiento de las muelas</t>
        </is>
      </c>
      <c r="C36" s="2" t="inlineStr">
        <is>
          <t>-</t>
        </is>
      </c>
      <c r="D36" s="2" t="inlineStr">
        <is>
          <t>Hola!! Las molienda siguen trabándose mucho. Las muelas son nuevas .</t>
        </is>
      </c>
      <c r="E36" s="2" t="inlineStr">
        <is>
          <t>Urgente</t>
        </is>
      </c>
      <c r="F36" s="2" t="inlineStr">
        <is>
          <t>Fotos</t>
        </is>
      </c>
      <c r="G36" s="2" t="inlineStr">
        <is>
          <t>Lucas Ale</t>
        </is>
      </c>
      <c r="H36" s="2" t="inlineStr">
        <is>
          <t>2026-02-08 13:46:10</t>
        </is>
      </c>
      <c r="I36" s="2" t="inlineStr">
        <is>
          <t>FLPC4</t>
        </is>
      </c>
      <c r="J36" s="2" t="inlineStr">
        <is>
          <t>La Plata 4</t>
        </is>
      </c>
      <c r="K36" s="2" t="inlineStr"/>
      <c r="L36" s="2" t="inlineStr">
        <is>
          <t>Cerrado</t>
        </is>
      </c>
      <c r="M36" s="2" t="inlineStr">
        <is>
          <t>2026-02-13 01:00:05</t>
        </is>
      </c>
      <c r="N36" s="2" t="inlineStr">
        <is>
          <t>Lucas Ale</t>
        </is>
      </c>
      <c r="O36" s="2" t="inlineStr">
        <is>
          <t>2026-02-08 13:46:17</t>
        </is>
      </c>
      <c r="P36" s="2" t="inlineStr">
        <is>
          <t>Cafetera la plata 4
Tk n:111049/110923
Serie n:1856450
Hora de servicio: 3h30m
Se encontró con la cafetera destrabada.
De igual manera se hizo una puesta cero y calibración de las dos moliendas.
Pastillas salian muy grueso ya ok
Se observó una fuga de vapor sobre la válvula de seguridad y capuchón en mal estado.
Leche no llena la cantidad correcta.
Se limpió bomba de leche, válvula esm, embudo , chicler se hizo un lavado de todo el circuito de leche se recomienda cambiar la bomba de leche.
Matcha tapado eso hacía que en cada lavado de soluble, rebalse,filtre por la cafetera y pierda agua por debajo.
Observaciones: sin filtro de leche  eso influye a la vida útil de la bomba de leche, se recomienda conseguirlo
Error 55 resistencia de grupo en falla(no influye su funcionamiento)
No tiene la tapa trasera
Repuestos:
bomba de leche
válvula de seguridad 
Capuchón 
Filtro de leche
Resistencia de grupo 
Cafetera operando.</t>
        </is>
      </c>
      <c r="Q36" s="2" t="inlineStr">
        <is>
          <t>EQUIPOS;CAFETERAS CIMBALI</t>
        </is>
      </c>
      <c r="R36" s="2" t="inlineStr">
        <is>
          <t>2026-02-06 19:26:30</t>
        </is>
      </c>
      <c r="S36" s="2" t="n">
        <v>335</v>
      </c>
      <c r="T36" s="2" t="n">
        <v>235</v>
      </c>
      <c r="U36" s="2" t="inlineStr">
        <is>
          <t>Zona 2 — GBA Medio (30-60 km)</t>
        </is>
      </c>
      <c r="V36" s="2" t="n">
        <v>52.8</v>
      </c>
      <c r="W36" s="2" t="n">
        <v>35</v>
      </c>
      <c r="X36" s="2" t="n">
        <v>3</v>
      </c>
      <c r="Y36" s="2" t="n">
        <v>5</v>
      </c>
      <c r="Z36" s="2" t="n">
        <v>0</v>
      </c>
      <c r="AA36" s="2" t="n">
        <v>0</v>
      </c>
      <c r="AB36" s="2" t="n">
        <v>0</v>
      </c>
      <c r="AC36" s="2" t="n">
        <v>0</v>
      </c>
      <c r="AD36" s="2" t="n">
        <v>5</v>
      </c>
      <c r="AE36" s="3">
        <f>AD36*35.0</f>
        <v/>
      </c>
      <c r="AF36" s="2" t="inlineStr">
        <is>
          <t>Skill: Reglas Técnicas</t>
        </is>
      </c>
      <c r="AG36" s="2" t="inlineStr"/>
      <c r="AH36" s="2" t="inlineStr">
        <is>
          <t>La Plata 4</t>
        </is>
      </c>
    </row>
    <row r="37">
      <c r="A37" s="2" t="n">
        <v>110864</v>
      </c>
      <c r="B37" s="2" t="inlineStr">
        <is>
          <t>ER 059 a 061 - Problemas con el suministro de agua del equipo</t>
        </is>
      </c>
      <c r="C37" s="2" t="inlineStr">
        <is>
          <t>-</t>
        </is>
      </c>
      <c r="D37" s="2" t="inlineStr">
        <is>
          <t>Buen día! La cafetera pierde agua por la parte de abajo. Y salta la térmica. Por favor solicito revisión</t>
        </is>
      </c>
      <c r="E37" s="2" t="inlineStr">
        <is>
          <t>Normal</t>
        </is>
      </c>
      <c r="F37" s="2" t="inlineStr"/>
      <c r="G37" s="2" t="inlineStr"/>
      <c r="H37" s="2" t="inlineStr"/>
      <c r="I37" s="2" t="inlineStr">
        <is>
          <t>FLPC4</t>
        </is>
      </c>
      <c r="J37" s="2" t="inlineStr">
        <is>
          <t>La Plata 4</t>
        </is>
      </c>
      <c r="K37" s="2" t="inlineStr"/>
      <c r="L37" s="2" t="inlineStr">
        <is>
          <t>Cerrado</t>
        </is>
      </c>
      <c r="M37" s="2" t="inlineStr">
        <is>
          <t>2026-02-13 01:00:05</t>
        </is>
      </c>
      <c r="N37" s="2" t="inlineStr">
        <is>
          <t>Lucas Ale</t>
        </is>
      </c>
      <c r="O37" s="2" t="inlineStr">
        <is>
          <t>2026-02-08 13:46:30</t>
        </is>
      </c>
      <c r="P37" s="2" t="inlineStr">
        <is>
          <t>Cafetera la plata 4
Tk n:111049/110923
Serie n:1856450
Hora de servicio: 3h30m
Se encontró con la cafetera destrabada.
De igual manera se hizo una puesta cero y calibración de las dos moliendas.
Pastillas salian muy grueso ya ok
Se observó una fuga de vapor sobre la válvula de seguridad y capuchón en mal estado.
Leche no llena la cantidad correcta.
Se limpió bomba de leche, válvula esm, embudo , chicler se hizo un lavado de todo el circuito de leche se recomienda cambiar la bomba de leche.
Matcha tapado eso hacía que en cada lavado de soluble, rebalse,filtre por la cafetera y pierda agua por debajo.
Observaciones: sin filtro de leche  eso influye a la vida útil de la bomba de leche, se recomienda conseguirlo
Error 55 resistencia de grupo en falla(no influye su funcionamiento)
No tiene la tapa trasera
Repuestos:
bomba de leche
válvula de seguridad 
Capuchón 
Filtro de leche
Resistencia de grupo 
Cafetera operando.</t>
        </is>
      </c>
      <c r="Q37" s="2" t="inlineStr">
        <is>
          <t>EQUIPOS;CAFETERAS CIMBALI</t>
        </is>
      </c>
      <c r="R37" s="2" t="inlineStr">
        <is>
          <t>2026-02-06 09:25:21</t>
        </is>
      </c>
      <c r="S37" s="2" t="n">
        <v>44</v>
      </c>
      <c r="T37" s="2" t="inlineStr"/>
      <c r="U37" s="2" t="inlineStr">
        <is>
          <t>Zona 2 — GBA Medio (30-60 km)</t>
        </is>
      </c>
      <c r="V37" s="2" t="n">
        <v>52.8</v>
      </c>
      <c r="W37" s="2" t="n">
        <v>35</v>
      </c>
      <c r="X37" s="2" t="n">
        <v>3</v>
      </c>
      <c r="Y37" s="2" t="n">
        <v>5</v>
      </c>
      <c r="Z37" s="2" t="n">
        <v>0</v>
      </c>
      <c r="AA37" s="2" t="n">
        <v>0</v>
      </c>
      <c r="AB37" s="2" t="n">
        <v>0</v>
      </c>
      <c r="AC37" s="2" t="n">
        <v>0</v>
      </c>
      <c r="AD37" s="2" t="n">
        <v>5</v>
      </c>
      <c r="AE37" s="3">
        <f>AD37*35.0</f>
        <v/>
      </c>
      <c r="AF37" s="2" t="inlineStr">
        <is>
          <t>Skill: Reglas Técnicas</t>
        </is>
      </c>
      <c r="AG37" s="2" t="inlineStr"/>
      <c r="AH37" s="2" t="inlineStr">
        <is>
          <t>La Plata 4</t>
        </is>
      </c>
    </row>
    <row r="38">
      <c r="A38" s="2" t="n">
        <v>107748</v>
      </c>
      <c r="B38" s="2" t="inlineStr">
        <is>
          <t>Otros trabajos, detallar en comentarios</t>
        </is>
      </c>
      <c r="C38" s="2" t="inlineStr">
        <is>
          <t>-</t>
        </is>
      </c>
      <c r="D38" s="2" t="inlineStr">
        <is>
          <t>Buenos días, generamos tk para la revisión y colocación de los filmsback luminosos. Gracias</t>
        </is>
      </c>
      <c r="E38" s="2" t="inlineStr">
        <is>
          <t>Baja</t>
        </is>
      </c>
      <c r="F38" s="2" t="inlineStr"/>
      <c r="G38" s="2" t="inlineStr"/>
      <c r="H38" s="2" t="inlineStr"/>
      <c r="I38" s="2" t="inlineStr">
        <is>
          <t>FLPC4</t>
        </is>
      </c>
      <c r="J38" s="2" t="inlineStr">
        <is>
          <t>La Plata 4</t>
        </is>
      </c>
      <c r="K38" s="2" t="inlineStr"/>
      <c r="L38" s="2" t="inlineStr">
        <is>
          <t>Cerrado</t>
        </is>
      </c>
      <c r="M38" s="2" t="inlineStr">
        <is>
          <t>2026-02-13 01:00:05</t>
        </is>
      </c>
      <c r="N38" s="2" t="inlineStr">
        <is>
          <t>Lucas Ale</t>
        </is>
      </c>
      <c r="O38" s="2" t="inlineStr">
        <is>
          <t>2026-02-08 17:04:56</t>
        </is>
      </c>
      <c r="P38" s="2" t="inlineStr">
        <is>
          <t>Resuelto</t>
        </is>
      </c>
      <c r="Q38" s="2" t="inlineStr">
        <is>
          <t>;OTROS</t>
        </is>
      </c>
      <c r="R38" s="2" t="inlineStr">
        <is>
          <t>2026-01-13 12:11:53</t>
        </is>
      </c>
      <c r="S38" s="2" t="n">
        <v>101</v>
      </c>
      <c r="T38" s="2" t="n">
        <v>1</v>
      </c>
      <c r="U38" s="2" t="inlineStr">
        <is>
          <t>Zona 2 — GBA Medio (30-60 km)</t>
        </is>
      </c>
      <c r="V38" s="2" t="n">
        <v>52.8</v>
      </c>
      <c r="W38" s="2" t="n">
        <v>35</v>
      </c>
      <c r="X38" s="2" t="n">
        <v>3</v>
      </c>
      <c r="Y38" s="2" t="n">
        <v>2</v>
      </c>
      <c r="Z38" s="2" t="n">
        <v>0</v>
      </c>
      <c r="AA38" s="2" t="n">
        <v>0</v>
      </c>
      <c r="AB38" s="2" t="n">
        <v>0</v>
      </c>
      <c r="AC38" s="2" t="n">
        <v>0</v>
      </c>
      <c r="AD38" s="2" t="n">
        <v>3</v>
      </c>
      <c r="AE38" s="3">
        <f>AD38*35.0</f>
        <v/>
      </c>
      <c r="AF38" s="2" t="inlineStr">
        <is>
          <t>Skill: Reglas Técnicas</t>
        </is>
      </c>
      <c r="AG38" s="2" t="inlineStr"/>
      <c r="AH38" s="2" t="inlineStr">
        <is>
          <t>La Plata 4</t>
        </is>
      </c>
    </row>
    <row r="39">
      <c r="A39" s="2" t="n">
        <v>111672</v>
      </c>
      <c r="B39" s="2" t="inlineStr">
        <is>
          <t>ER 055 - Elemento calentador averiado</t>
        </is>
      </c>
      <c r="C39" s="2" t="inlineStr">
        <is>
          <t>-</t>
        </is>
      </c>
      <c r="D39" s="2" t="inlineStr">
        <is>
          <t>Buen día, además del error sigue saliendo agua por abajo de la cafetera derramando café</t>
        </is>
      </c>
      <c r="E39" s="2" t="inlineStr">
        <is>
          <t>Normal</t>
        </is>
      </c>
      <c r="F39" s="2" t="inlineStr">
        <is>
          <t>Estimados, 
Esto fue resuelto?
Saludos.</t>
        </is>
      </c>
      <c r="G39" s="2" t="inlineStr">
        <is>
          <t>Nahuel Loubiere</t>
        </is>
      </c>
      <c r="H39" s="2" t="inlineStr">
        <is>
          <t>2026-02-16 13:15:26</t>
        </is>
      </c>
      <c r="I39" s="2" t="inlineStr">
        <is>
          <t>FLPC4</t>
        </is>
      </c>
      <c r="J39" s="2" t="inlineStr">
        <is>
          <t>La Plata 4</t>
        </is>
      </c>
      <c r="K39" s="2" t="inlineStr"/>
      <c r="L39" s="2" t="inlineStr">
        <is>
          <t>Cerrado</t>
        </is>
      </c>
      <c r="M39" s="2" t="inlineStr">
        <is>
          <t>2026-02-28 01:00:04</t>
        </is>
      </c>
      <c r="N39" s="2" t="inlineStr">
        <is>
          <t>Nahuel Loubiere</t>
        </is>
      </c>
      <c r="O39" s="2" t="inlineStr">
        <is>
          <t>2026-02-23 08:37:43</t>
        </is>
      </c>
      <c r="P39" s="2" t="inlineStr">
        <is>
          <t>Se cierra tk por falta de comunicacion
Saludos</t>
        </is>
      </c>
      <c r="Q39" s="2" t="inlineStr">
        <is>
          <t>EQUIPOS;CAFETERAS CIMBALI</t>
        </is>
      </c>
      <c r="R39" s="2" t="inlineStr">
        <is>
          <t>2026-02-13 10:56:15</t>
        </is>
      </c>
      <c r="S39" s="2" t="n">
        <v>198</v>
      </c>
      <c r="T39" s="2" t="n">
        <v>98</v>
      </c>
      <c r="U39" s="2" t="inlineStr">
        <is>
          <t>Zona 2 — GBA Medio (30-60 km)</t>
        </is>
      </c>
      <c r="V39" s="2" t="n">
        <v>52.8</v>
      </c>
      <c r="W39" s="2" t="n">
        <v>35</v>
      </c>
      <c r="X39" s="2" t="n">
        <v>3</v>
      </c>
      <c r="Y39" s="2" t="n">
        <v>5</v>
      </c>
      <c r="Z39" s="2" t="n">
        <v>0</v>
      </c>
      <c r="AA39" s="2" t="n">
        <v>0</v>
      </c>
      <c r="AB39" s="2" t="n">
        <v>0</v>
      </c>
      <c r="AC39" s="2" t="n">
        <v>0</v>
      </c>
      <c r="AD39" s="2" t="n">
        <v>5</v>
      </c>
      <c r="AE39" s="3">
        <f>AD39*35.0</f>
        <v/>
      </c>
      <c r="AF39" s="2" t="inlineStr">
        <is>
          <t>Skill: Reglas Técnicas</t>
        </is>
      </c>
      <c r="AG39" s="2" t="inlineStr"/>
      <c r="AH39" s="2" t="inlineStr">
        <is>
          <t>La Plata 4</t>
        </is>
      </c>
    </row>
    <row r="40">
      <c r="A40" s="2" t="n">
        <v>110413</v>
      </c>
      <c r="B40" s="2" t="inlineStr">
        <is>
          <t>Equipo salta el disyuntor o térmica</t>
        </is>
      </c>
      <c r="C40" s="2" t="inlineStr">
        <is>
          <t>-</t>
        </is>
      </c>
      <c r="D40" s="2" t="inlineStr">
        <is>
          <t>Buenas tardes, solicito a la brevedad una visita ya que la molienda se encuentra trabada y no sale el café</t>
        </is>
      </c>
      <c r="E40" s="2" t="inlineStr">
        <is>
          <t>Urgente</t>
        </is>
      </c>
      <c r="F40" s="2" t="inlineStr"/>
      <c r="G40" s="2" t="inlineStr"/>
      <c r="H40" s="2" t="inlineStr"/>
      <c r="I40" s="2" t="inlineStr">
        <is>
          <t>FLF2</t>
        </is>
      </c>
      <c r="J40" s="2" t="inlineStr">
        <is>
          <t>Laferrere 2</t>
        </is>
      </c>
      <c r="K40" s="2" t="inlineStr"/>
      <c r="L40" s="2" t="inlineStr">
        <is>
          <t>Cerrado</t>
        </is>
      </c>
      <c r="M40" s="2" t="inlineStr">
        <is>
          <t>2026-02-08 01:00:04</t>
        </is>
      </c>
      <c r="N40" s="2" t="inlineStr">
        <is>
          <t>Lucas Ale</t>
        </is>
      </c>
      <c r="O40" s="2" t="inlineStr">
        <is>
          <t>2026-02-03 17:48:21</t>
        </is>
      </c>
      <c r="P40" s="2" t="inlineStr">
        <is>
          <t>Cafetera laferrere
Tk n: 110413
Serie n: 1970907
hora de servicio: 1h:30m
Cafetera se encontró con tolva mm2 trabada y leche fría.
Se realizo puesta 0 y calibración de dicha molienda.
Se realizó un lavado de todo el circuito de leche 
Observaciones: 
Tolva mm2 rota
barredor doblado
Cafetera operando.</t>
        </is>
      </c>
      <c r="Q40" s="2" t="inlineStr">
        <is>
          <t>EQUIPOS;CAFETERAS CIMBALI</t>
        </is>
      </c>
      <c r="R40" s="2" t="inlineStr">
        <is>
          <t>2026-02-02 14:56:56</t>
        </is>
      </c>
      <c r="S40" s="2" t="n">
        <v>212</v>
      </c>
      <c r="T40" s="2" t="n">
        <v>112</v>
      </c>
      <c r="U40" s="2" t="inlineStr">
        <is>
          <t>Zona 1 — CABA / GBA Cercano (≤30 km)</t>
        </is>
      </c>
      <c r="V40" s="2" t="n">
        <v>23.9</v>
      </c>
      <c r="W40" s="2" t="n">
        <v>35</v>
      </c>
      <c r="X40" s="2" t="n">
        <v>2</v>
      </c>
      <c r="Y40" s="2" t="n">
        <v>2</v>
      </c>
      <c r="Z40" s="2" t="n">
        <v>0</v>
      </c>
      <c r="AA40" s="2" t="n">
        <v>0</v>
      </c>
      <c r="AB40" s="2" t="n">
        <v>2</v>
      </c>
      <c r="AC40" s="2" t="n">
        <v>0</v>
      </c>
      <c r="AD40" s="2" t="n">
        <v>2</v>
      </c>
      <c r="AE40" s="3">
        <f>AD40*35.0</f>
        <v/>
      </c>
      <c r="AF40" s="2" t="inlineStr">
        <is>
          <t>Skill: Base Técnicos | Skill: Reglas Técnicas</t>
        </is>
      </c>
      <c r="AG40" s="2" t="inlineStr"/>
      <c r="AH40" s="2" t="inlineStr">
        <is>
          <t>Laferrere 2</t>
        </is>
      </c>
    </row>
    <row r="41">
      <c r="A41" s="2" t="n">
        <v>110734</v>
      </c>
      <c r="B41" s="2" t="inlineStr">
        <is>
          <t>Equipo salta el disyuntor o térmica</t>
        </is>
      </c>
      <c r="C41" s="2" t="inlineStr">
        <is>
          <t>-</t>
        </is>
      </c>
      <c r="D41" s="2" t="inlineStr">
        <is>
          <t>Buenos días, pierde agua por debajo no sale café y salta la térmica</t>
        </is>
      </c>
      <c r="E41" s="2" t="inlineStr">
        <is>
          <t>Urgente</t>
        </is>
      </c>
      <c r="F41" s="2" t="inlineStr"/>
      <c r="G41" s="2" t="inlineStr"/>
      <c r="H41" s="2" t="inlineStr"/>
      <c r="I41" s="2" t="inlineStr">
        <is>
          <t>FMLAC</t>
        </is>
      </c>
      <c r="J41" s="2" t="inlineStr">
        <is>
          <t>Lanus 2</t>
        </is>
      </c>
      <c r="K41" s="2" t="inlineStr"/>
      <c r="L41" s="2" t="inlineStr">
        <is>
          <t>Cerrado</t>
        </is>
      </c>
      <c r="M41" s="2" t="inlineStr">
        <is>
          <t>2026-02-10 01:00:06</t>
        </is>
      </c>
      <c r="N41" s="2" t="inlineStr">
        <is>
          <t>Nahuel Loubiere</t>
        </is>
      </c>
      <c r="O41" s="2" t="inlineStr">
        <is>
          <t>2026-02-05 14:36:11</t>
        </is>
      </c>
      <c r="P41" s="2" t="inlineStr">
        <is>
          <t>Estimados,
Se cambia racor de cámara de grupo. También se destraba molienda mm1
Saludos</t>
        </is>
      </c>
      <c r="Q41" s="2" t="inlineStr">
        <is>
          <t>EQUIPOS;CAFETERAS CIMBALI</t>
        </is>
      </c>
      <c r="R41" s="2" t="inlineStr">
        <is>
          <t>2026-02-05 08:32:01</t>
        </is>
      </c>
      <c r="S41" s="2" t="n">
        <v>60</v>
      </c>
      <c r="T41" s="2" t="inlineStr"/>
      <c r="U41" s="2" t="inlineStr">
        <is>
          <t>Zona 1 — CABA / GBA Cercano (≤30 km)</t>
        </is>
      </c>
      <c r="V41" s="2" t="n">
        <v>11.4</v>
      </c>
      <c r="W41" s="2" t="n">
        <v>35</v>
      </c>
      <c r="X41" s="2" t="n">
        <v>2</v>
      </c>
      <c r="Y41" s="2" t="n">
        <v>2</v>
      </c>
      <c r="Z41" s="2" t="n">
        <v>0</v>
      </c>
      <c r="AA41" s="2" t="n">
        <v>0</v>
      </c>
      <c r="AB41" s="2" t="n">
        <v>0</v>
      </c>
      <c r="AC41" s="2" t="n">
        <v>0</v>
      </c>
      <c r="AD41" s="2" t="n">
        <v>2</v>
      </c>
      <c r="AE41" s="3">
        <f>AD41*35.0</f>
        <v/>
      </c>
      <c r="AF41" s="2" t="inlineStr">
        <is>
          <t>Skill: Reglas Técnicas</t>
        </is>
      </c>
      <c r="AG41" s="2" t="inlineStr"/>
      <c r="AH41" s="2" t="inlineStr">
        <is>
          <t>Lanus 2</t>
        </is>
      </c>
    </row>
    <row r="42">
      <c r="A42" s="2" t="n">
        <v>112540</v>
      </c>
      <c r="B42" s="2" t="inlineStr">
        <is>
          <t>ER 033 y 034 - Falla de válvula, revisar según error</t>
        </is>
      </c>
      <c r="C42" s="2" t="inlineStr">
        <is>
          <t>-</t>
        </is>
      </c>
      <c r="D42" s="2" t="inlineStr">
        <is>
          <t>No sale leche</t>
        </is>
      </c>
      <c r="E42" s="2" t="inlineStr">
        <is>
          <t>Urgente</t>
        </is>
      </c>
      <c r="F42" s="2" t="inlineStr"/>
      <c r="G42" s="2" t="inlineStr"/>
      <c r="H42" s="2" t="inlineStr"/>
      <c r="I42" s="2" t="inlineStr">
        <is>
          <t>FMLAC</t>
        </is>
      </c>
      <c r="J42" s="2" t="inlineStr">
        <is>
          <t>Lanus 2</t>
        </is>
      </c>
      <c r="K42" s="2" t="inlineStr"/>
      <c r="L42" s="2" t="inlineStr">
        <is>
          <t>Cerrado</t>
        </is>
      </c>
      <c r="M42" s="2" t="inlineStr">
        <is>
          <t>2026-02-27 01:00:05</t>
        </is>
      </c>
      <c r="N42" s="2" t="inlineStr">
        <is>
          <t>Lucas Ale</t>
        </is>
      </c>
      <c r="O42" s="2" t="inlineStr">
        <is>
          <t>2026-02-22 16:48:56</t>
        </is>
      </c>
      <c r="P42" s="2" t="inlineStr">
        <is>
          <t>Cafetera Lanús 
Número de ticket:112540
Número de serie:1856434
Hora de servicio:40m
Se encontró la cafetera con que salía leche.(solucionado por el local)
Se calibró leche y espuma.
Se realizó calibración de la molienda mm1 ya que no salía en tiempo y pastillas rotas.
Observaciones:
-se encontró pérdida de agua por pinchadura de la manguera de desagote azul, se le colocó algo provisorio para que pierda lo menos posible hasta conseguir la manguera.
-sin filtro de leche se recomienda conseguirlo ya que influye en la vida útil de la bomba de leche.
-tapa de embudo de pastilla de lavado rota.
Repuestos: manguera de Desagote azul
Cafetera operando.</t>
        </is>
      </c>
      <c r="Q42" s="2" t="inlineStr">
        <is>
          <t>EQUIPOS;CAFETERAS CIMBALI</t>
        </is>
      </c>
      <c r="R42" s="2" t="inlineStr">
        <is>
          <t>2026-02-21 10:42:30</t>
        </is>
      </c>
      <c r="S42" s="2" t="n">
        <v>238</v>
      </c>
      <c r="T42" s="2" t="n">
        <v>138</v>
      </c>
      <c r="U42" s="2" t="inlineStr">
        <is>
          <t>Zona 1 — CABA / GBA Cercano (≤30 km)</t>
        </is>
      </c>
      <c r="V42" s="2" t="n">
        <v>11.4</v>
      </c>
      <c r="W42" s="2" t="n">
        <v>35</v>
      </c>
      <c r="X42" s="2" t="n">
        <v>2</v>
      </c>
      <c r="Y42" s="2" t="n">
        <v>0</v>
      </c>
      <c r="Z42" s="2" t="n">
        <v>0</v>
      </c>
      <c r="AA42" s="2" t="n">
        <v>0</v>
      </c>
      <c r="AB42" s="2" t="n">
        <v>0</v>
      </c>
      <c r="AC42" s="2" t="n">
        <v>0</v>
      </c>
      <c r="AD42" s="2" t="n">
        <v>0</v>
      </c>
      <c r="AE42" s="3">
        <f>AD42*35.0</f>
        <v/>
      </c>
      <c r="AF42" s="2" t="inlineStr">
        <is>
          <t>Resuelto por el Local (0 HS)</t>
        </is>
      </c>
      <c r="AG42" s="2" t="inlineStr"/>
      <c r="AH42" s="2" t="inlineStr">
        <is>
          <t>Lanus 2</t>
        </is>
      </c>
    </row>
    <row r="43">
      <c r="A43" s="2" t="n">
        <v>113030</v>
      </c>
      <c r="B43" s="2" t="inlineStr">
        <is>
          <t>Pieza perdida o rota</t>
        </is>
      </c>
      <c r="C43" s="2" t="inlineStr">
        <is>
          <t>-</t>
        </is>
      </c>
      <c r="D43" s="2" t="inlineStr">
        <is>
          <t>Buenas noches, 
La cafetera pierde agua. 
Repuesto pedido anteriormente: Manguera de desagote azul ya presente en el local.</t>
        </is>
      </c>
      <c r="E43" s="2" t="inlineStr">
        <is>
          <t>Baja</t>
        </is>
      </c>
      <c r="F43" s="2" t="inlineStr"/>
      <c r="G43" s="2" t="inlineStr"/>
      <c r="H43" s="2" t="inlineStr"/>
      <c r="I43" s="2" t="inlineStr">
        <is>
          <t>FMLAC</t>
        </is>
      </c>
      <c r="J43" s="2" t="inlineStr">
        <is>
          <t>Lanus 2</t>
        </is>
      </c>
      <c r="K43" s="2" t="inlineStr"/>
      <c r="L43" s="2" t="inlineStr">
        <is>
          <t>Resuelto</t>
        </is>
      </c>
      <c r="M43" s="2" t="inlineStr">
        <is>
          <t>2026-02-28 14:17:16</t>
        </is>
      </c>
      <c r="N43" s="2" t="inlineStr">
        <is>
          <t>Nicolas Franco</t>
        </is>
      </c>
      <c r="O43" s="2" t="inlineStr">
        <is>
          <t>2026-02-28 14:17:16</t>
        </is>
      </c>
      <c r="P43" s="2" t="inlineStr">
        <is>
          <t>Cafetera lanus (2 horas de trabajo)
Tiket#113030
Se realizó cambio de manguera azul, se realizó todos los lavados para verificar , no pierda y se calibro leche, falta filtro de leche al equipo,equipo operando con normalidad</t>
        </is>
      </c>
      <c r="Q43" s="2" t="inlineStr">
        <is>
          <t>EQUIPOS;CAFETERAS CIMBALI</t>
        </is>
      </c>
      <c r="R43" s="2" t="inlineStr">
        <is>
          <t>2026-02-25 21:49:21</t>
        </is>
      </c>
      <c r="S43" s="2" t="n">
        <v>10</v>
      </c>
      <c r="T43" s="2" t="inlineStr"/>
      <c r="U43" s="2" t="inlineStr">
        <is>
          <t>Zona 1 — CABA / GBA Cercano (≤30 km)</t>
        </is>
      </c>
      <c r="V43" s="2" t="n">
        <v>11.4</v>
      </c>
      <c r="W43" s="2" t="n">
        <v>35</v>
      </c>
      <c r="X43" s="2" t="n">
        <v>2</v>
      </c>
      <c r="Y43" s="2" t="n">
        <v>2</v>
      </c>
      <c r="Z43" s="2" t="n">
        <v>0</v>
      </c>
      <c r="AA43" s="2" t="n">
        <v>0</v>
      </c>
      <c r="AB43" s="2" t="n">
        <v>0</v>
      </c>
      <c r="AC43" s="2" t="n">
        <v>2</v>
      </c>
      <c r="AD43" s="2" t="n">
        <v>2</v>
      </c>
      <c r="AE43" s="3">
        <f>AD43*35.0</f>
        <v/>
      </c>
      <c r="AF43" s="2" t="inlineStr">
        <is>
          <t>Skill: Resolución | Skill: Reglas Técnicas</t>
        </is>
      </c>
      <c r="AG43" s="2" t="inlineStr"/>
      <c r="AH43" s="2" t="inlineStr">
        <is>
          <t>Lanus 2</t>
        </is>
      </c>
    </row>
    <row r="44">
      <c r="A44" s="2" t="n">
        <v>110518</v>
      </c>
      <c r="B44" s="2" t="inlineStr">
        <is>
          <t>ER 021  y 022 - Anomalía en movimiento de las muelas</t>
        </is>
      </c>
      <c r="C44" s="2" t="inlineStr">
        <is>
          <t>-</t>
        </is>
      </c>
      <c r="D44" s="2" t="inlineStr">
        <is>
          <t>Ambas moliendas trabadas</t>
        </is>
      </c>
      <c r="E44" s="2" t="inlineStr">
        <is>
          <t>Urgente</t>
        </is>
      </c>
      <c r="F44" s="2" t="inlineStr">
        <is>
          <t>Las moliendas siguen las dos trabadas</t>
        </is>
      </c>
      <c r="G44" s="2" t="inlineStr">
        <is>
          <t>Sucursal Liniers</t>
        </is>
      </c>
      <c r="H44" s="2" t="inlineStr">
        <is>
          <t>2026-02-04 10:57:44</t>
        </is>
      </c>
      <c r="I44" s="2" t="inlineStr">
        <is>
          <t>FLINR</t>
        </is>
      </c>
      <c r="J44" s="2" t="inlineStr">
        <is>
          <t>Liniers</t>
        </is>
      </c>
      <c r="K44" s="2" t="inlineStr"/>
      <c r="L44" s="2" t="inlineStr">
        <is>
          <t>Cerrado</t>
        </is>
      </c>
      <c r="M44" s="2" t="inlineStr">
        <is>
          <t>2026-02-10 01:00:06</t>
        </is>
      </c>
      <c r="N44" s="2" t="inlineStr">
        <is>
          <t>Nicolas Franco</t>
        </is>
      </c>
      <c r="O44" s="2" t="inlineStr">
        <is>
          <t>2026-02-05 19:47:03</t>
        </is>
      </c>
      <c r="P44" s="2" t="inlineStr">
        <is>
          <t>Cafetera Liniers (2 horas de trabajo)
Cimbali 1842009
Tiket#110518
Se encontró mm1 trabada con café viejo y duro se realizó calibración y puesta cero, se encontró grupo con exceso de café tanto arriba como abajo, vaciar el cajón cuando el equipo lo pida, equipo opersndo</t>
        </is>
      </c>
      <c r="Q44" s="2" t="inlineStr">
        <is>
          <t>EQUIPOS;CAFETERAS CIMBALI</t>
        </is>
      </c>
      <c r="R44" s="2" t="inlineStr">
        <is>
          <t>2026-02-03 08:59:33</t>
        </is>
      </c>
      <c r="S44" s="2" t="n">
        <v>130</v>
      </c>
      <c r="T44" s="2" t="n">
        <v>30</v>
      </c>
      <c r="U44" s="2" t="inlineStr">
        <is>
          <t>Zona 1 — CABA / GBA Cercano (≤30 km)</t>
        </is>
      </c>
      <c r="V44" s="2" t="n">
        <v>12.5</v>
      </c>
      <c r="W44" s="2" t="n">
        <v>35</v>
      </c>
      <c r="X44" s="2" t="n">
        <v>2</v>
      </c>
      <c r="Y44" s="2" t="n">
        <v>2</v>
      </c>
      <c r="Z44" s="2" t="n">
        <v>2</v>
      </c>
      <c r="AA44" s="2" t="n">
        <v>0</v>
      </c>
      <c r="AB44" s="2" t="n">
        <v>2</v>
      </c>
      <c r="AC44" s="2" t="n">
        <v>2</v>
      </c>
      <c r="AD44" s="2" t="n">
        <v>2</v>
      </c>
      <c r="AE44" s="3">
        <f>AD44*35.0</f>
        <v/>
      </c>
      <c r="AF44" s="2" t="inlineStr">
        <is>
          <t>Skill: Base Técnicos | Skill: Resolución | Skill: Chat | Skill: Reglas Técnicas</t>
        </is>
      </c>
      <c r="AG44" s="2" t="inlineStr"/>
      <c r="AH44" s="2" t="inlineStr">
        <is>
          <t>Liniers</t>
        </is>
      </c>
    </row>
    <row r="45">
      <c r="A45" s="2" t="n">
        <v>111330</v>
      </c>
      <c r="B45" s="2" t="inlineStr">
        <is>
          <t>ER 021  y 022 - Anomalía en movimiento de las muelas</t>
        </is>
      </c>
      <c r="C45" s="2" t="inlineStr">
        <is>
          <t>-</t>
        </is>
      </c>
      <c r="D45" s="2" t="inlineStr">
        <is>
          <t>No sale café de ninguna de las dos moliendas.</t>
        </is>
      </c>
      <c r="E45" s="2" t="inlineStr">
        <is>
          <t>Urgente</t>
        </is>
      </c>
      <c r="F45" s="2" t="inlineStr"/>
      <c r="G45" s="2" t="inlineStr"/>
      <c r="H45" s="2" t="inlineStr"/>
      <c r="I45" s="2" t="inlineStr">
        <is>
          <t>FLINR</t>
        </is>
      </c>
      <c r="J45" s="2" t="inlineStr">
        <is>
          <t>Liniers</t>
        </is>
      </c>
      <c r="K45" s="2" t="inlineStr"/>
      <c r="L45" s="2" t="inlineStr">
        <is>
          <t>Cerrado</t>
        </is>
      </c>
      <c r="M45" s="2" t="inlineStr">
        <is>
          <t>2026-02-15 01:00:04</t>
        </is>
      </c>
      <c r="N45" s="2" t="inlineStr">
        <is>
          <t>Nahuel Loubiere</t>
        </is>
      </c>
      <c r="O45" s="2" t="inlineStr">
        <is>
          <t>2026-02-10 15:51:54</t>
        </is>
      </c>
      <c r="P45" s="2" t="inlineStr">
        <is>
          <t>Estimados,
Se destraban moliendas. Se recomienda cambio de lo siguiente: Cambio de kit pistón y grupo.
Cambio de coolers ( debido a que el equipo sobrecalienta mucho causando condensación). 
Cambio de spot (lanzador) de leche. 
Saludos,</t>
        </is>
      </c>
      <c r="Q45" s="2" t="inlineStr">
        <is>
          <t>EQUIPOS;CAFETERAS CIMBALI</t>
        </is>
      </c>
      <c r="R45" s="2" t="inlineStr">
        <is>
          <t>2026-02-10 08:33:09</t>
        </is>
      </c>
      <c r="S45" s="2" t="n">
        <v>80</v>
      </c>
      <c r="T45" s="2" t="inlineStr"/>
      <c r="U45" s="2" t="inlineStr">
        <is>
          <t>Zona 1 — CABA / GBA Cercano (≤30 km)</t>
        </is>
      </c>
      <c r="V45" s="2" t="n">
        <v>12.5</v>
      </c>
      <c r="W45" s="2" t="n">
        <v>35</v>
      </c>
      <c r="X45" s="2" t="n">
        <v>2</v>
      </c>
      <c r="Y45" s="2" t="n">
        <v>2</v>
      </c>
      <c r="Z45" s="2" t="n">
        <v>0</v>
      </c>
      <c r="AA45" s="2" t="n">
        <v>0</v>
      </c>
      <c r="AB45" s="2" t="n">
        <v>0</v>
      </c>
      <c r="AC45" s="2" t="n">
        <v>0</v>
      </c>
      <c r="AD45" s="2" t="n">
        <v>2</v>
      </c>
      <c r="AE45" s="3">
        <f>AD45*35.0</f>
        <v/>
      </c>
      <c r="AF45" s="2" t="inlineStr">
        <is>
          <t>Skill: Reglas Técnicas</t>
        </is>
      </c>
      <c r="AG45" s="2" t="inlineStr"/>
      <c r="AH45" s="2" t="inlineStr">
        <is>
          <t>Liniers</t>
        </is>
      </c>
    </row>
    <row r="46">
      <c r="A46" s="2" t="n">
        <v>111430</v>
      </c>
      <c r="B46" s="2" t="inlineStr">
        <is>
          <t>ER 021  y 022 - Anomalía en movimiento de las muelas</t>
        </is>
      </c>
      <c r="C46" s="2" t="inlineStr">
        <is>
          <t>-</t>
        </is>
      </c>
      <c r="D46" s="2" t="inlineStr">
        <is>
          <t>Buenas tardes, se traban las moliendas a cada rato.</t>
        </is>
      </c>
      <c r="E46" s="2" t="inlineStr">
        <is>
          <t>Urgente</t>
        </is>
      </c>
      <c r="F46" s="2" t="inlineStr"/>
      <c r="G46" s="2" t="inlineStr"/>
      <c r="H46" s="2" t="inlineStr"/>
      <c r="I46" s="2" t="inlineStr">
        <is>
          <t>FLINR</t>
        </is>
      </c>
      <c r="J46" s="2" t="inlineStr">
        <is>
          <t>Liniers</t>
        </is>
      </c>
      <c r="K46" s="2" t="inlineStr"/>
      <c r="L46" s="2" t="inlineStr">
        <is>
          <t>Cerrado</t>
        </is>
      </c>
      <c r="M46" s="2" t="inlineStr">
        <is>
          <t>2026-02-17 01:00:05</t>
        </is>
      </c>
      <c r="N46" s="2" t="inlineStr">
        <is>
          <t>Bruno Leyes</t>
        </is>
      </c>
      <c r="O46" s="2" t="inlineStr">
        <is>
          <t>2026-02-12 18:55:20</t>
        </is>
      </c>
      <c r="P46" s="2" t="inlineStr">
        <is>
          <t>Tiempo de servicio: 1 hr
Se destrabaron moliendas, se limpio y se calibraron ambas. En espera de repuestos para cerrar el tema</t>
        </is>
      </c>
      <c r="Q46" s="2" t="inlineStr">
        <is>
          <t>EQUIPOS;CAFETERAS CIMBALI</t>
        </is>
      </c>
      <c r="R46" s="2" t="inlineStr">
        <is>
          <t>2026-02-10 19:32:07</t>
        </is>
      </c>
      <c r="S46" s="2" t="n">
        <v>110</v>
      </c>
      <c r="T46" s="2" t="n">
        <v>10</v>
      </c>
      <c r="U46" s="2" t="inlineStr">
        <is>
          <t>Zona 1 — CABA / GBA Cercano (≤30 km)</t>
        </is>
      </c>
      <c r="V46" s="2" t="n">
        <v>12.5</v>
      </c>
      <c r="W46" s="2" t="n">
        <v>35</v>
      </c>
      <c r="X46" s="2" t="n">
        <v>2</v>
      </c>
      <c r="Y46" s="2" t="n">
        <v>1</v>
      </c>
      <c r="Z46" s="2" t="n">
        <v>0</v>
      </c>
      <c r="AA46" s="2" t="n">
        <v>0</v>
      </c>
      <c r="AB46" s="2" t="n">
        <v>0</v>
      </c>
      <c r="AC46" s="2" t="n">
        <v>1</v>
      </c>
      <c r="AD46" s="2" t="n">
        <v>2</v>
      </c>
      <c r="AE46" s="3">
        <f>AD46*35.0</f>
        <v/>
      </c>
      <c r="AF46" s="2" t="inlineStr">
        <is>
          <t>Skill: Resolución | Skill: Reglas Técnicas</t>
        </is>
      </c>
      <c r="AG46" s="2" t="inlineStr"/>
      <c r="AH46" s="2" t="inlineStr">
        <is>
          <t>Liniers</t>
        </is>
      </c>
    </row>
    <row r="47">
      <c r="A47" s="2" t="n">
        <v>112385</v>
      </c>
      <c r="B47" s="2" t="inlineStr">
        <is>
          <t>Equipo salta el disyuntor o térmica</t>
        </is>
      </c>
      <c r="C47" s="2" t="inlineStr">
        <is>
          <t>-</t>
        </is>
      </c>
      <c r="D47" s="2" t="inlineStr">
        <is>
          <t>Buenas noches, la cafetera esta haciendo saltar un disyuntor</t>
        </is>
      </c>
      <c r="E47" s="2" t="inlineStr">
        <is>
          <t>Urgente</t>
        </is>
      </c>
      <c r="F47" s="2" t="inlineStr">
        <is>
          <t>Fotos</t>
        </is>
      </c>
      <c r="G47" s="2" t="inlineStr">
        <is>
          <t>Lucas Ale</t>
        </is>
      </c>
      <c r="H47" s="2" t="inlineStr">
        <is>
          <t>2026-02-20 14:58:11</t>
        </is>
      </c>
      <c r="I47" s="2" t="inlineStr">
        <is>
          <t>FLINR</t>
        </is>
      </c>
      <c r="J47" s="2" t="inlineStr">
        <is>
          <t>Liniers</t>
        </is>
      </c>
      <c r="K47" s="2" t="inlineStr"/>
      <c r="L47" s="2" t="inlineStr">
        <is>
          <t>Cerrado</t>
        </is>
      </c>
      <c r="M47" s="2" t="inlineStr">
        <is>
          <t>2026-02-25 01:00:04</t>
        </is>
      </c>
      <c r="N47" s="2" t="inlineStr">
        <is>
          <t>Lucas Ale</t>
        </is>
      </c>
      <c r="O47" s="2" t="inlineStr">
        <is>
          <t>2026-02-20 14:58:23</t>
        </is>
      </c>
      <c r="P47" s="2" t="inlineStr">
        <is>
          <t>Cafetera Liniers
Ticket número:112385
Serie número:1842009
Hora de servicio: 2h:40m
Se encontró con la cafetera donde saltaba el diyuntor.
Se encontró cables empalmados del protector térmico de la caldera grande costado derecho quemado.
Conector molex 4 pines quemado 
Se intercambió con algo provisorio y duradero , se recomienda conseguir el repuesto.
Moliendas mm1 y mm2 ok.
Leche ok
Observaciones:
Se observó que no tienen el líquido azul ginza.
Se recomienda conseguirle ya que ayuda a mantener vida útil de todo el circuito de leche(bomba, válvulas, etc).
-poco caudal de agua y tibio por la lanza de té (caldera con sarro)
Se recomienda coordinar una visita y limpiar el pescador ya que va llegar un momento que la máquina se va bloquear y no va dejar hacer lavado.
Repuestos: 
-protector térmico 
-conector molex 4pines
Cafetera operando.</t>
        </is>
      </c>
      <c r="Q47" s="2" t="inlineStr">
        <is>
          <t>EQUIPOS;CAFETERAS CIMBALI</t>
        </is>
      </c>
      <c r="R47" s="2" t="inlineStr">
        <is>
          <t>2026-02-19 20:56:05</t>
        </is>
      </c>
      <c r="S47" s="2" t="n">
        <v>130</v>
      </c>
      <c r="T47" s="2" t="n">
        <v>30</v>
      </c>
      <c r="U47" s="2" t="inlineStr">
        <is>
          <t>Zona 1 — CABA / GBA Cercano (≤30 km)</t>
        </is>
      </c>
      <c r="V47" s="2" t="n">
        <v>12.5</v>
      </c>
      <c r="W47" s="2" t="n">
        <v>35</v>
      </c>
      <c r="X47" s="2" t="n">
        <v>2</v>
      </c>
      <c r="Y47" s="2" t="n">
        <v>2</v>
      </c>
      <c r="Z47" s="2" t="n">
        <v>0</v>
      </c>
      <c r="AA47" s="2" t="n">
        <v>0</v>
      </c>
      <c r="AB47" s="2" t="n">
        <v>0</v>
      </c>
      <c r="AC47" s="2" t="n">
        <v>0</v>
      </c>
      <c r="AD47" s="2" t="n">
        <v>2</v>
      </c>
      <c r="AE47" s="3">
        <f>AD47*35.0</f>
        <v/>
      </c>
      <c r="AF47" s="2" t="inlineStr">
        <is>
          <t>Skill: Reglas Técnicas</t>
        </is>
      </c>
      <c r="AG47" s="2" t="inlineStr"/>
      <c r="AH47" s="2" t="inlineStr">
        <is>
          <t>Liniers</t>
        </is>
      </c>
    </row>
    <row r="48">
      <c r="A48" s="2" t="n">
        <v>113201</v>
      </c>
      <c r="B48" s="2" t="inlineStr">
        <is>
          <t>ER 021  y 022 - Anomalía en movimiento de las muelas</t>
        </is>
      </c>
      <c r="C48" s="2" t="inlineStr">
        <is>
          <t>-</t>
        </is>
      </c>
      <c r="D48" s="2" t="inlineStr">
        <is>
          <t>Hace 2 dias cambiaron varios repuestos,  no anda la mm1 y encima quedó como desconectada la vaporera de la leche y sale vapor por cualquier lado. Lo arreglaron a medias</t>
        </is>
      </c>
      <c r="E48" s="2" t="inlineStr">
        <is>
          <t>Urgente</t>
        </is>
      </c>
      <c r="F48" s="2" t="inlineStr"/>
      <c r="G48" s="2" t="inlineStr"/>
      <c r="H48" s="2" t="inlineStr"/>
      <c r="I48" s="2" t="inlineStr">
        <is>
          <t>FLINR</t>
        </is>
      </c>
      <c r="J48" s="2" t="inlineStr">
        <is>
          <t>Liniers</t>
        </is>
      </c>
      <c r="K48" s="2" t="inlineStr"/>
      <c r="L48" s="2" t="inlineStr">
        <is>
          <t>Resuelto</t>
        </is>
      </c>
      <c r="M48" s="2" t="inlineStr">
        <is>
          <t>2026-02-28 13:41:21</t>
        </is>
      </c>
      <c r="N48" s="2" t="inlineStr">
        <is>
          <t>Bruno Leyes</t>
        </is>
      </c>
      <c r="O48" s="2" t="inlineStr">
        <is>
          <t>2026-02-28 13:41:21</t>
        </is>
      </c>
      <c r="P48" s="2" t="inlineStr">
        <is>
          <t>Tiempo de servicio: 3 hrs
Se encontró mangueras sueltas del barometro y lanza de vapor, se limpio todo el exceso de café en toda la cafetera. Se destrabo moliendas, se le realizo puesta a 0 y se calibraron. Se le reguló cantidad de café y presión de la bomba de agua
Observaciones: térmico lateral puenteado y valvula em estaba teniendo una pérdida de agua ya que estaba demasiado tirante la manguera.
Repuestos a solicitar:
•térmico lateral</t>
        </is>
      </c>
      <c r="Q48" s="2" t="inlineStr">
        <is>
          <t>EQUIPOS;CAFETERAS CIMBALI</t>
        </is>
      </c>
      <c r="R48" s="2" t="inlineStr">
        <is>
          <t>2026-02-27 09:47:14</t>
        </is>
      </c>
      <c r="S48" s="2" t="n">
        <v>219</v>
      </c>
      <c r="T48" s="2" t="n">
        <v>119</v>
      </c>
      <c r="U48" s="2" t="inlineStr">
        <is>
          <t>Zona 1 — CABA / GBA Cercano (≤30 km)</t>
        </is>
      </c>
      <c r="V48" s="2" t="n">
        <v>12.5</v>
      </c>
      <c r="W48" s="2" t="n">
        <v>35</v>
      </c>
      <c r="X48" s="2" t="n">
        <v>2</v>
      </c>
      <c r="Y48" s="2" t="n">
        <v>3</v>
      </c>
      <c r="Z48" s="2" t="n">
        <v>0</v>
      </c>
      <c r="AA48" s="2" t="n">
        <v>0</v>
      </c>
      <c r="AB48" s="2" t="n">
        <v>0</v>
      </c>
      <c r="AC48" s="2" t="n">
        <v>3</v>
      </c>
      <c r="AD48" s="2" t="n">
        <v>3</v>
      </c>
      <c r="AE48" s="3">
        <f>AD48*35.0</f>
        <v/>
      </c>
      <c r="AF48" s="2" t="inlineStr">
        <is>
          <t>Skill: Resolución | Skill: Reglas Técnicas</t>
        </is>
      </c>
      <c r="AG48" s="2" t="inlineStr"/>
      <c r="AH48" s="2" t="inlineStr">
        <is>
          <t>Liniers</t>
        </is>
      </c>
    </row>
    <row r="49">
      <c r="A49" s="2" t="n">
        <v>113021</v>
      </c>
      <c r="B49" s="2" t="inlineStr">
        <is>
          <t>ER 033 y 034 - Falla de válvula, revisar según error</t>
        </is>
      </c>
      <c r="C49" s="2" t="inlineStr">
        <is>
          <t>-</t>
        </is>
      </c>
      <c r="D49" s="2" t="inlineStr">
        <is>
          <t>Están los repuestos para cambiar.</t>
        </is>
      </c>
      <c r="E49" s="2" t="inlineStr">
        <is>
          <t>Urgente</t>
        </is>
      </c>
      <c r="F49" s="2" t="inlineStr"/>
      <c r="G49" s="2" t="inlineStr"/>
      <c r="H49" s="2" t="inlineStr"/>
      <c r="I49" s="2" t="inlineStr">
        <is>
          <t>FLINR</t>
        </is>
      </c>
      <c r="J49" s="2" t="inlineStr">
        <is>
          <t>Liniers</t>
        </is>
      </c>
      <c r="K49" s="2" t="inlineStr"/>
      <c r="L49" s="2" t="inlineStr">
        <is>
          <t>Resuelto</t>
        </is>
      </c>
      <c r="M49" s="2" t="inlineStr">
        <is>
          <t>2026-02-28 14:09:15</t>
        </is>
      </c>
      <c r="N49" s="2" t="inlineStr">
        <is>
          <t>Nicolas Franco</t>
        </is>
      </c>
      <c r="O49" s="2" t="inlineStr">
        <is>
          <t>2026-02-28 14:09:15</t>
        </is>
      </c>
      <c r="P49" s="2" t="inlineStr">
        <is>
          <t>Cafetera Liniers (5 horas de trabajo)
Tiket#113021
Cambio de kit de grupo completo y cooler, se calibro leche y quedó operando</t>
        </is>
      </c>
      <c r="Q49" s="2" t="inlineStr">
        <is>
          <t>EQUIPOS;CAFETERAS CIMBALI</t>
        </is>
      </c>
      <c r="R49" s="2" t="inlineStr">
        <is>
          <t>2026-02-25 18:51:38</t>
        </is>
      </c>
      <c r="S49" s="2" t="inlineStr"/>
      <c r="T49" s="2" t="inlineStr"/>
      <c r="U49" s="2" t="inlineStr">
        <is>
          <t>Zona 1 — CABA / GBA Cercano (≤30 km)</t>
        </is>
      </c>
      <c r="V49" s="2" t="n">
        <v>12.5</v>
      </c>
      <c r="W49" s="2" t="n">
        <v>35</v>
      </c>
      <c r="X49" s="2" t="n">
        <v>2</v>
      </c>
      <c r="Y49" s="2" t="n">
        <v>2</v>
      </c>
      <c r="Z49" s="2" t="n">
        <v>0</v>
      </c>
      <c r="AA49" s="2" t="n">
        <v>0</v>
      </c>
      <c r="AB49" s="2" t="n">
        <v>0</v>
      </c>
      <c r="AC49" s="2" t="n">
        <v>5</v>
      </c>
      <c r="AD49" s="2" t="n">
        <v>5</v>
      </c>
      <c r="AE49" s="3">
        <f>AD49*35.0</f>
        <v/>
      </c>
      <c r="AF49" s="2" t="inlineStr">
        <is>
          <t>Skill: Resolución | Skill: Reglas Técnicas</t>
        </is>
      </c>
      <c r="AG49" s="2" t="inlineStr"/>
      <c r="AH49" s="2" t="inlineStr">
        <is>
          <t>Liniers</t>
        </is>
      </c>
    </row>
    <row r="50">
      <c r="A50" s="2" t="n">
        <v>107797</v>
      </c>
      <c r="B50" s="2" t="inlineStr">
        <is>
          <t>Otros trabajos, detallar en comentarios</t>
        </is>
      </c>
      <c r="C50" s="2" t="inlineStr">
        <is>
          <t>-</t>
        </is>
      </c>
      <c r="D50" s="2" t="inlineStr">
        <is>
          <t>Estimados, solicitamos la colocación del cuadro luminoso en la parte frontal del local Lomas Auto 
 Quedo a disposición.</t>
        </is>
      </c>
      <c r="E50" s="2" t="inlineStr">
        <is>
          <t>Baja</t>
        </is>
      </c>
      <c r="F50" s="2" t="inlineStr"/>
      <c r="G50" s="2" t="inlineStr"/>
      <c r="H50" s="2" t="inlineStr"/>
      <c r="I50" s="2" t="inlineStr">
        <is>
          <t>FLOA</t>
        </is>
      </c>
      <c r="J50" s="2" t="inlineStr">
        <is>
          <t>Lomas Auto</t>
        </is>
      </c>
      <c r="K50" s="2" t="inlineStr"/>
      <c r="L50" s="2" t="inlineStr">
        <is>
          <t>Cerrado</t>
        </is>
      </c>
      <c r="M50" s="2" t="inlineStr">
        <is>
          <t>2026-02-09 01:00:05</t>
        </is>
      </c>
      <c r="N50" s="2" t="inlineStr">
        <is>
          <t>Nahuel Loubiere</t>
        </is>
      </c>
      <c r="O50" s="2" t="inlineStr">
        <is>
          <t>2026-02-04 21:39:59</t>
        </is>
      </c>
      <c r="P50" s="2" t="inlineStr">
        <is>
          <t>Cartel colocado.
Saludos.</t>
        </is>
      </c>
      <c r="Q50" s="2" t="inlineStr">
        <is>
          <t>;OTROS</t>
        </is>
      </c>
      <c r="R50" s="2" t="inlineStr">
        <is>
          <t>2026-01-13 15:32:39</t>
        </is>
      </c>
      <c r="S50" s="2" t="n">
        <v>86</v>
      </c>
      <c r="T50" s="2" t="inlineStr"/>
      <c r="U50" s="2" t="inlineStr">
        <is>
          <t>Zona 1 — CABA / GBA Cercano (≤30 km)</t>
        </is>
      </c>
      <c r="V50" s="2" t="n">
        <v>16.5</v>
      </c>
      <c r="W50" s="2" t="n">
        <v>35</v>
      </c>
      <c r="X50" s="2" t="n">
        <v>2</v>
      </c>
      <c r="Y50" s="2" t="n">
        <v>2</v>
      </c>
      <c r="Z50" s="2" t="n">
        <v>0</v>
      </c>
      <c r="AA50" s="2" t="n">
        <v>0</v>
      </c>
      <c r="AB50" s="2" t="n">
        <v>0</v>
      </c>
      <c r="AC50" s="2" t="n">
        <v>0</v>
      </c>
      <c r="AD50" s="2" t="n">
        <v>2</v>
      </c>
      <c r="AE50" s="3">
        <f>AD50*35.0</f>
        <v/>
      </c>
      <c r="AF50" s="2" t="inlineStr">
        <is>
          <t>Skill: Reglas Técnicas</t>
        </is>
      </c>
      <c r="AG50" s="2" t="inlineStr"/>
      <c r="AH50" s="2" t="inlineStr">
        <is>
          <t>Lomas Auto</t>
        </is>
      </c>
    </row>
    <row r="51">
      <c r="A51" s="2" t="n">
        <v>111057</v>
      </c>
      <c r="B51" s="2" t="inlineStr">
        <is>
          <t>ER 062 a 065 - Calibrar equipo, filtros obstruidos o falla sensor, según error</t>
        </is>
      </c>
      <c r="C51" s="2" t="inlineStr">
        <is>
          <t>-</t>
        </is>
      </c>
      <c r="D51" s="2" t="inlineStr">
        <is>
          <t>No se llenan los cafés , la leche sale sin espuma</t>
        </is>
      </c>
      <c r="E51" s="2" t="inlineStr">
        <is>
          <t>Normal</t>
        </is>
      </c>
      <c r="F51" s="2" t="inlineStr">
        <is>
          <t>Fotos</t>
        </is>
      </c>
      <c r="G51" s="2" t="inlineStr">
        <is>
          <t>Lucas Ale</t>
        </is>
      </c>
      <c r="H51" s="2" t="inlineStr">
        <is>
          <t>2026-02-10 23:42:12</t>
        </is>
      </c>
      <c r="I51" s="2" t="inlineStr">
        <is>
          <t>FMDQG</t>
        </is>
      </c>
      <c r="J51" s="2" t="inlineStr">
        <is>
          <t>Los Gallegos</t>
        </is>
      </c>
      <c r="K51" s="2" t="inlineStr"/>
      <c r="L51" s="2" t="inlineStr">
        <is>
          <t>Cerrado</t>
        </is>
      </c>
      <c r="M51" s="2" t="inlineStr">
        <is>
          <t>2026-02-15 01:00:04</t>
        </is>
      </c>
      <c r="N51" s="2" t="inlineStr">
        <is>
          <t>Lucas Ale</t>
        </is>
      </c>
      <c r="O51" s="2" t="inlineStr">
        <is>
          <t>2026-02-10 23:42:46</t>
        </is>
      </c>
      <c r="P51" s="2" t="inlineStr">
        <is>
          <t>Cafetera Los Gallegos
Ticket número: 111057
Serie número: 2037121 / 2037121
Hora de servicio: 3h 20m
Cafetera 1
Se encontro la cafetera aguados, sin llenar los cafés y sin espuma.
Se hizo una puesta 0 y calibración de las moliendas mm1 y mm2. Cafés de calidad y espumoso
Se calibró todos las recetas de los café.
Se reguló ,calibró leche y espuma
Pastillas ya no salen partidas
Observaciones:
-base de matcha roto 
-vidrio de sensores de la tolva roto
Repuestos:
-protector térmico 
Cafetera operando.
Cafetera 2
Se hizo una puesta 0 y calibración de las moliendas mm1 y mm2. Cafés de calidad y espumoso.
Se calibró leche y espuma.
Se calibraron recetas de café bajo autorización de supervisores ya que salían cortos.
Observaciones:
Se recomienda conseguir filtro en la lanza de te
Cafetera operando.</t>
        </is>
      </c>
      <c r="Q51" s="2" t="inlineStr">
        <is>
          <t>EQUIPOS;CAFETERAS CIMBALI</t>
        </is>
      </c>
      <c r="R51" s="2" t="inlineStr">
        <is>
          <t>2026-02-07 20:24:50</t>
        </is>
      </c>
      <c r="S51" s="2" t="n">
        <v>63</v>
      </c>
      <c r="T51" s="2" t="inlineStr"/>
      <c r="U51" s="2" t="inlineStr">
        <is>
          <t>Zona 3+ — GBA Lejano / Interior (&gt;60 km)</t>
        </is>
      </c>
      <c r="V51" s="2" t="n">
        <v>2122.3</v>
      </c>
      <c r="W51" s="2" t="n">
        <v>35</v>
      </c>
      <c r="X51" s="2" t="n">
        <v>4</v>
      </c>
      <c r="Y51" s="2" t="n">
        <v>2</v>
      </c>
      <c r="Z51" s="2" t="n">
        <v>0</v>
      </c>
      <c r="AA51" s="2" t="n">
        <v>0</v>
      </c>
      <c r="AB51" s="2" t="n">
        <v>0</v>
      </c>
      <c r="AC51" s="2" t="n">
        <v>0</v>
      </c>
      <c r="AD51" s="2" t="n">
        <v>4</v>
      </c>
      <c r="AE51" s="3">
        <f>AD51*35.0</f>
        <v/>
      </c>
      <c r="AF51" s="2" t="inlineStr">
        <is>
          <t>Skill: Reglas Técnicas</t>
        </is>
      </c>
      <c r="AG51" s="2" t="inlineStr"/>
      <c r="AH51" s="2" t="inlineStr">
        <is>
          <t>Los Gallegos</t>
        </is>
      </c>
    </row>
    <row r="52">
      <c r="A52" s="2" t="n">
        <v>111762</v>
      </c>
      <c r="B52" s="2" t="inlineStr">
        <is>
          <t>ER 021  y 022 - Anomalía en movimiento de las muelas</t>
        </is>
      </c>
      <c r="C52" s="2" t="inlineStr">
        <is>
          <t>-</t>
        </is>
      </c>
      <c r="D52" s="2" t="inlineStr">
        <is>
          <t>Buenas nesesito que vengan a ver la cafetera 
Pierde agua y se traban muccho las miliendas</t>
        </is>
      </c>
      <c r="E52" s="2" t="inlineStr">
        <is>
          <t>Urgente</t>
        </is>
      </c>
      <c r="F52" s="2" t="inlineStr">
        <is>
          <t>Fotos</t>
        </is>
      </c>
      <c r="G52" s="2" t="inlineStr">
        <is>
          <t>Lucas Ale</t>
        </is>
      </c>
      <c r="H52" s="2" t="inlineStr">
        <is>
          <t>2026-02-24 16:31:30</t>
        </is>
      </c>
      <c r="I52" s="2" t="inlineStr">
        <is>
          <t>FLUJA</t>
        </is>
      </c>
      <c r="J52" s="2" t="inlineStr">
        <is>
          <t>Lujan</t>
        </is>
      </c>
      <c r="K52" s="2" t="inlineStr"/>
      <c r="L52" s="2" t="inlineStr">
        <is>
          <t>Cerrado</t>
        </is>
      </c>
      <c r="M52" s="2" t="inlineStr">
        <is>
          <t>2026-03-01 01:00:04</t>
        </is>
      </c>
      <c r="N52" s="2" t="inlineStr">
        <is>
          <t>Lucas Ale</t>
        </is>
      </c>
      <c r="O52" s="2" t="inlineStr">
        <is>
          <t>2026-02-24 16:31:38</t>
        </is>
      </c>
      <c r="P52" s="2" t="inlineStr">
        <is>
          <t>Cafetera Luján 
Número de ticket:111762
Número de serie:no tiene
Hora de servicio: 2h30m
Se realizó una puesta 0 y calibración de las moliendas mm1 y mm2.
Se revisó posible pérdida de agua y se encontró la manguera de cristal de desagote suelta mojando todo por debajo de la cafetera.
Se realizó calibración de leche y espuma ya que estaban por debajo de lo que tiene que ir.
Observaciones: moliendas -inferior como superior desgastadas.
-Elf 3 en desuso
-protector térmico partido de la caldera chica, cables empalmado.
-sin filtro en la lanza de té (salpica el agua caliente por todos lados)
-sin tapa trasera (se recomienda que la encuentre o consigan la tapa)
Repuestos:
-protector térmico 
-kit de moliendas
Cafetera operando.</t>
        </is>
      </c>
      <c r="Q52" s="2" t="inlineStr">
        <is>
          <t>EQUIPOS;CAFETERAS CIMBALI</t>
        </is>
      </c>
      <c r="R52" s="2" t="inlineStr">
        <is>
          <t>2026-02-14 13:00:43</t>
        </is>
      </c>
      <c r="S52" s="2" t="n">
        <v>1928</v>
      </c>
      <c r="T52" s="2" t="n">
        <v>1828</v>
      </c>
      <c r="U52" s="2" t="inlineStr">
        <is>
          <t>Zona 3+ — GBA Lejano / Interior (&gt;60 km)</t>
        </is>
      </c>
      <c r="V52" s="2" t="n">
        <v>64.2</v>
      </c>
      <c r="W52" s="2" t="n">
        <v>35</v>
      </c>
      <c r="X52" s="2" t="n">
        <v>4</v>
      </c>
      <c r="Y52" s="2" t="n">
        <v>2</v>
      </c>
      <c r="Z52" s="2" t="n">
        <v>0</v>
      </c>
      <c r="AA52" s="2" t="n">
        <v>0</v>
      </c>
      <c r="AB52" s="2" t="n">
        <v>0</v>
      </c>
      <c r="AC52" s="2" t="n">
        <v>0</v>
      </c>
      <c r="AD52" s="2" t="n">
        <v>4</v>
      </c>
      <c r="AE52" s="3">
        <f>AD52*35.0</f>
        <v/>
      </c>
      <c r="AF52" s="2" t="inlineStr">
        <is>
          <t>Skill: Reglas Técnicas</t>
        </is>
      </c>
      <c r="AG52" s="2" t="inlineStr"/>
      <c r="AH52" s="2" t="inlineStr">
        <is>
          <t>Lujan</t>
        </is>
      </c>
    </row>
    <row r="53">
      <c r="A53" s="2" t="n">
        <v>109728</v>
      </c>
      <c r="B53" s="2" t="inlineStr">
        <is>
          <t>Otros trabajos, detallar en comentarios</t>
        </is>
      </c>
      <c r="C53" s="2" t="inlineStr">
        <is>
          <t>-</t>
        </is>
      </c>
      <c r="D53" s="2" t="inlineStr">
        <is>
          <t>Buenas tardes.
Solicito el adaptador de carnes junior para broiler JF64.
Muchas gracias</t>
        </is>
      </c>
      <c r="E53" s="2" t="inlineStr">
        <is>
          <t>Baja</t>
        </is>
      </c>
      <c r="F53" s="2" t="inlineStr"/>
      <c r="G53" s="2" t="inlineStr"/>
      <c r="H53" s="2" t="inlineStr"/>
      <c r="I53" s="2" t="inlineStr">
        <is>
          <t>FMDQ4</t>
        </is>
      </c>
      <c r="J53" s="2" t="inlineStr">
        <is>
          <t>Mar del plata peatonal</t>
        </is>
      </c>
      <c r="K53" s="2" t="inlineStr"/>
      <c r="L53" s="2" t="inlineStr">
        <is>
          <t>Cerrado</t>
        </is>
      </c>
      <c r="M53" s="2" t="inlineStr">
        <is>
          <t>2026-02-15 01:00:04</t>
        </is>
      </c>
      <c r="N53" s="2" t="inlineStr">
        <is>
          <t>Lucas Ale</t>
        </is>
      </c>
      <c r="O53" s="2" t="inlineStr">
        <is>
          <t>2026-02-10 23:37:59</t>
        </is>
      </c>
      <c r="P53" s="2" t="inlineStr">
        <is>
          <t>Resuelto por el local</t>
        </is>
      </c>
      <c r="Q53" s="2" t="inlineStr">
        <is>
          <t>;OTROS</t>
        </is>
      </c>
      <c r="R53" s="2" t="inlineStr">
        <is>
          <t>2026-01-26 18:03:53</t>
        </is>
      </c>
      <c r="S53" s="2" t="n">
        <v>59</v>
      </c>
      <c r="T53" s="2" t="inlineStr"/>
      <c r="U53" s="2" t="inlineStr">
        <is>
          <t>Zona 3+ — GBA Lejano / Interior (&gt;60 km)</t>
        </is>
      </c>
      <c r="V53" s="2" t="n">
        <v>1162.6</v>
      </c>
      <c r="W53" s="2" t="n">
        <v>35</v>
      </c>
      <c r="X53" s="2" t="n">
        <v>4</v>
      </c>
      <c r="Y53" s="2" t="n">
        <v>0</v>
      </c>
      <c r="Z53" s="2" t="n">
        <v>0</v>
      </c>
      <c r="AA53" s="2" t="n">
        <v>0</v>
      </c>
      <c r="AB53" s="2" t="n">
        <v>0</v>
      </c>
      <c r="AC53" s="2" t="n">
        <v>0</v>
      </c>
      <c r="AD53" s="2" t="n">
        <v>0</v>
      </c>
      <c r="AE53" s="3">
        <f>AD53*35.0</f>
        <v/>
      </c>
      <c r="AF53" s="2" t="inlineStr">
        <is>
          <t>Resuelto por el Local (0 HS)</t>
        </is>
      </c>
      <c r="AG53" s="2" t="inlineStr"/>
      <c r="AH53" s="2" t="inlineStr">
        <is>
          <t>Mar del plata peatonal</t>
        </is>
      </c>
    </row>
    <row r="54">
      <c r="A54" s="2" t="n">
        <v>111789</v>
      </c>
      <c r="B54" s="2" t="inlineStr">
        <is>
          <t>Otras fallas, indicar número de falla</t>
        </is>
      </c>
      <c r="C54" s="2" t="inlineStr">
        <is>
          <t>-</t>
        </is>
      </c>
      <c r="D54" s="2" t="inlineStr">
        <is>
          <t>Marca error 8</t>
        </is>
      </c>
      <c r="E54" s="2" t="inlineStr">
        <is>
          <t>Baja</t>
        </is>
      </c>
      <c r="F54" s="2" t="inlineStr"/>
      <c r="G54" s="2" t="inlineStr"/>
      <c r="H54" s="2" t="inlineStr"/>
      <c r="I54" s="2" t="inlineStr">
        <is>
          <t>FMDQ4</t>
        </is>
      </c>
      <c r="J54" s="2" t="inlineStr">
        <is>
          <t>Mar del plata peatonal</t>
        </is>
      </c>
      <c r="K54" s="2" t="inlineStr"/>
      <c r="L54" s="2" t="inlineStr">
        <is>
          <t>Cerrado</t>
        </is>
      </c>
      <c r="M54" s="2" t="inlineStr">
        <is>
          <t>2026-02-19 01:00:04</t>
        </is>
      </c>
      <c r="N54" s="2" t="inlineStr">
        <is>
          <t>Lucas Ale</t>
        </is>
      </c>
      <c r="O54" s="2" t="inlineStr">
        <is>
          <t>2026-02-14 15:45:48</t>
        </is>
      </c>
      <c r="P54" s="2" t="inlineStr">
        <is>
          <t>Resuelto atraves de ayudan remot</t>
        </is>
      </c>
      <c r="Q54" s="2" t="inlineStr">
        <is>
          <t>EQUIPOS;CAFETERAS CIMBALI</t>
        </is>
      </c>
      <c r="R54" s="2" t="inlineStr">
        <is>
          <t>2026-02-14 15:39:39</t>
        </is>
      </c>
      <c r="S54" s="2" t="inlineStr"/>
      <c r="T54" s="2" t="inlineStr"/>
      <c r="U54" s="2" t="inlineStr">
        <is>
          <t>Zona 3+ — GBA Lejano / Interior (&gt;60 km)</t>
        </is>
      </c>
      <c r="V54" s="2" t="n">
        <v>1162.6</v>
      </c>
      <c r="W54" s="2" t="n">
        <v>35</v>
      </c>
      <c r="X54" s="2" t="n">
        <v>4</v>
      </c>
      <c r="Y54" s="2" t="n">
        <v>2</v>
      </c>
      <c r="Z54" s="2" t="n">
        <v>0</v>
      </c>
      <c r="AA54" s="2" t="n">
        <v>0</v>
      </c>
      <c r="AB54" s="2" t="n">
        <v>0</v>
      </c>
      <c r="AC54" s="2" t="n">
        <v>0</v>
      </c>
      <c r="AD54" s="2" t="n">
        <v>4</v>
      </c>
      <c r="AE54" s="3">
        <f>AD54*35.0</f>
        <v/>
      </c>
      <c r="AF54" s="2" t="inlineStr">
        <is>
          <t>Skill: Reglas Técnicas</t>
        </is>
      </c>
      <c r="AG54" s="2" t="inlineStr"/>
      <c r="AH54" s="2" t="inlineStr">
        <is>
          <t>Mar del plata peatonal</t>
        </is>
      </c>
    </row>
    <row r="55">
      <c r="A55" s="2" t="n">
        <v>110203</v>
      </c>
      <c r="B55" s="2" t="inlineStr">
        <is>
          <t>ER 059 a 061 - Problemas con el suministro de agua del equipo</t>
        </is>
      </c>
      <c r="C55" s="2" t="inlineStr">
        <is>
          <t>-</t>
        </is>
      </c>
      <c r="D55" s="2" t="inlineStr"/>
      <c r="E55" s="2" t="inlineStr">
        <is>
          <t>Normal</t>
        </is>
      </c>
      <c r="F55" s="2" t="inlineStr"/>
      <c r="G55" s="2" t="inlineStr"/>
      <c r="H55" s="2" t="inlineStr"/>
      <c r="I55" s="2" t="inlineStr">
        <is>
          <t>FMMSM</t>
        </is>
      </c>
      <c r="J55" s="2" t="inlineStr">
        <is>
          <t>Mendoza Centro</t>
        </is>
      </c>
      <c r="K55" s="2" t="inlineStr"/>
      <c r="L55" s="2" t="inlineStr">
        <is>
          <t>Cerrado</t>
        </is>
      </c>
      <c r="M55" s="2" t="inlineStr">
        <is>
          <t>2026-02-05 01:00:04</t>
        </is>
      </c>
      <c r="N55" s="2" t="inlineStr">
        <is>
          <t>Nahuel Loubiere</t>
        </is>
      </c>
      <c r="O55" s="2" t="inlineStr">
        <is>
          <t>2026-02-01 00:35:35</t>
        </is>
      </c>
      <c r="P55" s="2" t="inlineStr">
        <is>
          <t>Se cierra tk ya que se encuentra triplicado. Saludos.</t>
        </is>
      </c>
      <c r="Q55" s="2" t="inlineStr">
        <is>
          <t>EQUIPOS;CAFETERAS CIMBALI</t>
        </is>
      </c>
      <c r="R55" s="2" t="inlineStr">
        <is>
          <t>2026-01-31 12:35:34</t>
        </is>
      </c>
      <c r="S55" s="2" t="n">
        <v>10</v>
      </c>
      <c r="T55" s="2" t="inlineStr"/>
      <c r="U55" s="2" t="inlineStr">
        <is>
          <t>Zona 3+ — GBA Lejano / Interior (&gt;60 km)</t>
        </is>
      </c>
      <c r="V55" s="2" t="n">
        <v>959.8</v>
      </c>
      <c r="W55" s="2" t="n">
        <v>35</v>
      </c>
      <c r="X55" s="2" t="n">
        <v>4</v>
      </c>
      <c r="Y55" s="2" t="n">
        <v>1</v>
      </c>
      <c r="Z55" s="2" t="n">
        <v>0</v>
      </c>
      <c r="AA55" s="2" t="n">
        <v>0</v>
      </c>
      <c r="AB55" s="2" t="n">
        <v>0</v>
      </c>
      <c r="AC55" s="2" t="n">
        <v>0</v>
      </c>
      <c r="AD55" s="2" t="n">
        <v>0</v>
      </c>
      <c r="AE55" s="3">
        <f>AD55*35.0</f>
        <v/>
      </c>
      <c r="AF55" s="2" t="inlineStr">
        <is>
          <t>Ticket Repetido/Duplicado</t>
        </is>
      </c>
      <c r="AG55" s="2" t="inlineStr"/>
      <c r="AH55" s="2" t="inlineStr">
        <is>
          <t>Mendoza Centro</t>
        </is>
      </c>
    </row>
    <row r="56">
      <c r="A56" s="2" t="n">
        <v>110202</v>
      </c>
      <c r="B56" s="2" t="inlineStr">
        <is>
          <t>ER 058 - Falla en sonda de nivel</t>
        </is>
      </c>
      <c r="C56" s="2" t="inlineStr">
        <is>
          <t>-</t>
        </is>
      </c>
      <c r="D56" s="2" t="inlineStr"/>
      <c r="E56" s="2" t="inlineStr">
        <is>
          <t>Normal</t>
        </is>
      </c>
      <c r="F56" s="2" t="inlineStr"/>
      <c r="G56" s="2" t="inlineStr"/>
      <c r="H56" s="2" t="inlineStr"/>
      <c r="I56" s="2" t="inlineStr">
        <is>
          <t>FMMSM</t>
        </is>
      </c>
      <c r="J56" s="2" t="inlineStr">
        <is>
          <t>Mendoza Centro</t>
        </is>
      </c>
      <c r="K56" s="2" t="inlineStr"/>
      <c r="L56" s="2" t="inlineStr">
        <is>
          <t>Cerrado</t>
        </is>
      </c>
      <c r="M56" s="2" t="inlineStr">
        <is>
          <t>2026-02-05 01:00:04</t>
        </is>
      </c>
      <c r="N56" s="2" t="inlineStr">
        <is>
          <t>Nahuel Loubiere</t>
        </is>
      </c>
      <c r="O56" s="2" t="inlineStr">
        <is>
          <t>2026-02-01 00:35:47</t>
        </is>
      </c>
      <c r="P56" s="2" t="inlineStr">
        <is>
          <t>Se cierra tk ya que se encuentra triplicado. Saludos.</t>
        </is>
      </c>
      <c r="Q56" s="2" t="inlineStr">
        <is>
          <t>EQUIPOS;CAFETERAS CIMBALI</t>
        </is>
      </c>
      <c r="R56" s="2" t="inlineStr">
        <is>
          <t>2026-01-31 12:35:14</t>
        </is>
      </c>
      <c r="S56" s="2" t="n">
        <v>10</v>
      </c>
      <c r="T56" s="2" t="inlineStr"/>
      <c r="U56" s="2" t="inlineStr">
        <is>
          <t>Zona 3+ — GBA Lejano / Interior (&gt;60 km)</t>
        </is>
      </c>
      <c r="V56" s="2" t="n">
        <v>959.8</v>
      </c>
      <c r="W56" s="2" t="n">
        <v>35</v>
      </c>
      <c r="X56" s="2" t="n">
        <v>4</v>
      </c>
      <c r="Y56" s="2" t="n">
        <v>6</v>
      </c>
      <c r="Z56" s="2" t="n">
        <v>0</v>
      </c>
      <c r="AA56" s="2" t="n">
        <v>0</v>
      </c>
      <c r="AB56" s="2" t="n">
        <v>0</v>
      </c>
      <c r="AC56" s="2" t="n">
        <v>0</v>
      </c>
      <c r="AD56" s="2" t="n">
        <v>0</v>
      </c>
      <c r="AE56" s="3">
        <f>AD56*35.0</f>
        <v/>
      </c>
      <c r="AF56" s="2" t="inlineStr">
        <is>
          <t>Ticket Repetido/Duplicado</t>
        </is>
      </c>
      <c r="AG56" s="2" t="inlineStr"/>
      <c r="AH56" s="2" t="inlineStr">
        <is>
          <t>Mendoza Centro</t>
        </is>
      </c>
    </row>
    <row r="57">
      <c r="A57" s="2" t="n">
        <v>110204</v>
      </c>
      <c r="B57" s="2" t="inlineStr">
        <is>
          <t>ER 058 - Falla en sonda de nivel</t>
        </is>
      </c>
      <c r="C57" s="2" t="inlineStr">
        <is>
          <t>-</t>
        </is>
      </c>
      <c r="D57" s="2" t="inlineStr"/>
      <c r="E57" s="2" t="inlineStr">
        <is>
          <t>Normal</t>
        </is>
      </c>
      <c r="F57" s="2" t="inlineStr">
        <is>
          <t>Paso el tecnico de Propios por el local y lo estaban viendo con Advance.
Saludos,</t>
        </is>
      </c>
      <c r="G57" s="2" t="inlineStr">
        <is>
          <t>Cristian Merlo</t>
        </is>
      </c>
      <c r="H57" s="2" t="inlineStr">
        <is>
          <t>2026-02-24 07:46:04</t>
        </is>
      </c>
      <c r="I57" s="2" t="inlineStr">
        <is>
          <t>FMMSM</t>
        </is>
      </c>
      <c r="J57" s="2" t="inlineStr">
        <is>
          <t>Mendoza Centro</t>
        </is>
      </c>
      <c r="K57" s="2" t="inlineStr"/>
      <c r="L57" s="2" t="inlineStr">
        <is>
          <t>Cerrado</t>
        </is>
      </c>
      <c r="M57" s="2" t="inlineStr">
        <is>
          <t>2026-03-01 01:00:04</t>
        </is>
      </c>
      <c r="N57" s="2" t="inlineStr">
        <is>
          <t>Cristian Merlo</t>
        </is>
      </c>
      <c r="O57" s="2" t="inlineStr">
        <is>
          <t>2026-02-24 07:46:07</t>
        </is>
      </c>
      <c r="P57" s="2" t="inlineStr">
        <is>
          <t>Paso el tecnico de Propios por el local y lo estaban viendo con Advance.
Saludos,</t>
        </is>
      </c>
      <c r="Q57" s="2" t="inlineStr">
        <is>
          <t>EQUIPOS;CAFETERAS CIMBALI</t>
        </is>
      </c>
      <c r="R57" s="2" t="inlineStr">
        <is>
          <t>2026-01-31 12:37:39</t>
        </is>
      </c>
      <c r="S57" s="2" t="n">
        <v>470</v>
      </c>
      <c r="T57" s="2" t="n">
        <v>370</v>
      </c>
      <c r="U57" s="2" t="inlineStr">
        <is>
          <t>Zona 3+ — GBA Lejano / Interior (&gt;60 km)</t>
        </is>
      </c>
      <c r="V57" s="2" t="n">
        <v>959.8</v>
      </c>
      <c r="W57" s="2" t="n">
        <v>35</v>
      </c>
      <c r="X57" s="2" t="n">
        <v>4</v>
      </c>
      <c r="Y57" s="2" t="n">
        <v>6</v>
      </c>
      <c r="Z57" s="2" t="n">
        <v>0</v>
      </c>
      <c r="AA57" s="2" t="n">
        <v>0</v>
      </c>
      <c r="AB57" s="2" t="n">
        <v>0</v>
      </c>
      <c r="AC57" s="2" t="n">
        <v>0</v>
      </c>
      <c r="AD57" s="2" t="n">
        <v>6</v>
      </c>
      <c r="AE57" s="3">
        <f>AD57*35.0</f>
        <v/>
      </c>
      <c r="AF57" s="2" t="inlineStr">
        <is>
          <t>Skill: Reglas Técnicas</t>
        </is>
      </c>
      <c r="AG57" s="2" t="inlineStr"/>
      <c r="AH57" s="2" t="inlineStr">
        <is>
          <t>Mendoza Centro</t>
        </is>
      </c>
    </row>
    <row r="58">
      <c r="A58" s="2" t="n">
        <v>111623</v>
      </c>
      <c r="B58" s="2" t="inlineStr">
        <is>
          <t>ER 021  y 022 - Anomalía en movimiento de las muelas</t>
        </is>
      </c>
      <c r="C58" s="2" t="inlineStr">
        <is>
          <t>-</t>
        </is>
      </c>
      <c r="D58" s="2" t="inlineStr">
        <is>
          <t>Buenas tardes, solicito un técnico para ver los siguientes inconvenientes de ambas cafeteras: 
Cafetera 1: falta el pastico de ajustes de los recipientes, Limpieza interna 
Temperatura de agua y leche 
Mm 1 Est trabada cafetera derecha
Cafetera 2 temperatura de agua y leche, espuma de leche. 
Aguardo respuesta, gracias.</t>
        </is>
      </c>
      <c r="E58" s="2" t="inlineStr">
        <is>
          <t>Urgente</t>
        </is>
      </c>
      <c r="F58" s="2" t="inlineStr">
        <is>
          <t>Fotos</t>
        </is>
      </c>
      <c r="G58" s="2" t="inlineStr">
        <is>
          <t>Lucas Ale</t>
        </is>
      </c>
      <c r="H58" s="2" t="inlineStr">
        <is>
          <t>2026-02-13 19:38:37</t>
        </is>
      </c>
      <c r="I58" s="2" t="inlineStr">
        <is>
          <t>FMERL</t>
        </is>
      </c>
      <c r="J58" s="2" t="inlineStr">
        <is>
          <t>Merlo</t>
        </is>
      </c>
      <c r="K58" s="2" t="inlineStr"/>
      <c r="L58" s="2" t="inlineStr">
        <is>
          <t>Cerrado</t>
        </is>
      </c>
      <c r="M58" s="2" t="inlineStr">
        <is>
          <t>2026-02-18 01:00:05</t>
        </is>
      </c>
      <c r="N58" s="2" t="inlineStr">
        <is>
          <t>Lucas Ale</t>
        </is>
      </c>
      <c r="O58" s="2" t="inlineStr">
        <is>
          <t>2026-02-13 19:39:02</t>
        </is>
      </c>
      <c r="P58" s="2" t="inlineStr">
        <is>
          <t>Cafetera Merlo
Ticket número:111623
Serie número: 1851681/ 1969719
Hora de servicio: 10h
Se hizo limpieza de las dos calderas, pescador lleno de sarro.
Se hizo puesta cero y calibración de las moliendas mm1 y mm2 en las dos cafeteras.
Se hizo una limpieza en lo que es el circuito de leche.
Se purgó flexible de la cafetera 2(frente Taylor) se recomienda cambiarlo.
Se tuvo que puentear un protector térmico de la caldera chica
Se tomó la dureza del agua 75 ppm (buen estado👍🏻)
Se limpió filtro de bomba lleno de caucho.
Se hizo limpieza en profundidad de grupo de las dos cafeteras.
Observaciones:
-se encontró una fuga por el tapón de la caldera grande, se sustrajo se colocó el orring correctamente y se agregó teflon.
-moliendas de las 2 cafeteras desgastadas tanto como la inferior como la superior se recomiendan pedir dos kit de moliendas.
-bomba de leche sin fuerza
-elf 3 en desuso
Repuestos:
-bomba de leche
-elf3 (x2)
-esm
-kit de moliendas (2kit)
-protector térmico x1
-puerta tolva izquierda y derecha
-flexible para la cafetera 2(frente Taylor 
REVEER RECETAS
Cafeteras operando.</t>
        </is>
      </c>
      <c r="Q58" s="2" t="inlineStr">
        <is>
          <t>EQUIPOS;CAFETERAS CIMBALI</t>
        </is>
      </c>
      <c r="R58" s="2" t="inlineStr">
        <is>
          <t>2026-02-12 14:45:46</t>
        </is>
      </c>
      <c r="S58" s="2" t="n">
        <v>70</v>
      </c>
      <c r="T58" s="2" t="inlineStr"/>
      <c r="U58" s="2" t="inlineStr">
        <is>
          <t>Zona 2 — GBA Medio (30-60 km)</t>
        </is>
      </c>
      <c r="V58" s="2" t="n">
        <v>32.3</v>
      </c>
      <c r="W58" s="2" t="n">
        <v>35</v>
      </c>
      <c r="X58" s="2" t="n">
        <v>3</v>
      </c>
      <c r="Y58" s="2" t="n">
        <v>2</v>
      </c>
      <c r="Z58" s="2" t="n">
        <v>0</v>
      </c>
      <c r="AA58" s="2" t="n">
        <v>0</v>
      </c>
      <c r="AB58" s="2" t="n">
        <v>0</v>
      </c>
      <c r="AC58" s="2" t="n">
        <v>0</v>
      </c>
      <c r="AD58" s="2" t="n">
        <v>3</v>
      </c>
      <c r="AE58" s="3">
        <f>AD58*35.0</f>
        <v/>
      </c>
      <c r="AF58" s="2" t="inlineStr">
        <is>
          <t>Skill: Reglas Técnicas</t>
        </is>
      </c>
      <c r="AG58" s="2" t="inlineStr"/>
      <c r="AH58" s="2" t="inlineStr">
        <is>
          <t>Merlo</t>
        </is>
      </c>
    </row>
    <row r="59">
      <c r="A59" s="2" t="n">
        <v>112517</v>
      </c>
      <c r="B59" s="2" t="inlineStr">
        <is>
          <t xml:space="preserve">ER 066 y 067 - Falta de agua </t>
        </is>
      </c>
      <c r="C59" s="2" t="inlineStr">
        <is>
          <t>-</t>
        </is>
      </c>
      <c r="D59" s="2" t="inlineStr">
        <is>
          <t>Buenos días, genero tk ya que tengo ambas cimballis inoperativas, una esta fría, no calienta, no sale leche ni café. La otra no sale leche, necesito mto urgente por favor</t>
        </is>
      </c>
      <c r="E59" s="2" t="inlineStr">
        <is>
          <t>Urgente</t>
        </is>
      </c>
      <c r="F59" s="2" t="inlineStr">
        <is>
          <t>Fotos</t>
        </is>
      </c>
      <c r="G59" s="2" t="inlineStr">
        <is>
          <t>Lucas Ale</t>
        </is>
      </c>
      <c r="H59" s="2" t="inlineStr">
        <is>
          <t>2026-02-21 12:03:12</t>
        </is>
      </c>
      <c r="I59" s="2" t="inlineStr">
        <is>
          <t>FMERL</t>
        </is>
      </c>
      <c r="J59" s="2" t="inlineStr">
        <is>
          <t>Merlo</t>
        </is>
      </c>
      <c r="K59" s="2" t="inlineStr"/>
      <c r="L59" s="2" t="inlineStr">
        <is>
          <t>Cerrado</t>
        </is>
      </c>
      <c r="M59" s="2" t="inlineStr">
        <is>
          <t>2026-02-26 01:00:07</t>
        </is>
      </c>
      <c r="N59" s="2" t="inlineStr">
        <is>
          <t>Lucas Ale</t>
        </is>
      </c>
      <c r="O59" s="2" t="inlineStr">
        <is>
          <t>2026-02-21 12:03:19</t>
        </is>
      </c>
      <c r="P59" s="2" t="inlineStr">
        <is>
          <t>Cafetera Merlo
Ticket número:112537
Serie número:1969719/1851681
Hora de servicio: 2h30m
Se encontró con una cafetera sin temperatura y la otra sin que salga leche.
Cafetera 1
Se reinició protector térmico de la caldera grande (ya pedido el repuesto)
Cafetera operando.
Cafetera 2
Se desarmó bomba de leche ya que se encontraba tapado se recomienda colocar el líquido azul ginza en todos los lavados del circuito de leche.
Se realizó lavado completo de circuito de leche.
Cafetera operando.
Repuestos pendientes:
-bomba de leche
-elf3 x2
-esm
-kit de moliendas(2kit)
-protector térmico x1
-puerta tolva izquierda y derecha
-flexible para la cafetera 2(frente Taylor)</t>
        </is>
      </c>
      <c r="Q59" s="2" t="inlineStr">
        <is>
          <t>EQUIPOS;CAFETERAS CIMBALI</t>
        </is>
      </c>
      <c r="R59" s="2" t="inlineStr">
        <is>
          <t>2026-02-21 08:17:08</t>
        </is>
      </c>
      <c r="S59" s="2" t="n">
        <v>40</v>
      </c>
      <c r="T59" s="2" t="inlineStr"/>
      <c r="U59" s="2" t="inlineStr">
        <is>
          <t>Zona 2 — GBA Medio (30-60 km)</t>
        </is>
      </c>
      <c r="V59" s="2" t="n">
        <v>32.3</v>
      </c>
      <c r="W59" s="2" t="n">
        <v>35</v>
      </c>
      <c r="X59" s="2" t="n">
        <v>3</v>
      </c>
      <c r="Y59" s="2" t="n">
        <v>2</v>
      </c>
      <c r="Z59" s="2" t="n">
        <v>0</v>
      </c>
      <c r="AA59" s="2" t="n">
        <v>0</v>
      </c>
      <c r="AB59" s="2" t="n">
        <v>0</v>
      </c>
      <c r="AC59" s="2" t="n">
        <v>0</v>
      </c>
      <c r="AD59" s="2" t="n">
        <v>3</v>
      </c>
      <c r="AE59" s="3">
        <f>AD59*35.0</f>
        <v/>
      </c>
      <c r="AF59" s="2" t="inlineStr">
        <is>
          <t>Skill: Reglas Técnicas</t>
        </is>
      </c>
      <c r="AG59" s="2" t="inlineStr"/>
      <c r="AH59" s="2" t="inlineStr">
        <is>
          <t>Merlo</t>
        </is>
      </c>
    </row>
    <row r="60">
      <c r="A60" s="2" t="n">
        <v>107443</v>
      </c>
      <c r="B60" s="2" t="inlineStr">
        <is>
          <t>Otros trabajos, detallar en comentarios</t>
        </is>
      </c>
      <c r="C60" s="2" t="inlineStr">
        <is>
          <t>-</t>
        </is>
      </c>
      <c r="D60" s="2" t="inlineStr">
        <is>
          <t>Hola buena, genero tk para que puedan venir a colocar la caterlera de luz !</t>
        </is>
      </c>
      <c r="E60" s="2" t="inlineStr">
        <is>
          <t>Baja</t>
        </is>
      </c>
      <c r="F60" s="2" t="inlineStr"/>
      <c r="G60" s="2" t="inlineStr"/>
      <c r="H60" s="2" t="inlineStr"/>
      <c r="I60" s="2" t="inlineStr">
        <is>
          <t>FMERL</t>
        </is>
      </c>
      <c r="J60" s="2" t="inlineStr">
        <is>
          <t>Merlo</t>
        </is>
      </c>
      <c r="K60" s="2" t="inlineStr"/>
      <c r="L60" s="2" t="inlineStr">
        <is>
          <t>Resuelto</t>
        </is>
      </c>
      <c r="M60" s="2" t="inlineStr">
        <is>
          <t>2026-02-26 15:09:48</t>
        </is>
      </c>
      <c r="N60" s="2" t="inlineStr">
        <is>
          <t>Cristian Merlo</t>
        </is>
      </c>
      <c r="O60" s="2" t="inlineStr">
        <is>
          <t>2026-02-26 15:09:48</t>
        </is>
      </c>
      <c r="P60" s="2" t="inlineStr">
        <is>
          <t>Buenas tardes, nos confirman que no esta disponible el cartel luminoso, si lo reciben vuelvan a generar un nuevo ticket. Saludos,</t>
        </is>
      </c>
      <c r="Q60" s="2" t="inlineStr">
        <is>
          <t>;OTROS</t>
        </is>
      </c>
      <c r="R60" s="2" t="inlineStr">
        <is>
          <t>2026-01-11 17:30:17</t>
        </is>
      </c>
      <c r="S60" s="2" t="n">
        <v>177</v>
      </c>
      <c r="T60" s="2" t="n">
        <v>77</v>
      </c>
      <c r="U60" s="2" t="inlineStr">
        <is>
          <t>Zona 2 — GBA Medio (30-60 km)</t>
        </is>
      </c>
      <c r="V60" s="2" t="n">
        <v>32.3</v>
      </c>
      <c r="W60" s="2" t="n">
        <v>35</v>
      </c>
      <c r="X60" s="2" t="n">
        <v>3</v>
      </c>
      <c r="Y60" s="2" t="n">
        <v>2</v>
      </c>
      <c r="Z60" s="2" t="n">
        <v>0</v>
      </c>
      <c r="AA60" s="2" t="n">
        <v>0</v>
      </c>
      <c r="AB60" s="2" t="n">
        <v>0</v>
      </c>
      <c r="AC60" s="2" t="n">
        <v>0</v>
      </c>
      <c r="AD60" s="2" t="n">
        <v>3</v>
      </c>
      <c r="AE60" s="3">
        <f>AD60*35.0</f>
        <v/>
      </c>
      <c r="AF60" s="2" t="inlineStr">
        <is>
          <t>Skill: Reglas Técnicas</t>
        </is>
      </c>
      <c r="AG60" s="2" t="inlineStr"/>
      <c r="AH60" s="2" t="inlineStr">
        <is>
          <t>Merlo</t>
        </is>
      </c>
    </row>
    <row r="61">
      <c r="A61" s="2" t="n">
        <v>112874</v>
      </c>
      <c r="B61" s="2" t="inlineStr">
        <is>
          <t>ER 033 y 034 - Falla de válvula, revisar según error</t>
        </is>
      </c>
      <c r="C61" s="2" t="inlineStr">
        <is>
          <t>-</t>
        </is>
      </c>
      <c r="D61" s="2" t="inlineStr">
        <is>
          <t>falla a la hora de salir café</t>
        </is>
      </c>
      <c r="E61" s="2" t="inlineStr">
        <is>
          <t>Urgente</t>
        </is>
      </c>
      <c r="F61" s="2" t="inlineStr">
        <is>
          <t>Fotos</t>
        </is>
      </c>
      <c r="G61" s="2" t="inlineStr">
        <is>
          <t>Lucas Ale</t>
        </is>
      </c>
      <c r="H61" s="2" t="inlineStr">
        <is>
          <t>2026-02-26 17:08:11</t>
        </is>
      </c>
      <c r="I61" s="2" t="inlineStr">
        <is>
          <t>FMERL</t>
        </is>
      </c>
      <c r="J61" s="2" t="inlineStr">
        <is>
          <t>Merlo</t>
        </is>
      </c>
      <c r="K61" s="2" t="inlineStr"/>
      <c r="L61" s="2" t="inlineStr">
        <is>
          <t>Resuelto</t>
        </is>
      </c>
      <c r="M61" s="2" t="inlineStr">
        <is>
          <t>2026-02-26 17:08:18</t>
        </is>
      </c>
      <c r="N61" s="2" t="inlineStr">
        <is>
          <t>Lucas Ale</t>
        </is>
      </c>
      <c r="O61" s="2" t="inlineStr">
        <is>
          <t>2026-02-26 17:08:18</t>
        </is>
      </c>
      <c r="P61" s="2" t="inlineStr">
        <is>
          <t>Cafetera Merlo
Número de ticket:112874
Número de serie:1969719/1851681
Hora de servicio:6h
Cafetera 1:
Se cambiaron repuestos:
ELF1
EM se intercambió por la EV
Flexible red de agua
Protector térmico 
Repuestos:
-kit de moliendas
Cafetera operando.
Cafetera 2:
Se realizó cambio de moliendas mm1 y mm2 tanto inferior como superior.
Se realizó puesta 0 y calibración de las moliendas.
Se colocó ELF3
Cafetera operando</t>
        </is>
      </c>
      <c r="Q61" s="2" t="inlineStr">
        <is>
          <t>EQUIPOS;CAFETERAS CIMBALI</t>
        </is>
      </c>
      <c r="R61" s="2" t="inlineStr">
        <is>
          <t>2026-02-24 09:18:37</t>
        </is>
      </c>
      <c r="S61" s="2" t="n">
        <v>441</v>
      </c>
      <c r="T61" s="2" t="n">
        <v>341</v>
      </c>
      <c r="U61" s="2" t="inlineStr">
        <is>
          <t>Zona 2 — GBA Medio (30-60 km)</t>
        </is>
      </c>
      <c r="V61" s="2" t="n">
        <v>32.3</v>
      </c>
      <c r="W61" s="2" t="n">
        <v>35</v>
      </c>
      <c r="X61" s="2" t="n">
        <v>3</v>
      </c>
      <c r="Y61" s="2" t="n">
        <v>2</v>
      </c>
      <c r="Z61" s="2" t="n">
        <v>0</v>
      </c>
      <c r="AA61" s="2" t="n">
        <v>0</v>
      </c>
      <c r="AB61" s="2" t="n">
        <v>0</v>
      </c>
      <c r="AC61" s="2" t="n">
        <v>0</v>
      </c>
      <c r="AD61" s="2" t="n">
        <v>3</v>
      </c>
      <c r="AE61" s="3">
        <f>AD61*35.0</f>
        <v/>
      </c>
      <c r="AF61" s="2" t="inlineStr">
        <is>
          <t>Skill: Reglas Técnicas</t>
        </is>
      </c>
      <c r="AG61" s="2" t="inlineStr"/>
      <c r="AH61" s="2" t="inlineStr">
        <is>
          <t>Merlo</t>
        </is>
      </c>
    </row>
    <row r="62">
      <c r="A62" s="2" t="n">
        <v>112112</v>
      </c>
      <c r="B62" s="2" t="inlineStr">
        <is>
          <t>Se engachó o no gira la cadena del unico equipo del local, sin equipos operativos</t>
        </is>
      </c>
      <c r="C62" s="2" t="inlineStr">
        <is>
          <t>-</t>
        </is>
      </c>
      <c r="D62" s="2" t="inlineStr">
        <is>
          <t>Hola buenos dias, la acarameladora me quema los panes, tienen los botones reguladores falseados!</t>
        </is>
      </c>
      <c r="E62" s="2" t="inlineStr">
        <is>
          <t>Urgente</t>
        </is>
      </c>
      <c r="F62" s="2" t="inlineStr">
        <is>
          <t>Hola me pueden brindar algun número para comunicarme o decirme si fue resuelto por el local? Gracias</t>
        </is>
      </c>
      <c r="G62" s="2" t="inlineStr">
        <is>
          <t>Lucas Ale</t>
        </is>
      </c>
      <c r="H62" s="2" t="inlineStr">
        <is>
          <t>2026-02-20 14:23:51</t>
        </is>
      </c>
      <c r="I62" s="2" t="inlineStr">
        <is>
          <t>FMERL</t>
        </is>
      </c>
      <c r="J62" s="2" t="inlineStr">
        <is>
          <t>Merlo</t>
        </is>
      </c>
      <c r="K62" s="2" t="inlineStr"/>
      <c r="L62" s="2" t="inlineStr">
        <is>
          <t>Resuelto</t>
        </is>
      </c>
      <c r="M62" s="2" t="inlineStr">
        <is>
          <t>2026-02-28 15:01:07</t>
        </is>
      </c>
      <c r="N62" s="2" t="inlineStr">
        <is>
          <t>Nahuel Loubiere</t>
        </is>
      </c>
      <c r="O62" s="2" t="inlineStr">
        <is>
          <t>2026-02-28 15:01:07</t>
        </is>
      </c>
      <c r="P62" s="2" t="inlineStr">
        <is>
          <t>Estimados,
Se cierra tk.
Saludos.</t>
        </is>
      </c>
      <c r="Q62" s="2" t="inlineStr">
        <is>
          <t>EQUIPOS;BROILER</t>
        </is>
      </c>
      <c r="R62" s="2" t="inlineStr">
        <is>
          <t>2026-02-17 12:49:42</t>
        </is>
      </c>
      <c r="S62" s="2" t="n">
        <v>90</v>
      </c>
      <c r="T62" s="2" t="inlineStr"/>
      <c r="U62" s="2" t="inlineStr">
        <is>
          <t>Zona 2 — GBA Medio (30-60 km)</t>
        </is>
      </c>
      <c r="V62" s="2" t="n">
        <v>32.3</v>
      </c>
      <c r="W62" s="2" t="n">
        <v>35</v>
      </c>
      <c r="X62" s="2" t="n">
        <v>3</v>
      </c>
      <c r="Y62" s="2" t="n">
        <v>0</v>
      </c>
      <c r="Z62" s="2" t="n">
        <v>0</v>
      </c>
      <c r="AA62" s="2" t="n">
        <v>0</v>
      </c>
      <c r="AB62" s="2" t="n">
        <v>0</v>
      </c>
      <c r="AC62" s="2" t="n">
        <v>0</v>
      </c>
      <c r="AD62" s="2" t="n">
        <v>0</v>
      </c>
      <c r="AE62" s="3">
        <f>AD62*35.0</f>
        <v/>
      </c>
      <c r="AF62" s="2" t="inlineStr">
        <is>
          <t>Resuelto por el Local (0 HS)</t>
        </is>
      </c>
      <c r="AG62" s="2" t="inlineStr"/>
      <c r="AH62" s="2" t="inlineStr">
        <is>
          <t>Merlo</t>
        </is>
      </c>
    </row>
    <row r="63">
      <c r="A63" s="2" t="n">
        <v>110366</v>
      </c>
      <c r="B63" s="2" t="inlineStr">
        <is>
          <t>ER 056 - Falla en sensor de temperatura</t>
        </is>
      </c>
      <c r="C63" s="2" t="inlineStr">
        <is>
          <t>-</t>
        </is>
      </c>
      <c r="D63" s="2" t="inlineStr">
        <is>
          <t>Hola, buenos días.
Informamos inconveniente con la cafetera Cimbali. El equipo no llega a la temperatura necesaria, por lo que no se pueden realizar cafés ni utilizar la cafetera de ninguna forma.
Este problema ya fue revisado en una visita anterior y quedó pendiente la revisión de la caldera.
Solicitamos una visita urgente para poder solucionar el inconveniente y restablecer el funcionamiento del equipo.
Desde ya, muchas gracias.</t>
        </is>
      </c>
      <c r="E63" s="2" t="inlineStr">
        <is>
          <t>Normal</t>
        </is>
      </c>
      <c r="F63" s="2" t="inlineStr">
        <is>
          <t>Fotos</t>
        </is>
      </c>
      <c r="G63" s="2" t="inlineStr">
        <is>
          <t>Lucas Ale</t>
        </is>
      </c>
      <c r="H63" s="2" t="inlineStr">
        <is>
          <t>2026-02-04 15:25:44</t>
        </is>
      </c>
      <c r="I63" s="2" t="inlineStr">
        <is>
          <t>FMGRA</t>
        </is>
      </c>
      <c r="J63" s="2" t="inlineStr">
        <is>
          <t>Monte Grande</t>
        </is>
      </c>
      <c r="K63" s="2" t="inlineStr"/>
      <c r="L63" s="2" t="inlineStr">
        <is>
          <t>Cerrado</t>
        </is>
      </c>
      <c r="M63" s="2" t="inlineStr">
        <is>
          <t>2026-02-09 01:00:05</t>
        </is>
      </c>
      <c r="N63" s="2" t="inlineStr">
        <is>
          <t>Lucas Ale</t>
        </is>
      </c>
      <c r="O63" s="2" t="inlineStr">
        <is>
          <t>2026-02-04 15:30:06</t>
        </is>
      </c>
      <c r="P63" s="2" t="inlineStr">
        <is>
          <t>Cafetera monte grande
Tk n:110366
Hora de servicio: 4h
Se encontró con la cafetera no levantaba temperatura y tenía poco caudal de agua.
se limpió la caldera grande lleno de sarro.
Se limpiaron 3 chicler de las válvulas evc y circuito de agua.
Se calibró leche ya que salía mal.
Cafetera operando.</t>
        </is>
      </c>
      <c r="Q63" s="2" t="inlineStr">
        <is>
          <t>EQUIPOS;CAFETERAS CIMBALI</t>
        </is>
      </c>
      <c r="R63" s="2" t="inlineStr">
        <is>
          <t>2026-02-02 09:57:12</t>
        </is>
      </c>
      <c r="S63" s="2" t="n">
        <v>44</v>
      </c>
      <c r="T63" s="2" t="inlineStr"/>
      <c r="U63" s="2" t="inlineStr">
        <is>
          <t>Zona 1 — CABA / GBA Cercano (≤30 km)</t>
        </is>
      </c>
      <c r="V63" s="2" t="n">
        <v>25.1</v>
      </c>
      <c r="W63" s="2" t="n">
        <v>35</v>
      </c>
      <c r="X63" s="2" t="n">
        <v>2</v>
      </c>
      <c r="Y63" s="2" t="n">
        <v>2</v>
      </c>
      <c r="Z63" s="2" t="n">
        <v>0</v>
      </c>
      <c r="AA63" s="2" t="n">
        <v>0</v>
      </c>
      <c r="AB63" s="2" t="n">
        <v>4</v>
      </c>
      <c r="AC63" s="2" t="n">
        <v>0</v>
      </c>
      <c r="AD63" s="2" t="n">
        <v>4</v>
      </c>
      <c r="AE63" s="3">
        <f>AD63*35.0</f>
        <v/>
      </c>
      <c r="AF63" s="2" t="inlineStr">
        <is>
          <t>Skill: Base Técnicos | Skill: Reglas Técnicas</t>
        </is>
      </c>
      <c r="AG63" s="2" t="inlineStr"/>
      <c r="AH63" s="2" t="inlineStr">
        <is>
          <t>Monte Grande</t>
        </is>
      </c>
    </row>
    <row r="64">
      <c r="A64" s="2" t="n">
        <v>111205</v>
      </c>
      <c r="B64" s="2" t="inlineStr">
        <is>
          <t>Equipo salta el disyuntor o térmica</t>
        </is>
      </c>
      <c r="C64" s="2" t="inlineStr">
        <is>
          <t>-</t>
        </is>
      </c>
      <c r="D64" s="2" t="inlineStr">
        <is>
          <t>Hola buen dia! El dia 4/2 #110366 recibimos la visita técnica y el dia de hoy la máquina pide lavado y sale agua por debajo,a su vez una manguera se encuentra salida,salta la termina y se encuentra en corto,solicito una visita técnica y de ser posible no enviar al mismo técnico,gracias</t>
        </is>
      </c>
      <c r="E64" s="2" t="inlineStr">
        <is>
          <t>Urgente</t>
        </is>
      </c>
      <c r="F64" s="2" t="inlineStr"/>
      <c r="G64" s="2" t="inlineStr"/>
      <c r="H64" s="2" t="inlineStr"/>
      <c r="I64" s="2" t="inlineStr">
        <is>
          <t>FMGRA</t>
        </is>
      </c>
      <c r="J64" s="2" t="inlineStr">
        <is>
          <t>Monte Grande</t>
        </is>
      </c>
      <c r="K64" s="2" t="inlineStr"/>
      <c r="L64" s="2" t="inlineStr">
        <is>
          <t>Cerrado</t>
        </is>
      </c>
      <c r="M64" s="2" t="inlineStr">
        <is>
          <t>2026-02-17 01:00:05</t>
        </is>
      </c>
      <c r="N64" s="2" t="inlineStr">
        <is>
          <t>Bruno Leyes</t>
        </is>
      </c>
      <c r="O64" s="2" t="inlineStr">
        <is>
          <t>2026-02-12 15:43:48</t>
        </is>
      </c>
      <c r="P64" s="2" t="inlineStr">
        <is>
          <t>Tiempo de servicio: 11 hrs
Se reviso caldera, resistencia, valvula evc y se reviso cableado. Tenía una fase sulfatada y cortada dentro del toma corrientes lo que no permitía activar el llenado de la caldera y la resistencia se coloco el térmico superior ya que estaba en buen estado, pero el térmico lateral estaba clavado y se quebró.
Repuestos a solicitar:
• 2 sensores de temperatura 
• 2 pistones superiores de grupo
• kit de oring de grupo
• protector térmico lateral
•filtro de lanza de te</t>
        </is>
      </c>
      <c r="Q64" s="2" t="inlineStr">
        <is>
          <t>EQUIPOS;CAFETERAS CIMBALI</t>
        </is>
      </c>
      <c r="R64" s="2" t="inlineStr">
        <is>
          <t>2026-02-09 09:20:51</t>
        </is>
      </c>
      <c r="S64" s="2" t="n">
        <v>120</v>
      </c>
      <c r="T64" s="2" t="n">
        <v>20</v>
      </c>
      <c r="U64" s="2" t="inlineStr">
        <is>
          <t>Zona 1 — CABA / GBA Cercano (≤30 km)</t>
        </is>
      </c>
      <c r="V64" s="2" t="n">
        <v>25.1</v>
      </c>
      <c r="W64" s="2" t="n">
        <v>35</v>
      </c>
      <c r="X64" s="2" t="n">
        <v>2</v>
      </c>
      <c r="Y64" s="2" t="n">
        <v>11</v>
      </c>
      <c r="Z64" s="2" t="n">
        <v>0</v>
      </c>
      <c r="AA64" s="2" t="n">
        <v>0</v>
      </c>
      <c r="AB64" s="2" t="n">
        <v>0</v>
      </c>
      <c r="AC64" s="2" t="n">
        <v>11</v>
      </c>
      <c r="AD64" s="2" t="n">
        <v>11</v>
      </c>
      <c r="AE64" s="3">
        <f>AD64*35.0</f>
        <v/>
      </c>
      <c r="AF64" s="2" t="inlineStr">
        <is>
          <t>Skill: Resolución | Skill: Reglas Técnicas</t>
        </is>
      </c>
      <c r="AG64" s="2" t="inlineStr"/>
      <c r="AH64" s="2" t="inlineStr">
        <is>
          <t>Monte Grande</t>
        </is>
      </c>
    </row>
    <row r="65">
      <c r="A65" s="2" t="n">
        <v>112256</v>
      </c>
      <c r="B65" s="2" t="inlineStr">
        <is>
          <t>ER 059 a 061 - Problemas con el suministro de agua del equipo</t>
        </is>
      </c>
      <c r="C65" s="2" t="inlineStr">
        <is>
          <t>-</t>
        </is>
      </c>
      <c r="D65" s="2" t="inlineStr">
        <is>
          <t>Hola buenas noches,el día de hoy nos encontramos utilizando una cafetera ya que la otra tiene problemas con el suministro de agua nuevamente,ya vinieron a verla anteriormente y seguimos con el mismo problema</t>
        </is>
      </c>
      <c r="E65" s="2" t="inlineStr">
        <is>
          <t>Normal</t>
        </is>
      </c>
      <c r="F65" s="2" t="inlineStr"/>
      <c r="G65" s="2" t="inlineStr"/>
      <c r="H65" s="2" t="inlineStr"/>
      <c r="I65" s="2" t="inlineStr">
        <is>
          <t>FMGRA</t>
        </is>
      </c>
      <c r="J65" s="2" t="inlineStr">
        <is>
          <t>Monte Grande</t>
        </is>
      </c>
      <c r="K65" s="2" t="inlineStr"/>
      <c r="L65" s="2" t="inlineStr">
        <is>
          <t>Cerrado</t>
        </is>
      </c>
      <c r="M65" s="2" t="inlineStr">
        <is>
          <t>2026-02-28 01:00:04</t>
        </is>
      </c>
      <c r="N65" s="2" t="inlineStr">
        <is>
          <t>Cristian Merlo</t>
        </is>
      </c>
      <c r="O65" s="2" t="inlineStr">
        <is>
          <t>2026-02-23 17:12:06</t>
        </is>
      </c>
      <c r="P65" s="2" t="inlineStr">
        <is>
          <t>El informe del 4 de febrero (Ticket #110366) para Monte Grande indica que se resolvieron los problemas de poco caudal de agua y la cafetera quedó "operando". Posteriormente, el 10 de febrero (#111205), se ratifica que las cafeteras de ese local quedaron calibradas y operando correctamente.</t>
        </is>
      </c>
      <c r="Q65" s="2" t="inlineStr">
        <is>
          <t>EQUIPOS;CAFETERAS CIMBALI</t>
        </is>
      </c>
      <c r="R65" s="2" t="inlineStr">
        <is>
          <t>2026-02-18 19:59:32</t>
        </is>
      </c>
      <c r="S65" s="2" t="n">
        <v>98</v>
      </c>
      <c r="T65" s="2" t="inlineStr"/>
      <c r="U65" s="2" t="inlineStr">
        <is>
          <t>Zona 1 — CABA / GBA Cercano (≤30 km)</t>
        </is>
      </c>
      <c r="V65" s="2" t="n">
        <v>25.1</v>
      </c>
      <c r="W65" s="2" t="n">
        <v>35</v>
      </c>
      <c r="X65" s="2" t="n">
        <v>2</v>
      </c>
      <c r="Y65" s="2" t="n">
        <v>1</v>
      </c>
      <c r="Z65" s="2" t="n">
        <v>0</v>
      </c>
      <c r="AA65" s="2" t="n">
        <v>0</v>
      </c>
      <c r="AB65" s="2" t="n">
        <v>0</v>
      </c>
      <c r="AC65" s="2" t="n">
        <v>0</v>
      </c>
      <c r="AD65" s="2" t="n">
        <v>2</v>
      </c>
      <c r="AE65" s="3">
        <f>AD65*35.0</f>
        <v/>
      </c>
      <c r="AF65" s="2" t="inlineStr">
        <is>
          <t>Skill: Reglas Técnicas</t>
        </is>
      </c>
      <c r="AG65" s="2" t="inlineStr"/>
      <c r="AH65" s="2" t="inlineStr">
        <is>
          <t>Monte Grande</t>
        </is>
      </c>
    </row>
    <row r="66">
      <c r="A66" s="2" t="n">
        <v>112985</v>
      </c>
      <c r="B66" s="2" t="inlineStr">
        <is>
          <t>ER 059 a 061 - Problemas con el suministro de agua del equipo</t>
        </is>
      </c>
      <c r="C66" s="2" t="inlineStr">
        <is>
          <t>-</t>
        </is>
      </c>
      <c r="D66" s="2" t="inlineStr">
        <is>
          <t>Hola buenas tardes,una de las cafeteras no tuene temperatura del 18/2 hasta el momento ya realice un tik anteriormente #112256</t>
        </is>
      </c>
      <c r="E66" s="2" t="inlineStr">
        <is>
          <t>Normal</t>
        </is>
      </c>
      <c r="F66" s="2" t="inlineStr"/>
      <c r="G66" s="2" t="inlineStr"/>
      <c r="H66" s="2" t="inlineStr"/>
      <c r="I66" s="2" t="inlineStr">
        <is>
          <t>FMGRA</t>
        </is>
      </c>
      <c r="J66" s="2" t="inlineStr">
        <is>
          <t>Monte Grande</t>
        </is>
      </c>
      <c r="K66" s="2" t="inlineStr"/>
      <c r="L66" s="2" t="inlineStr">
        <is>
          <t>Cerrado</t>
        </is>
      </c>
      <c r="M66" s="2" t="inlineStr">
        <is>
          <t>2026-03-02 01:00:05</t>
        </is>
      </c>
      <c r="N66" s="2" t="inlineStr">
        <is>
          <t>Nicolas Franco</t>
        </is>
      </c>
      <c r="O66" s="2" t="inlineStr">
        <is>
          <t>2026-02-25 13:25:20</t>
        </is>
      </c>
      <c r="P66" s="2" t="inlineStr">
        <is>
          <t>Cafetera monte grande (3 horas de trabajo)
Cimbali 1970908
Tiket#113985
Se reviso equipo q no levantaba presión de caldera y según el local el equipo daba descargas, se fijó bien el cable a tierra, se conecto terminal suelto en parte inferior de la caldera de vapor, y se aislaron cables del protector termico superior q estaban todos abiertos, protector termico lateral se encontró puenteado se recomienda colocar uno para evitar daño de la caldera a futuro, se prendió y levantó temperatura y presión correctamente, se realizó todos los lavados pendientes, se midió fuga y el equipo fugaba 0,15 v, quedando óptima para operar sin riesgo de descarga, se realizó puesta cero y se encontró con muelas muy gastadas, se reviso el grupo y la pastilla salía toda mojada y desarmada, el equipo requiere cambio de orings completo ya q esto afecta al producto final, por otro lado se encontró vitrina mostrador dando descargas de 40v requiere revisión ya q si se manipula la cafetera mientras tocan la vitrina puede generar una descarga eléctrica 
Repuestos a cotizar:
Protector termico lateral
Kit E1
KitB
Kit de muelas</t>
        </is>
      </c>
      <c r="Q66" s="2" t="inlineStr">
        <is>
          <t>EQUIPOS;CAFETERAS CIMBALI</t>
        </is>
      </c>
      <c r="R66" s="2" t="inlineStr">
        <is>
          <t>2026-02-25 13:09:45</t>
        </is>
      </c>
      <c r="S66" s="2" t="inlineStr"/>
      <c r="T66" s="2" t="inlineStr"/>
      <c r="U66" s="2" t="inlineStr">
        <is>
          <t>Zona 1 — CABA / GBA Cercano (≤30 km)</t>
        </is>
      </c>
      <c r="V66" s="2" t="n">
        <v>25.1</v>
      </c>
      <c r="W66" s="2" t="n">
        <v>35</v>
      </c>
      <c r="X66" s="2" t="n">
        <v>2</v>
      </c>
      <c r="Y66" s="2" t="n">
        <v>1</v>
      </c>
      <c r="Z66" s="2" t="n">
        <v>0</v>
      </c>
      <c r="AA66" s="2" t="n">
        <v>0</v>
      </c>
      <c r="AB66" s="2" t="n">
        <v>0</v>
      </c>
      <c r="AC66" s="2" t="n">
        <v>3</v>
      </c>
      <c r="AD66" s="2" t="n">
        <v>3</v>
      </c>
      <c r="AE66" s="3">
        <f>AD66*35.0</f>
        <v/>
      </c>
      <c r="AF66" s="2" t="inlineStr">
        <is>
          <t>Skill: Resolución | Skill: Reglas Técnicas</t>
        </is>
      </c>
      <c r="AG66" s="2" t="inlineStr"/>
      <c r="AH66" s="2" t="inlineStr">
        <is>
          <t>Monte Grande</t>
        </is>
      </c>
    </row>
    <row r="67">
      <c r="A67" s="2" t="n">
        <v>110153</v>
      </c>
      <c r="B67" s="2" t="inlineStr">
        <is>
          <t>ER 021  y 022 - Anomalía en movimiento de las muelas</t>
        </is>
      </c>
      <c r="C67" s="2" t="inlineStr">
        <is>
          <t>-</t>
        </is>
      </c>
      <c r="D67" s="2" t="inlineStr">
        <is>
          <t>No sale café</t>
        </is>
      </c>
      <c r="E67" s="2" t="inlineStr">
        <is>
          <t>Urgente</t>
        </is>
      </c>
      <c r="F67" s="2" t="inlineStr"/>
      <c r="G67" s="2" t="inlineStr"/>
      <c r="H67" s="2" t="inlineStr"/>
      <c r="I67" s="2" t="inlineStr">
        <is>
          <t>FMONC</t>
        </is>
      </c>
      <c r="J67" s="2" t="inlineStr">
        <is>
          <t>Once</t>
        </is>
      </c>
      <c r="K67" s="2" t="inlineStr"/>
      <c r="L67" s="2" t="inlineStr">
        <is>
          <t>Cerrado</t>
        </is>
      </c>
      <c r="M67" s="2" t="inlineStr">
        <is>
          <t>2026-02-06 01:00:04</t>
        </is>
      </c>
      <c r="N67" s="2" t="inlineStr">
        <is>
          <t>Nicolas Franco</t>
        </is>
      </c>
      <c r="O67" s="2" t="inlineStr">
        <is>
          <t>2026-02-01 08:40:08</t>
        </is>
      </c>
      <c r="P67" s="2" t="inlineStr">
        <is>
          <t>Cafetera once (2horas de trabajo)
Cimbali 1969712
Tiket#110153
Se encontro cafetera con mucha humedad en tolvas y tapa superior, tobogán tapado y obstruido por café húmedo, se realizó una limpieza, puesta cero y calibración del equipo, encontrando muelas muy gastadas al punto de dejarlas casi en cero para poder hacer q muelan de calidad, se regulo leche y espuma, equipo operando
Recomendaciones: cambiar válvula de sobre presión ya q la misma es la q está largando vapor hacia el interior de la máquina, cambiar muelas ya q las usadas actualmente están muy gastadas sumado al tema del vapor de la válvula de seguridad se llene el grupo de humedad tapando todo el grupo evitando operar con normalidad 
Repuestos: 
válvula de sobre presión 
Kit de muelas</t>
        </is>
      </c>
      <c r="Q67" s="2" t="inlineStr">
        <is>
          <t>EQUIPOS;CAFETERAS CIMBALI</t>
        </is>
      </c>
      <c r="R67" s="2" t="inlineStr">
        <is>
          <t>2026-01-30 19:53:29</t>
        </is>
      </c>
      <c r="S67" s="2" t="n">
        <v>290</v>
      </c>
      <c r="T67" s="2" t="n">
        <v>190</v>
      </c>
      <c r="U67" s="2" t="inlineStr">
        <is>
          <t>Zona 1 — CABA / GBA Cercano (≤30 km)</t>
        </is>
      </c>
      <c r="V67" s="2" t="n">
        <v>2.5</v>
      </c>
      <c r="W67" s="2" t="n">
        <v>35</v>
      </c>
      <c r="X67" s="2" t="n">
        <v>2</v>
      </c>
      <c r="Y67" s="2" t="n">
        <v>2</v>
      </c>
      <c r="Z67" s="2" t="n">
        <v>0</v>
      </c>
      <c r="AA67" s="2" t="n">
        <v>0</v>
      </c>
      <c r="AB67" s="2" t="n">
        <v>0</v>
      </c>
      <c r="AC67" s="2" t="n">
        <v>2</v>
      </c>
      <c r="AD67" s="2" t="n">
        <v>2</v>
      </c>
      <c r="AE67" s="3">
        <f>AD67*35.0</f>
        <v/>
      </c>
      <c r="AF67" s="2" t="inlineStr">
        <is>
          <t>Skill: Resolución | Skill: Reglas Técnicas</t>
        </is>
      </c>
      <c r="AG67" s="2" t="inlineStr"/>
      <c r="AH67" s="2" t="inlineStr">
        <is>
          <t>Once</t>
        </is>
      </c>
    </row>
    <row r="68">
      <c r="A68" s="2" t="n">
        <v>110869</v>
      </c>
      <c r="B68" s="2" t="inlineStr">
        <is>
          <t>ER 003 - Cámara fuera de posición, maquina bloqueada</t>
        </is>
      </c>
      <c r="C68" s="2" t="inlineStr">
        <is>
          <t>-</t>
        </is>
      </c>
      <c r="D68" s="2" t="inlineStr">
        <is>
          <t>Hola buen día, el café no sale espuma sale mira agua</t>
        </is>
      </c>
      <c r="E68" s="2" t="inlineStr">
        <is>
          <t>Urgente</t>
        </is>
      </c>
      <c r="F68" s="2" t="inlineStr"/>
      <c r="G68" s="2" t="inlineStr"/>
      <c r="H68" s="2" t="inlineStr"/>
      <c r="I68" s="2" t="inlineStr">
        <is>
          <t>FMONC</t>
        </is>
      </c>
      <c r="J68" s="2" t="inlineStr">
        <is>
          <t>Once</t>
        </is>
      </c>
      <c r="K68" s="2" t="inlineStr"/>
      <c r="L68" s="2" t="inlineStr">
        <is>
          <t>Cerrado</t>
        </is>
      </c>
      <c r="M68" s="2" t="inlineStr">
        <is>
          <t>2026-02-12 01:00:05</t>
        </is>
      </c>
      <c r="N68" s="2" t="inlineStr">
        <is>
          <t>Nicolas Franco</t>
        </is>
      </c>
      <c r="O68" s="2" t="inlineStr">
        <is>
          <t>2026-02-07 13:40:30</t>
        </is>
      </c>
      <c r="P68" s="2" t="inlineStr">
        <is>
          <t>Resuelto por el local</t>
        </is>
      </c>
      <c r="Q68" s="2" t="inlineStr">
        <is>
          <t>EQUIPOS;CAFETERAS CIMBALI</t>
        </is>
      </c>
      <c r="R68" s="2" t="inlineStr">
        <is>
          <t>2026-02-06 09:54:21</t>
        </is>
      </c>
      <c r="S68" s="2" t="n">
        <v>218</v>
      </c>
      <c r="T68" s="2" t="n">
        <v>118</v>
      </c>
      <c r="U68" s="2" t="inlineStr">
        <is>
          <t>Zona 1 — CABA / GBA Cercano (≤30 km)</t>
        </is>
      </c>
      <c r="V68" s="2" t="n">
        <v>2.5</v>
      </c>
      <c r="W68" s="2" t="n">
        <v>35</v>
      </c>
      <c r="X68" s="2" t="n">
        <v>2</v>
      </c>
      <c r="Y68" s="2" t="n">
        <v>0</v>
      </c>
      <c r="Z68" s="2" t="n">
        <v>0</v>
      </c>
      <c r="AA68" s="2" t="n">
        <v>0</v>
      </c>
      <c r="AB68" s="2" t="n">
        <v>0</v>
      </c>
      <c r="AC68" s="2" t="n">
        <v>0</v>
      </c>
      <c r="AD68" s="2" t="n">
        <v>0</v>
      </c>
      <c r="AE68" s="3">
        <f>AD68*35.0</f>
        <v/>
      </c>
      <c r="AF68" s="2" t="inlineStr">
        <is>
          <t>Resuelto por el Local (0 HS)</t>
        </is>
      </c>
      <c r="AG68" s="2" t="inlineStr"/>
      <c r="AH68" s="2" t="inlineStr">
        <is>
          <t>Once</t>
        </is>
      </c>
    </row>
    <row r="69">
      <c r="A69" s="2" t="n">
        <v>111779</v>
      </c>
      <c r="B69" s="2" t="inlineStr">
        <is>
          <t>ER 025 a 032 - Cableado defectuoso, revisar según error</t>
        </is>
      </c>
      <c r="C69" s="2" t="inlineStr">
        <is>
          <t>-</t>
        </is>
      </c>
      <c r="D69" s="2" t="inlineStr">
        <is>
          <t>No sale leche, solo vapor</t>
        </is>
      </c>
      <c r="E69" s="2" t="inlineStr">
        <is>
          <t>Urgente</t>
        </is>
      </c>
      <c r="F69" s="2" t="inlineStr"/>
      <c r="G69" s="2" t="inlineStr"/>
      <c r="H69" s="2" t="inlineStr"/>
      <c r="I69" s="2" t="inlineStr">
        <is>
          <t>FMONC</t>
        </is>
      </c>
      <c r="J69" s="2" t="inlineStr">
        <is>
          <t>Once</t>
        </is>
      </c>
      <c r="K69" s="2" t="inlineStr"/>
      <c r="L69" s="2" t="inlineStr">
        <is>
          <t>Cerrado</t>
        </is>
      </c>
      <c r="M69" s="2" t="inlineStr">
        <is>
          <t>2026-02-19 01:00:04</t>
        </is>
      </c>
      <c r="N69" s="2" t="inlineStr">
        <is>
          <t>Nahuel Loubiere</t>
        </is>
      </c>
      <c r="O69" s="2" t="inlineStr">
        <is>
          <t>2026-02-14 14:19:11</t>
        </is>
      </c>
      <c r="P69" s="2" t="inlineStr">
        <is>
          <t>Estimados, 
Ya se encuentra realizado un tk por el mismo tema. Por favor no duplicarlos y hacerlos en la categoria correspondiente.
Saludos,</t>
        </is>
      </c>
      <c r="Q69" s="2" t="inlineStr">
        <is>
          <t>EQUIPOS;CAFETERAS CIMBALI</t>
        </is>
      </c>
      <c r="R69" s="2" t="inlineStr">
        <is>
          <t>2026-02-14 14:01:03</t>
        </is>
      </c>
      <c r="S69" s="2" t="n">
        <v>10</v>
      </c>
      <c r="T69" s="2" t="inlineStr"/>
      <c r="U69" s="2" t="inlineStr">
        <is>
          <t>Zona 1 — CABA / GBA Cercano (≤30 km)</t>
        </is>
      </c>
      <c r="V69" s="2" t="n">
        <v>2.5</v>
      </c>
      <c r="W69" s="2" t="n">
        <v>35</v>
      </c>
      <c r="X69" s="2" t="n">
        <v>2</v>
      </c>
      <c r="Y69" s="2" t="n">
        <v>2</v>
      </c>
      <c r="Z69" s="2" t="n">
        <v>0</v>
      </c>
      <c r="AA69" s="2" t="n">
        <v>0</v>
      </c>
      <c r="AB69" s="2" t="n">
        <v>0</v>
      </c>
      <c r="AC69" s="2" t="n">
        <v>0</v>
      </c>
      <c r="AD69" s="2" t="n">
        <v>2</v>
      </c>
      <c r="AE69" s="3">
        <f>AD69*35.0</f>
        <v/>
      </c>
      <c r="AF69" s="2" t="inlineStr">
        <is>
          <t>Skill: Reglas Técnicas</t>
        </is>
      </c>
      <c r="AG69" s="2" t="inlineStr"/>
      <c r="AH69" s="2" t="inlineStr">
        <is>
          <t>Once</t>
        </is>
      </c>
    </row>
    <row r="70">
      <c r="A70" s="2" t="n">
        <v>111776</v>
      </c>
      <c r="B70" s="2" t="inlineStr">
        <is>
          <t>Otras fallas, indicar número de falla</t>
        </is>
      </c>
      <c r="C70" s="2" t="inlineStr">
        <is>
          <t>-</t>
        </is>
      </c>
      <c r="D70" s="2" t="inlineStr">
        <is>
          <t>No sale leche, solo sale vapor</t>
        </is>
      </c>
      <c r="E70" s="2" t="inlineStr">
        <is>
          <t>Baja</t>
        </is>
      </c>
      <c r="F70" s="2" t="inlineStr"/>
      <c r="G70" s="2" t="inlineStr"/>
      <c r="H70" s="2" t="inlineStr"/>
      <c r="I70" s="2" t="inlineStr">
        <is>
          <t>FMONC</t>
        </is>
      </c>
      <c r="J70" s="2" t="inlineStr">
        <is>
          <t>Once</t>
        </is>
      </c>
      <c r="K70" s="2" t="inlineStr"/>
      <c r="L70" s="2" t="inlineStr">
        <is>
          <t>Cerrado</t>
        </is>
      </c>
      <c r="M70" s="2" t="inlineStr">
        <is>
          <t>2026-02-19 01:00:04</t>
        </is>
      </c>
      <c r="N70" s="2" t="inlineStr">
        <is>
          <t>Nahuel Loubiere</t>
        </is>
      </c>
      <c r="O70" s="2" t="inlineStr">
        <is>
          <t>2026-02-14 14:20:07</t>
        </is>
      </c>
      <c r="P70" s="2" t="inlineStr">
        <is>
          <t>Estimados,
Se cierra tk ya que se encuentra triplicado.
Saludos.</t>
        </is>
      </c>
      <c r="Q70" s="2" t="inlineStr">
        <is>
          <t>EQUIPOS;CAFETERAS CIMBALI</t>
        </is>
      </c>
      <c r="R70" s="2" t="inlineStr">
        <is>
          <t>2026-02-14 13:58:10</t>
        </is>
      </c>
      <c r="S70" s="2" t="inlineStr"/>
      <c r="T70" s="2" t="inlineStr"/>
      <c r="U70" s="2" t="inlineStr">
        <is>
          <t>Zona 1 — CABA / GBA Cercano (≤30 km)</t>
        </is>
      </c>
      <c r="V70" s="2" t="n">
        <v>2.5</v>
      </c>
      <c r="W70" s="2" t="n">
        <v>35</v>
      </c>
      <c r="X70" s="2" t="n">
        <v>2</v>
      </c>
      <c r="Y70" s="2" t="n">
        <v>2</v>
      </c>
      <c r="Z70" s="2" t="n">
        <v>0</v>
      </c>
      <c r="AA70" s="2" t="n">
        <v>0</v>
      </c>
      <c r="AB70" s="2" t="n">
        <v>0</v>
      </c>
      <c r="AC70" s="2" t="n">
        <v>0</v>
      </c>
      <c r="AD70" s="2" t="n">
        <v>0</v>
      </c>
      <c r="AE70" s="3">
        <f>AD70*35.0</f>
        <v/>
      </c>
      <c r="AF70" s="2" t="inlineStr">
        <is>
          <t>Ticket Repetido/Duplicado</t>
        </is>
      </c>
      <c r="AG70" s="2" t="inlineStr"/>
      <c r="AH70" s="2" t="inlineStr">
        <is>
          <t>Once</t>
        </is>
      </c>
    </row>
    <row r="71">
      <c r="A71" s="2" t="n">
        <v>111777</v>
      </c>
      <c r="B71" s="2" t="inlineStr">
        <is>
          <t>Otras fallas, indicar número de falla</t>
        </is>
      </c>
      <c r="C71" s="2" t="inlineStr">
        <is>
          <t>-</t>
        </is>
      </c>
      <c r="D71" s="2" t="inlineStr">
        <is>
          <t>No sale leche, solo vapor</t>
        </is>
      </c>
      <c r="E71" s="2" t="inlineStr">
        <is>
          <t>Baja</t>
        </is>
      </c>
      <c r="F71" s="2" t="inlineStr"/>
      <c r="G71" s="2" t="inlineStr"/>
      <c r="H71" s="2" t="inlineStr"/>
      <c r="I71" s="2" t="inlineStr">
        <is>
          <t>FMONC</t>
        </is>
      </c>
      <c r="J71" s="2" t="inlineStr">
        <is>
          <t>Once</t>
        </is>
      </c>
      <c r="K71" s="2" t="inlineStr"/>
      <c r="L71" s="2" t="inlineStr">
        <is>
          <t>Cerrado</t>
        </is>
      </c>
      <c r="M71" s="2" t="inlineStr">
        <is>
          <t>2026-02-19 01:00:04</t>
        </is>
      </c>
      <c r="N71" s="2" t="inlineStr">
        <is>
          <t>Lucas Ale</t>
        </is>
      </c>
      <c r="O71" s="2" t="inlineStr">
        <is>
          <t>2026-02-14 15:41:29</t>
        </is>
      </c>
      <c r="P71" s="2" t="inlineStr">
        <is>
          <t>Cafetera once
Ticket número:111777
Serie número:1969712
Hora de servicio: 1h
Se hizo un lavado de todo el circuito de leche.
Se calibró espuma y leche.
Observaciones: 
-elf 3 en desuso
-Sin filtro de leche al momento de llegar
Repuesto:
-Elf3
Cafetera operando</t>
        </is>
      </c>
      <c r="Q71" s="2" t="inlineStr">
        <is>
          <t>EQUIPOS;CAFETERAS CIMBALI</t>
        </is>
      </c>
      <c r="R71" s="2" t="inlineStr">
        <is>
          <t>2026-02-14 13:59:12</t>
        </is>
      </c>
      <c r="S71" s="2" t="inlineStr"/>
      <c r="T71" s="2" t="inlineStr"/>
      <c r="U71" s="2" t="inlineStr">
        <is>
          <t>Zona 1 — CABA / GBA Cercano (≤30 km)</t>
        </is>
      </c>
      <c r="V71" s="2" t="n">
        <v>2.5</v>
      </c>
      <c r="W71" s="2" t="n">
        <v>35</v>
      </c>
      <c r="X71" s="2" t="n">
        <v>2</v>
      </c>
      <c r="Y71" s="2" t="n">
        <v>2</v>
      </c>
      <c r="Z71" s="2" t="n">
        <v>0</v>
      </c>
      <c r="AA71" s="2" t="n">
        <v>0</v>
      </c>
      <c r="AB71" s="2" t="n">
        <v>0</v>
      </c>
      <c r="AC71" s="2" t="n">
        <v>0</v>
      </c>
      <c r="AD71" s="2" t="n">
        <v>2</v>
      </c>
      <c r="AE71" s="3">
        <f>AD71*35.0</f>
        <v/>
      </c>
      <c r="AF71" s="2" t="inlineStr">
        <is>
          <t>Skill: Reglas Técnicas</t>
        </is>
      </c>
      <c r="AG71" s="2" t="inlineStr"/>
      <c r="AH71" s="2" t="inlineStr">
        <is>
          <t>Once</t>
        </is>
      </c>
    </row>
    <row r="72">
      <c r="A72" s="2" t="n">
        <v>112622</v>
      </c>
      <c r="B72" s="2" t="inlineStr">
        <is>
          <t>ER 021  y 022 - Anomalía en movimiento de las muelas</t>
        </is>
      </c>
      <c r="C72" s="2" t="inlineStr">
        <is>
          <t>-</t>
        </is>
      </c>
      <c r="D72" s="2" t="inlineStr">
        <is>
          <t>Buenas tardes en el equipo no dale café,ponemos la opción y no sale agua tampoco 
,</t>
        </is>
      </c>
      <c r="E72" s="2" t="inlineStr">
        <is>
          <t>Urgente</t>
        </is>
      </c>
      <c r="F72" s="2" t="inlineStr">
        <is>
          <t>Fotos</t>
        </is>
      </c>
      <c r="G72" s="2" t="inlineStr">
        <is>
          <t>Lucas Ale</t>
        </is>
      </c>
      <c r="H72" s="2" t="inlineStr">
        <is>
          <t>2026-02-22 15:44:13</t>
        </is>
      </c>
      <c r="I72" s="2" t="inlineStr">
        <is>
          <t>FMONC</t>
        </is>
      </c>
      <c r="J72" s="2" t="inlineStr">
        <is>
          <t>Once</t>
        </is>
      </c>
      <c r="K72" s="2" t="inlineStr"/>
      <c r="L72" s="2" t="inlineStr">
        <is>
          <t>Cerrado</t>
        </is>
      </c>
      <c r="M72" s="2" t="inlineStr">
        <is>
          <t>2026-02-27 01:00:05</t>
        </is>
      </c>
      <c r="N72" s="2" t="inlineStr">
        <is>
          <t>Lucas Ale</t>
        </is>
      </c>
      <c r="O72" s="2" t="inlineStr">
        <is>
          <t>2026-02-22 15:44:19</t>
        </is>
      </c>
      <c r="P72" s="2" t="inlineStr">
        <is>
          <t>Cafetera once
Número de ticket:112622
Número de serie:1969712
Hora de servicio: 3h
Se encontró el pistón inferior todo desarmado, se sustrajo grupo y se intentó armar nuevamente pero hace falta prisionero para que trabe y pueda bajar y subir el grupo correctamente.
Se fue a comprar al easy para dejarla momentáneamente funcionando hasta que se consiga el repuesto pero no quedó ok.
Repuestos: pistón inferior 
Cafetera inoperativa.</t>
        </is>
      </c>
      <c r="Q72" s="2" t="inlineStr">
        <is>
          <t>EQUIPOS;CAFETERAS CIMBALI</t>
        </is>
      </c>
      <c r="R72" s="2" t="inlineStr">
        <is>
          <t>2026-02-21 18:53:18</t>
        </is>
      </c>
      <c r="S72" s="2" t="n">
        <v>160</v>
      </c>
      <c r="T72" s="2" t="n">
        <v>60</v>
      </c>
      <c r="U72" s="2" t="inlineStr">
        <is>
          <t>Zona 1 — CABA / GBA Cercano (≤30 km)</t>
        </is>
      </c>
      <c r="V72" s="2" t="n">
        <v>2.5</v>
      </c>
      <c r="W72" s="2" t="n">
        <v>35</v>
      </c>
      <c r="X72" s="2" t="n">
        <v>2</v>
      </c>
      <c r="Y72" s="2" t="n">
        <v>2</v>
      </c>
      <c r="Z72" s="2" t="n">
        <v>0</v>
      </c>
      <c r="AA72" s="2" t="n">
        <v>0</v>
      </c>
      <c r="AB72" s="2" t="n">
        <v>0</v>
      </c>
      <c r="AC72" s="2" t="n">
        <v>0</v>
      </c>
      <c r="AD72" s="2" t="n">
        <v>2</v>
      </c>
      <c r="AE72" s="3">
        <f>AD72*35.0</f>
        <v/>
      </c>
      <c r="AF72" s="2" t="inlineStr">
        <is>
          <t>Skill: Reglas Técnicas</t>
        </is>
      </c>
      <c r="AG72" s="2" t="inlineStr"/>
      <c r="AH72" s="2" t="inlineStr">
        <is>
          <t>Once</t>
        </is>
      </c>
    </row>
    <row r="73">
      <c r="A73" s="2" t="n">
        <v>110443</v>
      </c>
      <c r="B73" s="2" t="inlineStr">
        <is>
          <t>Otros trabajos, detallar en comentarios</t>
        </is>
      </c>
      <c r="C73" s="2" t="inlineStr">
        <is>
          <t>-</t>
        </is>
      </c>
      <c r="D73" s="2" t="inlineStr">
        <is>
          <t>Horno de práctica,  no tuesta bien el pan. Tarda mucho y sale un error de magnetron</t>
        </is>
      </c>
      <c r="E73" s="2" t="inlineStr">
        <is>
          <t>Baja</t>
        </is>
      </c>
      <c r="F73" s="2" t="inlineStr"/>
      <c r="G73" s="2" t="inlineStr"/>
      <c r="H73" s="2" t="inlineStr"/>
      <c r="I73" s="2" t="inlineStr">
        <is>
          <t>FMONC</t>
        </is>
      </c>
      <c r="J73" s="2" t="inlineStr">
        <is>
          <t>Once</t>
        </is>
      </c>
      <c r="K73" s="2" t="inlineStr"/>
      <c r="L73" s="2" t="inlineStr">
        <is>
          <t>Cerrado</t>
        </is>
      </c>
      <c r="M73" s="2" t="inlineStr">
        <is>
          <t>2026-02-27 01:00:05</t>
        </is>
      </c>
      <c r="N73" s="2" t="inlineStr">
        <is>
          <t>Lucas Ale</t>
        </is>
      </c>
      <c r="O73" s="2" t="inlineStr">
        <is>
          <t>2026-02-22 16:51:31</t>
        </is>
      </c>
      <c r="P73" s="2" t="inlineStr">
        <is>
          <t>Solucionado por el coordinador de mantenimiento Nahuel .</t>
        </is>
      </c>
      <c r="Q73" s="2" t="inlineStr">
        <is>
          <t>;OTROS</t>
        </is>
      </c>
      <c r="R73" s="2" t="inlineStr">
        <is>
          <t>2026-02-02 18:16:48</t>
        </is>
      </c>
      <c r="S73" s="2" t="n">
        <v>77</v>
      </c>
      <c r="T73" s="2" t="inlineStr"/>
      <c r="U73" s="2" t="inlineStr">
        <is>
          <t>Zona 1 — CABA / GBA Cercano (≤30 km)</t>
        </is>
      </c>
      <c r="V73" s="2" t="n">
        <v>2.5</v>
      </c>
      <c r="W73" s="2" t="n">
        <v>35</v>
      </c>
      <c r="X73" s="2" t="n">
        <v>2</v>
      </c>
      <c r="Y73" s="2" t="n">
        <v>2</v>
      </c>
      <c r="Z73" s="2" t="n">
        <v>0</v>
      </c>
      <c r="AA73" s="2" t="n">
        <v>0</v>
      </c>
      <c r="AB73" s="2" t="n">
        <v>0</v>
      </c>
      <c r="AC73" s="2" t="n">
        <v>0</v>
      </c>
      <c r="AD73" s="2" t="n">
        <v>2</v>
      </c>
      <c r="AE73" s="3">
        <f>AD73*35.0</f>
        <v/>
      </c>
      <c r="AF73" s="2" t="inlineStr">
        <is>
          <t>Skill: Reglas Técnicas</t>
        </is>
      </c>
      <c r="AG73" s="2" t="inlineStr"/>
      <c r="AH73" s="2" t="inlineStr">
        <is>
          <t>Once</t>
        </is>
      </c>
    </row>
    <row r="74">
      <c r="A74" s="2" t="n">
        <v>112834</v>
      </c>
      <c r="B74" s="2" t="inlineStr">
        <is>
          <t>ER 008 - Timeout manipulación grupo, falla en bloque mecanico</t>
        </is>
      </c>
      <c r="C74" s="2" t="inlineStr">
        <is>
          <t>-</t>
        </is>
      </c>
      <c r="D74" s="2" t="inlineStr">
        <is>
          <t>Cambiar repuesto ya se encuentra en el local</t>
        </is>
      </c>
      <c r="E74" s="2" t="inlineStr">
        <is>
          <t>Urgente</t>
        </is>
      </c>
      <c r="F74" s="2" t="inlineStr"/>
      <c r="G74" s="2" t="inlineStr"/>
      <c r="H74" s="2" t="inlineStr"/>
      <c r="I74" s="2" t="inlineStr">
        <is>
          <t>FMONC</t>
        </is>
      </c>
      <c r="J74" s="2" t="inlineStr">
        <is>
          <t>Once</t>
        </is>
      </c>
      <c r="K74" s="2" t="inlineStr"/>
      <c r="L74" s="2" t="inlineStr">
        <is>
          <t>Cerrado</t>
        </is>
      </c>
      <c r="M74" s="2" t="inlineStr">
        <is>
          <t>2026-03-01 01:00:04</t>
        </is>
      </c>
      <c r="N74" s="2" t="inlineStr">
        <is>
          <t>Lucas Ale</t>
        </is>
      </c>
      <c r="O74" s="2" t="inlineStr">
        <is>
          <t>2026-02-24 13:05:44</t>
        </is>
      </c>
      <c r="P74" s="2" t="inlineStr">
        <is>
          <t>Cafetera Once
Número de ticket:112834
Número de serie:1969712
Hora de servicio:2h
Se intercambio repuesto pistón inferior, orrings y se colocó correctamente el prisionero.
Se revisó circuito de leche ya que no salía.
Válvula ED estaba desconectados los cables.
No salia café.
Manguera cristal toda llena de café, se limpió y sale ahora correctamente.
Se hizo los lavados correspondientes.
Cafetera operando.</t>
        </is>
      </c>
      <c r="Q74" s="2" t="inlineStr">
        <is>
          <t>EQUIPOS;CAFETERAS CIMBALI</t>
        </is>
      </c>
      <c r="R74" s="2" t="inlineStr">
        <is>
          <t>2026-02-23 16:51:01</t>
        </is>
      </c>
      <c r="S74" s="2" t="n">
        <v>160</v>
      </c>
      <c r="T74" s="2" t="n">
        <v>60</v>
      </c>
      <c r="U74" s="2" t="inlineStr">
        <is>
          <t>Zona 1 — CABA / GBA Cercano (≤30 km)</t>
        </is>
      </c>
      <c r="V74" s="2" t="n">
        <v>2.5</v>
      </c>
      <c r="W74" s="2" t="n">
        <v>35</v>
      </c>
      <c r="X74" s="2" t="n">
        <v>2</v>
      </c>
      <c r="Y74" s="2" t="n">
        <v>2</v>
      </c>
      <c r="Z74" s="2" t="n">
        <v>0</v>
      </c>
      <c r="AA74" s="2" t="n">
        <v>0</v>
      </c>
      <c r="AB74" s="2" t="n">
        <v>0</v>
      </c>
      <c r="AC74" s="2" t="n">
        <v>0</v>
      </c>
      <c r="AD74" s="2" t="n">
        <v>2</v>
      </c>
      <c r="AE74" s="3">
        <f>AD74*35.0</f>
        <v/>
      </c>
      <c r="AF74" s="2" t="inlineStr">
        <is>
          <t>Skill: Reglas Técnicas</t>
        </is>
      </c>
      <c r="AG74" s="2" t="inlineStr"/>
      <c r="AH74" s="2" t="inlineStr">
        <is>
          <t>Once</t>
        </is>
      </c>
    </row>
    <row r="75">
      <c r="A75" s="2" t="n">
        <v>107430</v>
      </c>
      <c r="B75" s="2" t="inlineStr">
        <is>
          <t>Otros trabajos, detallar en comentarios</t>
        </is>
      </c>
      <c r="C75" s="2" t="inlineStr">
        <is>
          <t>-</t>
        </is>
      </c>
      <c r="D75" s="2" t="inlineStr">
        <is>
          <t>Dos microondas sin calentar</t>
        </is>
      </c>
      <c r="E75" s="2" t="inlineStr">
        <is>
          <t>Baja</t>
        </is>
      </c>
      <c r="F75" s="2" t="inlineStr"/>
      <c r="G75" s="2" t="inlineStr"/>
      <c r="H75" s="2" t="inlineStr"/>
      <c r="I75" s="2" t="inlineStr">
        <is>
          <t>FPMPI</t>
        </is>
      </c>
      <c r="J75" s="2" t="inlineStr">
        <is>
          <t>Palmas del Pilar</t>
        </is>
      </c>
      <c r="K75" s="2" t="inlineStr"/>
      <c r="L75" s="2" t="inlineStr">
        <is>
          <t>Cerrado</t>
        </is>
      </c>
      <c r="M75" s="2" t="inlineStr">
        <is>
          <t>2026-02-07 01:00:05</t>
        </is>
      </c>
      <c r="N75" s="2" t="inlineStr">
        <is>
          <t>Nahuel Loubiere</t>
        </is>
      </c>
      <c r="O75" s="2" t="inlineStr">
        <is>
          <t>2026-02-02 12:39:49</t>
        </is>
      </c>
      <c r="P75" s="2" t="inlineStr">
        <is>
          <t>Estimados,
Esto fue resuelto por Service Partner
Saludos.</t>
        </is>
      </c>
      <c r="Q75" s="2" t="inlineStr">
        <is>
          <t>;OTROS</t>
        </is>
      </c>
      <c r="R75" s="2" t="inlineStr">
        <is>
          <t>2026-01-11 14:42:02</t>
        </is>
      </c>
      <c r="S75" s="2" t="n">
        <v>84</v>
      </c>
      <c r="T75" s="2" t="inlineStr"/>
      <c r="U75" s="2" t="inlineStr">
        <is>
          <t>Zona 2 — GBA Medio (30-60 km)</t>
        </is>
      </c>
      <c r="V75" s="2" t="n">
        <v>51.9</v>
      </c>
      <c r="W75" s="2" t="n">
        <v>35</v>
      </c>
      <c r="X75" s="2" t="n">
        <v>3</v>
      </c>
      <c r="Y75" s="2" t="n">
        <v>2</v>
      </c>
      <c r="Z75" s="2" t="n">
        <v>0</v>
      </c>
      <c r="AA75" s="2" t="n">
        <v>0</v>
      </c>
      <c r="AB75" s="2" t="n">
        <v>0</v>
      </c>
      <c r="AC75" s="2" t="n">
        <v>0</v>
      </c>
      <c r="AD75" s="2" t="n">
        <v>3</v>
      </c>
      <c r="AE75" s="3">
        <f>AD75*35.0</f>
        <v/>
      </c>
      <c r="AF75" s="2" t="inlineStr">
        <is>
          <t>Skill: Reglas Técnicas</t>
        </is>
      </c>
      <c r="AG75" s="2" t="inlineStr"/>
      <c r="AH75" s="2" t="inlineStr">
        <is>
          <t>Palmas del Pilar</t>
        </is>
      </c>
    </row>
    <row r="76">
      <c r="A76" s="2" t="n">
        <v>111736</v>
      </c>
      <c r="B76" s="2" t="inlineStr">
        <is>
          <t>Otros trabajos, detallar en comentarios</t>
        </is>
      </c>
      <c r="C76" s="2" t="inlineStr">
        <is>
          <t>-</t>
        </is>
      </c>
      <c r="D76" s="2" t="inlineStr">
        <is>
          <t>Hola! No me funciona el horno. Prende pero el motor no arranca.</t>
        </is>
      </c>
      <c r="E76" s="2" t="inlineStr">
        <is>
          <t>Baja</t>
        </is>
      </c>
      <c r="F76" s="2" t="inlineStr">
        <is>
          <t>Buenos días,
Nos podrán brindar un número de contacto por favor?
Muchas gracias</t>
        </is>
      </c>
      <c r="G76" s="2" t="inlineStr">
        <is>
          <t>Nahuel Loubiere</t>
        </is>
      </c>
      <c r="H76" s="2" t="inlineStr">
        <is>
          <t>2026-02-14 13:13:20</t>
        </is>
      </c>
      <c r="I76" s="2" t="inlineStr">
        <is>
          <t>FPMPI</t>
        </is>
      </c>
      <c r="J76" s="2" t="inlineStr">
        <is>
          <t>Palmas del Pilar</t>
        </is>
      </c>
      <c r="K76" s="2" t="inlineStr"/>
      <c r="L76" s="2" t="inlineStr">
        <is>
          <t>Cerrado</t>
        </is>
      </c>
      <c r="M76" s="2" t="inlineStr">
        <is>
          <t>2026-02-19 01:00:04</t>
        </is>
      </c>
      <c r="N76" s="2" t="inlineStr">
        <is>
          <t>Nahuel Loubiere</t>
        </is>
      </c>
      <c r="O76" s="2" t="inlineStr">
        <is>
          <t>2026-02-14 14:46:28</t>
        </is>
      </c>
      <c r="P76" s="2" t="inlineStr">
        <is>
          <t>Estimados,
Se habla con Raul y comenta que esto fue resuelto.
Saludos.</t>
        </is>
      </c>
      <c r="Q76" s="2" t="inlineStr">
        <is>
          <t>;OTROS</t>
        </is>
      </c>
      <c r="R76" s="2" t="inlineStr">
        <is>
          <t>2026-02-14 09:16:22</t>
        </is>
      </c>
      <c r="S76" s="2" t="n">
        <v>1</v>
      </c>
      <c r="T76" s="2" t="inlineStr"/>
      <c r="U76" s="2" t="inlineStr">
        <is>
          <t>Zona 2 — GBA Medio (30-60 km)</t>
        </is>
      </c>
      <c r="V76" s="2" t="n">
        <v>51.9</v>
      </c>
      <c r="W76" s="2" t="n">
        <v>35</v>
      </c>
      <c r="X76" s="2" t="n">
        <v>3</v>
      </c>
      <c r="Y76" s="2" t="n">
        <v>2</v>
      </c>
      <c r="Z76" s="2" t="n">
        <v>0</v>
      </c>
      <c r="AA76" s="2" t="n">
        <v>0</v>
      </c>
      <c r="AB76" s="2" t="n">
        <v>0</v>
      </c>
      <c r="AC76" s="2" t="n">
        <v>0</v>
      </c>
      <c r="AD76" s="2" t="n">
        <v>3</v>
      </c>
      <c r="AE76" s="3">
        <f>AD76*35.0</f>
        <v/>
      </c>
      <c r="AF76" s="2" t="inlineStr">
        <is>
          <t>Skill: Reglas Técnicas</t>
        </is>
      </c>
      <c r="AG76" s="2" t="inlineStr"/>
      <c r="AH76" s="2" t="inlineStr">
        <is>
          <t>Palmas del Pilar</t>
        </is>
      </c>
    </row>
    <row r="77">
      <c r="A77" s="2" t="n">
        <v>112975</v>
      </c>
      <c r="B77" s="2" t="inlineStr">
        <is>
          <t>ER 021  y 022 - Anomalía en movimiento de las muelas</t>
        </is>
      </c>
      <c r="C77" s="2" t="inlineStr">
        <is>
          <t>-</t>
        </is>
      </c>
      <c r="D77" s="2" t="inlineStr">
        <is>
          <t>Buenas tardes! Las moliendas no muelan el café!</t>
        </is>
      </c>
      <c r="E77" s="2" t="inlineStr">
        <is>
          <t>Urgente</t>
        </is>
      </c>
      <c r="F77" s="2" t="inlineStr">
        <is>
          <t>Voy a necesitar por favor si se puede acercar un técnico al local. Mi asistente está operando y se le complica ponerse a arreglar la cafetera.... gracias</t>
        </is>
      </c>
      <c r="G77" s="2" t="inlineStr">
        <is>
          <t>Sucursal PALMAS PILAR</t>
        </is>
      </c>
      <c r="H77" s="2" t="inlineStr">
        <is>
          <t>2026-02-25 14:38:13</t>
        </is>
      </c>
      <c r="I77" s="2" t="inlineStr">
        <is>
          <t>FPMPI</t>
        </is>
      </c>
      <c r="J77" s="2" t="inlineStr">
        <is>
          <t>Palmas del Pilar</t>
        </is>
      </c>
      <c r="K77" s="2" t="inlineStr"/>
      <c r="L77" s="2" t="inlineStr">
        <is>
          <t>Cerrado</t>
        </is>
      </c>
      <c r="M77" s="2" t="inlineStr">
        <is>
          <t>2026-03-02 01:00:05</t>
        </is>
      </c>
      <c r="N77" s="2" t="inlineStr">
        <is>
          <t>Lucas Ale</t>
        </is>
      </c>
      <c r="O77" s="2" t="inlineStr">
        <is>
          <t>2026-02-25 18:54:48</t>
        </is>
      </c>
      <c r="P77" s="2" t="inlineStr">
        <is>
          <t>Cafetera Palmas del Pilar
Número de ticket:112975
Número de serie:1842014
Horario de servicio:30m
Se realizó puesta 0 y calibración de las moliendas mm1 y mm2.
Se hizo limpieza del grupo pistón superior como inferior.
Cafetera operando.</t>
        </is>
      </c>
      <c r="Q77" s="2" t="inlineStr">
        <is>
          <t>EQUIPOS;CAFETERAS CIMBALI</t>
        </is>
      </c>
      <c r="R77" s="2" t="inlineStr">
        <is>
          <t>2026-02-25 12:06:33</t>
        </is>
      </c>
      <c r="S77" s="2" t="n">
        <v>70</v>
      </c>
      <c r="T77" s="2" t="inlineStr"/>
      <c r="U77" s="2" t="inlineStr">
        <is>
          <t>Zona 2 — GBA Medio (30-60 km)</t>
        </is>
      </c>
      <c r="V77" s="2" t="n">
        <v>51.9</v>
      </c>
      <c r="W77" s="2" t="n">
        <v>35</v>
      </c>
      <c r="X77" s="2" t="n">
        <v>3</v>
      </c>
      <c r="Y77" s="2" t="n">
        <v>2</v>
      </c>
      <c r="Z77" s="2" t="n">
        <v>0</v>
      </c>
      <c r="AA77" s="2" t="n">
        <v>0</v>
      </c>
      <c r="AB77" s="2" t="n">
        <v>0</v>
      </c>
      <c r="AC77" s="2" t="n">
        <v>0</v>
      </c>
      <c r="AD77" s="2" t="n">
        <v>3</v>
      </c>
      <c r="AE77" s="3">
        <f>AD77*35.0</f>
        <v/>
      </c>
      <c r="AF77" s="2" t="inlineStr">
        <is>
          <t>Skill: Reglas Técnicas</t>
        </is>
      </c>
      <c r="AG77" s="2" t="inlineStr"/>
      <c r="AH77" s="2" t="inlineStr">
        <is>
          <t>Palmas del Pilar</t>
        </is>
      </c>
    </row>
    <row r="78">
      <c r="A78" s="2" t="n">
        <v>111049</v>
      </c>
      <c r="B78" s="2" t="inlineStr">
        <is>
          <t>ER 062 a 065 - Calibrar equipo, filtros obstruidos o falla sensor, según error</t>
        </is>
      </c>
      <c r="C78" s="2" t="inlineStr">
        <is>
          <t>-</t>
        </is>
      </c>
      <c r="D78" s="2" t="inlineStr">
        <is>
          <t>Ambas cafeteras dejan los cafés sin rellenar.
Pastillas de café salen incompletas y rotas.
Suele saltar la térmica de la cafetera izquierda</t>
        </is>
      </c>
      <c r="E78" s="2" t="inlineStr">
        <is>
          <t>Normal</t>
        </is>
      </c>
      <c r="F78" s="2" t="inlineStr">
        <is>
          <t>Fotos</t>
        </is>
      </c>
      <c r="G78" s="2" t="inlineStr">
        <is>
          <t>Lucas Ale</t>
        </is>
      </c>
      <c r="H78" s="2" t="inlineStr">
        <is>
          <t>2026-02-11 18:23:12</t>
        </is>
      </c>
      <c r="I78" s="2" t="inlineStr">
        <is>
          <t>FMDQ2</t>
        </is>
      </c>
      <c r="J78" s="2" t="inlineStr">
        <is>
          <t>Paseo Aldrey</t>
        </is>
      </c>
      <c r="K78" s="2" t="inlineStr"/>
      <c r="L78" s="2" t="inlineStr">
        <is>
          <t>Cerrado</t>
        </is>
      </c>
      <c r="M78" s="2" t="inlineStr">
        <is>
          <t>2026-02-16 01:00:05</t>
        </is>
      </c>
      <c r="N78" s="2" t="inlineStr">
        <is>
          <t>Lucas Ale</t>
        </is>
      </c>
      <c r="O78" s="2" t="inlineStr">
        <is>
          <t>2026-02-11 18:23:19</t>
        </is>
      </c>
      <c r="P78" s="2" t="inlineStr">
        <is>
          <t>Cafetera Paseo Aldrey
Ticket número:111049
Serie número:1841653
Hora de servicio: 6h
Realizando la puesta 0 y calibración de la molienda mm1 y molienda mm2 , saltó el diyuntor por un mal empalme de que ya tenía e hizo maza con la tapa.
Se empalmó correctamente el cable y quedó la tapa y el conector de la mm1 OK.(se recomienda cambio)
Al colocar todo nuevamente prender el equipo pasaba que empezaba a moler la mm1 apenas de prender el equipo.
Se realizó descartes sacándole repuestos de la otra cafetera y resuelta que no está funcionando del todo bien la triac.
Se intercambió la triac del otro equipo y quedó funcionando correctamente.
Se armó nuevamente el otro equipo con sus respectivas repuestos y dejarla tal cual como estaba, ya sabiendo cuál era el problema.
Quedan con una cafetera hasta conseguir los repuestos.
Al único equipó operativo se realizó puesta 0 y calibración de las moliendas mm1 y mm2.
Se calibraron todos los cafés y también la espuma.
Repuestos: 
-triac
-cable mm1 con sus respectivos switch 
Observaciones:
-tolva de café rota
Local paseo aldrey operando con 1 sola cafetera.</t>
        </is>
      </c>
      <c r="Q78" s="2" t="inlineStr">
        <is>
          <t>EQUIPOS;CAFETERAS CIMBALI</t>
        </is>
      </c>
      <c r="R78" s="2" t="inlineStr">
        <is>
          <t>2026-02-07 18:58:56</t>
        </is>
      </c>
      <c r="S78" s="2" t="n">
        <v>79</v>
      </c>
      <c r="T78" s="2" t="inlineStr"/>
      <c r="U78" s="2" t="inlineStr">
        <is>
          <t>Zona 3+ — GBA Lejano / Interior (&gt;60 km)</t>
        </is>
      </c>
      <c r="V78" s="2" t="n">
        <v>383.1</v>
      </c>
      <c r="W78" s="2" t="n">
        <v>35</v>
      </c>
      <c r="X78" s="2" t="n">
        <v>4</v>
      </c>
      <c r="Y78" s="2" t="n">
        <v>2</v>
      </c>
      <c r="Z78" s="2" t="n">
        <v>0</v>
      </c>
      <c r="AA78" s="2" t="n">
        <v>0</v>
      </c>
      <c r="AB78" s="2" t="n">
        <v>0</v>
      </c>
      <c r="AC78" s="2" t="n">
        <v>0</v>
      </c>
      <c r="AD78" s="2" t="n">
        <v>4</v>
      </c>
      <c r="AE78" s="3">
        <f>AD78*35.0</f>
        <v/>
      </c>
      <c r="AF78" s="2" t="inlineStr">
        <is>
          <t>Skill: Reglas Técnicas</t>
        </is>
      </c>
      <c r="AG78" s="2" t="inlineStr"/>
      <c r="AH78" s="2" t="inlineStr">
        <is>
          <t>Paseo Aldrey</t>
        </is>
      </c>
    </row>
    <row r="79">
      <c r="A79" s="2" t="n">
        <v>107174</v>
      </c>
      <c r="B79" s="2" t="inlineStr">
        <is>
          <t>Otros trabajos, detallar en comentarios</t>
        </is>
      </c>
      <c r="C79" s="2" t="inlineStr">
        <is>
          <t>-</t>
        </is>
      </c>
      <c r="D79" s="2" t="inlineStr">
        <is>
          <t>- Bases de carteles lijar y pintar , atornillar los nuevos🔴
- ⁠Arreglar enchufes de cocina🔴
- ⁠Arreglar durlok de escalera🔴
- ⁠Arreglar techo de luces de cocina🔴
- ⁠Pintar columnas 
- ⁠Cambiar portafoco de bin de papas y asegurar luces🔴
- ⁠Colocar carteles luminosos🔴
- ⁠Pintar estante d pedidos dely
- ⁠Poner gomas antideslizantes en escalera de Pepsi🔴
- ⁠regular cierre de la puerta de heladera de cocina🔴
- ⁠Cerrar abertura en el frezer de papas
- ⁠Botoneras de freidoras
- ⁠Rellenar cerámicos rotos de  privado y producción
- ⁠Poner abrazaderas a las cañerías de bacha
- ⁠destapar mangueras de desatores de aires</t>
        </is>
      </c>
      <c r="E79" s="2" t="inlineStr">
        <is>
          <t>Baja</t>
        </is>
      </c>
      <c r="F79" s="2" t="inlineStr"/>
      <c r="G79" s="2" t="inlineStr"/>
      <c r="H79" s="2" t="inlineStr"/>
      <c r="I79" s="2" t="inlineStr">
        <is>
          <t>FMCPE</t>
        </is>
      </c>
      <c r="J79" s="2" t="inlineStr">
        <is>
          <t>Plaza España</t>
        </is>
      </c>
      <c r="K79" s="2" t="inlineStr"/>
      <c r="L79" s="2" t="inlineStr">
        <is>
          <t>Cerrado</t>
        </is>
      </c>
      <c r="M79" s="2" t="inlineStr">
        <is>
          <t>2026-02-10 01:00:06</t>
        </is>
      </c>
      <c r="N79" s="2" t="inlineStr">
        <is>
          <t>Nahuel Loubiere</t>
        </is>
      </c>
      <c r="O79" s="2" t="inlineStr">
        <is>
          <t>2026-02-05 14:37:46</t>
        </is>
      </c>
      <c r="P79" s="2" t="inlineStr">
        <is>
          <t>Estimados 
Se cierra tk ya que se estará realizando con mantenimiento de propios.
Saludos</t>
        </is>
      </c>
      <c r="Q79" s="2" t="inlineStr">
        <is>
          <t>;OTROS</t>
        </is>
      </c>
      <c r="R79" s="2" t="inlineStr">
        <is>
          <t>2026-01-09 15:16:33</t>
        </is>
      </c>
      <c r="S79" s="2" t="n">
        <v>104</v>
      </c>
      <c r="T79" s="2" t="n">
        <v>4</v>
      </c>
      <c r="U79" s="2" t="inlineStr">
        <is>
          <t>Zona 3+ — GBA Lejano / Interior (&gt;60 km)</t>
        </is>
      </c>
      <c r="V79" s="2" t="n">
        <v>646.3</v>
      </c>
      <c r="W79" s="2" t="n">
        <v>35</v>
      </c>
      <c r="X79" s="2" t="n">
        <v>4</v>
      </c>
      <c r="Y79" s="2" t="n">
        <v>2</v>
      </c>
      <c r="Z79" s="2" t="n">
        <v>0</v>
      </c>
      <c r="AA79" s="2" t="n">
        <v>0</v>
      </c>
      <c r="AB79" s="2" t="n">
        <v>0</v>
      </c>
      <c r="AC79" s="2" t="n">
        <v>0</v>
      </c>
      <c r="AD79" s="2" t="n">
        <v>4</v>
      </c>
      <c r="AE79" s="3">
        <f>AD79*35.0</f>
        <v/>
      </c>
      <c r="AF79" s="2" t="inlineStr">
        <is>
          <t>Skill: Reglas Técnicas</t>
        </is>
      </c>
      <c r="AG79" s="2" t="inlineStr"/>
      <c r="AH79" s="2" t="inlineStr">
        <is>
          <t>Plaza España</t>
        </is>
      </c>
    </row>
    <row r="80">
      <c r="A80" s="2" t="n">
        <v>110696</v>
      </c>
      <c r="B80" s="2" t="inlineStr">
        <is>
          <t>ER 021  y 022 - Anomalía en movimiento de las muelas</t>
        </is>
      </c>
      <c r="C80" s="2" t="inlineStr">
        <is>
          <t>-</t>
        </is>
      </c>
      <c r="D80" s="2" t="inlineStr">
        <is>
          <t>El café no cumple con la calidad y la calibración del café no es la correcta.</t>
        </is>
      </c>
      <c r="E80" s="2" t="inlineStr">
        <is>
          <t>Urgente</t>
        </is>
      </c>
      <c r="F80" s="2" t="inlineStr"/>
      <c r="G80" s="2" t="inlineStr"/>
      <c r="H80" s="2" t="inlineStr"/>
      <c r="I80" s="2" t="inlineStr">
        <is>
          <t>FMPYA</t>
        </is>
      </c>
      <c r="J80" s="2" t="inlineStr">
        <is>
          <t>Pompeya</t>
        </is>
      </c>
      <c r="K80" s="2" t="inlineStr"/>
      <c r="L80" s="2" t="inlineStr">
        <is>
          <t>Cerrado</t>
        </is>
      </c>
      <c r="M80" s="2" t="inlineStr">
        <is>
          <t>2026-02-10 01:00:06</t>
        </is>
      </c>
      <c r="N80" s="2" t="inlineStr">
        <is>
          <t>Nahuel Loubiere</t>
        </is>
      </c>
      <c r="O80" s="2" t="inlineStr">
        <is>
          <t>2026-02-05 20:11:53</t>
        </is>
      </c>
      <c r="P80" s="2" t="inlineStr">
        <is>
          <t>Estimados,
Se destraba molienda y se calibra equipo
Saludos.</t>
        </is>
      </c>
      <c r="Q80" s="2" t="inlineStr">
        <is>
          <t>EQUIPOS;CAFETERAS CIMBALI</t>
        </is>
      </c>
      <c r="R80" s="2" t="inlineStr">
        <is>
          <t>2026-02-04 17:55:56</t>
        </is>
      </c>
      <c r="S80" s="2" t="n">
        <v>40</v>
      </c>
      <c r="T80" s="2" t="inlineStr"/>
      <c r="U80" s="2" t="inlineStr">
        <is>
          <t>Zona 1 — CABA / GBA Cercano (≤30 km)</t>
        </is>
      </c>
      <c r="V80" s="2" t="n">
        <v>8.1</v>
      </c>
      <c r="W80" s="2" t="n">
        <v>35</v>
      </c>
      <c r="X80" s="2" t="n">
        <v>2</v>
      </c>
      <c r="Y80" s="2" t="n">
        <v>2</v>
      </c>
      <c r="Z80" s="2" t="n">
        <v>0</v>
      </c>
      <c r="AA80" s="2" t="n">
        <v>0</v>
      </c>
      <c r="AB80" s="2" t="n">
        <v>0</v>
      </c>
      <c r="AC80" s="2" t="n">
        <v>0</v>
      </c>
      <c r="AD80" s="2" t="n">
        <v>2</v>
      </c>
      <c r="AE80" s="3">
        <f>AD80*35.0</f>
        <v/>
      </c>
      <c r="AF80" s="2" t="inlineStr">
        <is>
          <t>Skill: Reglas Técnicas</t>
        </is>
      </c>
      <c r="AG80" s="2" t="inlineStr"/>
      <c r="AH80" s="2" t="inlineStr">
        <is>
          <t>Pompeya</t>
        </is>
      </c>
    </row>
    <row r="81">
      <c r="A81" s="2" t="n">
        <v>112258</v>
      </c>
      <c r="B81" s="2" t="inlineStr">
        <is>
          <t>ER 003 - Cámara fuera de posición, maquina bloqueada</t>
        </is>
      </c>
      <c r="C81" s="2" t="inlineStr">
        <is>
          <t>-</t>
        </is>
      </c>
      <c r="D81" s="2" t="inlineStr">
        <is>
          <t>Cafetera presenta anomalías y pide el lavado reiterada veces, además tiene el armazón izquierdo fuera de posición.</t>
        </is>
      </c>
      <c r="E81" s="2" t="inlineStr">
        <is>
          <t>Urgente</t>
        </is>
      </c>
      <c r="F81" s="2" t="inlineStr">
        <is>
          <t>Fotos</t>
        </is>
      </c>
      <c r="G81" s="2" t="inlineStr">
        <is>
          <t>Lucas Ale</t>
        </is>
      </c>
      <c r="H81" s="2" t="inlineStr">
        <is>
          <t>2026-02-20 18:55:56</t>
        </is>
      </c>
      <c r="I81" s="2" t="inlineStr">
        <is>
          <t>FMPYA</t>
        </is>
      </c>
      <c r="J81" s="2" t="inlineStr">
        <is>
          <t>Pompeya</t>
        </is>
      </c>
      <c r="K81" s="2" t="inlineStr"/>
      <c r="L81" s="2" t="inlineStr">
        <is>
          <t>Cerrado</t>
        </is>
      </c>
      <c r="M81" s="2" t="inlineStr">
        <is>
          <t>2026-02-25 01:00:04</t>
        </is>
      </c>
      <c r="N81" s="2" t="inlineStr">
        <is>
          <t>Lucas Ale</t>
        </is>
      </c>
      <c r="O81" s="2" t="inlineStr">
        <is>
          <t>2026-02-20 18:56:21</t>
        </is>
      </c>
      <c r="P81" s="2" t="inlineStr">
        <is>
          <t>Cafetera Pompeya 
Ticket número:112258
Serie número:1841251
Hora de servicio: 1h:30m
Se realizó una puesta cero y calibración de moliendas de la mm1 y mm2.
Se calibró leche y espuma.
Armazón colocado.
Observaciones:
-se recomienda cambiar moliendas ya que están desgastadas la mm1 como la mm2. Tanto superior como inferior.
-error 54 sensor de temperatura de grupo.(no influye al funcionamiento)
Repuestos: kit de moliendas 
Cafetera operando.</t>
        </is>
      </c>
      <c r="Q81" s="2" t="inlineStr">
        <is>
          <t>EQUIPOS;CAFETERAS CIMBALI</t>
        </is>
      </c>
      <c r="R81" s="2" t="inlineStr">
        <is>
          <t>2026-02-18 20:41:09</t>
        </is>
      </c>
      <c r="S81" s="2" t="inlineStr"/>
      <c r="T81" s="2" t="inlineStr"/>
      <c r="U81" s="2" t="inlineStr">
        <is>
          <t>Zona 1 — CABA / GBA Cercano (≤30 km)</t>
        </is>
      </c>
      <c r="V81" s="2" t="n">
        <v>8.1</v>
      </c>
      <c r="W81" s="2" t="n">
        <v>35</v>
      </c>
      <c r="X81" s="2" t="n">
        <v>2</v>
      </c>
      <c r="Y81" s="2" t="n">
        <v>5</v>
      </c>
      <c r="Z81" s="2" t="n">
        <v>0</v>
      </c>
      <c r="AA81" s="2" t="n">
        <v>0</v>
      </c>
      <c r="AB81" s="2" t="n">
        <v>0</v>
      </c>
      <c r="AC81" s="2" t="n">
        <v>0</v>
      </c>
      <c r="AD81" s="2" t="n">
        <v>5</v>
      </c>
      <c r="AE81" s="3">
        <f>AD81*35.0</f>
        <v/>
      </c>
      <c r="AF81" s="2" t="inlineStr">
        <is>
          <t>Skill: Reglas Técnicas</t>
        </is>
      </c>
      <c r="AG81" s="2" t="inlineStr"/>
      <c r="AH81" s="2" t="inlineStr">
        <is>
          <t>Pompeya</t>
        </is>
      </c>
    </row>
    <row r="82">
      <c r="A82" s="2" t="n">
        <v>112984</v>
      </c>
      <c r="B82" s="2" t="inlineStr">
        <is>
          <t>Equipo salta el disyuntor o térmica</t>
        </is>
      </c>
      <c r="C82" s="2" t="inlineStr">
        <is>
          <t>-</t>
        </is>
      </c>
      <c r="D82" s="2" t="inlineStr">
        <is>
          <t>Buenas tardes, estamos necesitando instalar la nueva melita y en lo posible con urgencia ya que no damos abasto con la cimballi</t>
        </is>
      </c>
      <c r="E82" s="2" t="inlineStr">
        <is>
          <t>Urgente</t>
        </is>
      </c>
      <c r="F82" s="2" t="inlineStr"/>
      <c r="G82" s="2" t="inlineStr"/>
      <c r="H82" s="2" t="inlineStr"/>
      <c r="I82" s="2" t="inlineStr">
        <is>
          <t>FMPYA</t>
        </is>
      </c>
      <c r="J82" s="2" t="inlineStr">
        <is>
          <t>Pompeya</t>
        </is>
      </c>
      <c r="K82" s="2" t="inlineStr"/>
      <c r="L82" s="2" t="inlineStr">
        <is>
          <t>Resuelto</t>
        </is>
      </c>
      <c r="M82" s="2" t="inlineStr">
        <is>
          <t>2026-02-27 08:10:46</t>
        </is>
      </c>
      <c r="N82" s="2" t="inlineStr">
        <is>
          <t>Cristian Merlo</t>
        </is>
      </c>
      <c r="O82" s="2" t="inlineStr">
        <is>
          <t>2026-02-27 08:10:46</t>
        </is>
      </c>
      <c r="P82" s="2" t="inlineStr">
        <is>
          <t>Buen dia, la instalacion fue realizada ayer por Nahuel.</t>
        </is>
      </c>
      <c r="Q82" s="2" t="inlineStr">
        <is>
          <t>EQUIPOS;CAFETERAS MELITA</t>
        </is>
      </c>
      <c r="R82" s="2" t="inlineStr">
        <is>
          <t>2026-02-25 13:07:55</t>
        </is>
      </c>
      <c r="S82" s="2" t="n">
        <v>60</v>
      </c>
      <c r="T82" s="2" t="inlineStr"/>
      <c r="U82" s="2" t="inlineStr">
        <is>
          <t>Zona 1 — CABA / GBA Cercano (≤30 km)</t>
        </is>
      </c>
      <c r="V82" s="2" t="n">
        <v>8.1</v>
      </c>
      <c r="W82" s="2" t="n">
        <v>35</v>
      </c>
      <c r="X82" s="2" t="n">
        <v>2</v>
      </c>
      <c r="Y82" s="2" t="n">
        <v>2</v>
      </c>
      <c r="Z82" s="2" t="n">
        <v>0</v>
      </c>
      <c r="AA82" s="2" t="n">
        <v>0</v>
      </c>
      <c r="AB82" s="2" t="n">
        <v>0</v>
      </c>
      <c r="AC82" s="2" t="n">
        <v>0</v>
      </c>
      <c r="AD82" s="2" t="n">
        <v>2</v>
      </c>
      <c r="AE82" s="3">
        <f>AD82*35.0</f>
        <v/>
      </c>
      <c r="AF82" s="2" t="inlineStr">
        <is>
          <t>Skill: Reglas Técnicas</t>
        </is>
      </c>
      <c r="AG82" s="2" t="inlineStr"/>
      <c r="AH82" s="2" t="inlineStr">
        <is>
          <t>Pompeya</t>
        </is>
      </c>
    </row>
    <row r="83">
      <c r="A83" s="2" t="n">
        <v>112858</v>
      </c>
      <c r="B83" s="2" t="inlineStr">
        <is>
          <t>Otros trabajos, detallar en comentarios</t>
        </is>
      </c>
      <c r="C83" s="2" t="inlineStr">
        <is>
          <t>-</t>
        </is>
      </c>
      <c r="D83" s="2" t="inlineStr">
        <is>
          <t>El CPU de local el cual da a funcionar el sistema operativo de cinet nose matiene encendido , impidiendo realizar tareas administrativas en las pantallas por que estas no encienden.</t>
        </is>
      </c>
      <c r="E83" s="2" t="inlineStr">
        <is>
          <t>Baja</t>
        </is>
      </c>
      <c r="F83" s="2" t="inlineStr">
        <is>
          <t>Buen dia, nos solicitarion verificar si las instalaciones del sector cafeteria estan aptas para instalar un equipo Melitta, vamos a utiliza el ticket para esta tarea.
Slds,</t>
        </is>
      </c>
      <c r="G83" s="2" t="inlineStr">
        <is>
          <t>Cristian Merlo</t>
        </is>
      </c>
      <c r="H83" s="2" t="inlineStr">
        <is>
          <t>2026-02-24 07:44:05</t>
        </is>
      </c>
      <c r="I83" s="2" t="inlineStr">
        <is>
          <t>FMPYA</t>
        </is>
      </c>
      <c r="J83" s="2" t="inlineStr">
        <is>
          <t>Pompeya</t>
        </is>
      </c>
      <c r="K83" s="2" t="inlineStr"/>
      <c r="L83" s="2" t="inlineStr">
        <is>
          <t>Resuelto</t>
        </is>
      </c>
      <c r="M83" s="2" t="inlineStr">
        <is>
          <t>2026-02-27 08:22:42</t>
        </is>
      </c>
      <c r="N83" s="2" t="inlineStr">
        <is>
          <t>Cristian Merlo</t>
        </is>
      </c>
      <c r="O83" s="2" t="inlineStr">
        <is>
          <t>2026-02-27 08:22:42</t>
        </is>
      </c>
      <c r="P83" s="2" t="inlineStr">
        <is>
          <t>Buen dia, la instalacion fue realizada ayer por Nahuel</t>
        </is>
      </c>
      <c r="Q83" s="2" t="inlineStr">
        <is>
          <t>;OTROS</t>
        </is>
      </c>
      <c r="R83" s="2" t="inlineStr">
        <is>
          <t>2026-02-24 02:25:36</t>
        </is>
      </c>
      <c r="S83" s="2" t="n">
        <v>12</v>
      </c>
      <c r="T83" s="2" t="inlineStr"/>
      <c r="U83" s="2" t="inlineStr">
        <is>
          <t>Zona 1 — CABA / GBA Cercano (≤30 km)</t>
        </is>
      </c>
      <c r="V83" s="2" t="n">
        <v>8.1</v>
      </c>
      <c r="W83" s="2" t="n">
        <v>35</v>
      </c>
      <c r="X83" s="2" t="n">
        <v>2</v>
      </c>
      <c r="Y83" s="2" t="n">
        <v>2</v>
      </c>
      <c r="Z83" s="2" t="n">
        <v>0</v>
      </c>
      <c r="AA83" s="2" t="n">
        <v>0</v>
      </c>
      <c r="AB83" s="2" t="n">
        <v>0</v>
      </c>
      <c r="AC83" s="2" t="n">
        <v>0</v>
      </c>
      <c r="AD83" s="2" t="n">
        <v>2</v>
      </c>
      <c r="AE83" s="3">
        <f>AD83*35.0</f>
        <v/>
      </c>
      <c r="AF83" s="2" t="inlineStr">
        <is>
          <t>Skill: Reglas Técnicas</t>
        </is>
      </c>
      <c r="AG83" s="2" t="inlineStr"/>
      <c r="AH83" s="2" t="inlineStr">
        <is>
          <t>Pompeya</t>
        </is>
      </c>
    </row>
    <row r="84">
      <c r="A84" s="2" t="n">
        <v>113192</v>
      </c>
      <c r="B84" s="2" t="inlineStr">
        <is>
          <t>Otros trabajos, detallar en comentarios</t>
        </is>
      </c>
      <c r="C84" s="2" t="inlineStr">
        <is>
          <t>-</t>
        </is>
      </c>
      <c r="D84" s="2" t="inlineStr">
        <is>
          <t>hola buenas, estoy teniendo problemas con el sistema de cinet, se me apaga el equipo lo prendo y se vuelve apagar, necesitaría que lo vengan a ver urgente, ya que no me deja operar como corresponde. gracias</t>
        </is>
      </c>
      <c r="E84" s="2" t="inlineStr">
        <is>
          <t>Baja</t>
        </is>
      </c>
      <c r="F84" s="2" t="inlineStr"/>
      <c r="G84" s="2" t="inlineStr"/>
      <c r="H84" s="2" t="inlineStr"/>
      <c r="I84" s="2" t="inlineStr">
        <is>
          <t>FMPYA</t>
        </is>
      </c>
      <c r="J84" s="2" t="inlineStr">
        <is>
          <t>Pompeya</t>
        </is>
      </c>
      <c r="K84" s="2" t="inlineStr"/>
      <c r="L84" s="2" t="inlineStr">
        <is>
          <t>Resuelto</t>
        </is>
      </c>
      <c r="M84" s="2" t="inlineStr">
        <is>
          <t>2026-02-28 13:23:39</t>
        </is>
      </c>
      <c r="N84" s="2" t="inlineStr">
        <is>
          <t>Cristian Merlo</t>
        </is>
      </c>
      <c r="O84" s="2" t="inlineStr">
        <is>
          <t>2026-02-28 13:23:39</t>
        </is>
      </c>
      <c r="P84" s="2" t="inlineStr">
        <is>
          <t>Instalacion realizada</t>
        </is>
      </c>
      <c r="Q84" s="2" t="inlineStr">
        <is>
          <t>;OTROS</t>
        </is>
      </c>
      <c r="R84" s="2" t="inlineStr">
        <is>
          <t>2026-02-27 08:29:50</t>
        </is>
      </c>
      <c r="S84" s="2" t="n">
        <v>5</v>
      </c>
      <c r="T84" s="2" t="inlineStr"/>
      <c r="U84" s="2" t="inlineStr">
        <is>
          <t>Zona 1 — CABA / GBA Cercano (≤30 km)</t>
        </is>
      </c>
      <c r="V84" s="2" t="n">
        <v>8.1</v>
      </c>
      <c r="W84" s="2" t="n">
        <v>35</v>
      </c>
      <c r="X84" s="2" t="n">
        <v>2</v>
      </c>
      <c r="Y84" s="2" t="n">
        <v>2</v>
      </c>
      <c r="Z84" s="2" t="n">
        <v>0</v>
      </c>
      <c r="AA84" s="2" t="n">
        <v>0</v>
      </c>
      <c r="AB84" s="2" t="n">
        <v>0</v>
      </c>
      <c r="AC84" s="2" t="n">
        <v>0</v>
      </c>
      <c r="AD84" s="2" t="n">
        <v>2</v>
      </c>
      <c r="AE84" s="3">
        <f>AD84*35.0</f>
        <v/>
      </c>
      <c r="AF84" s="2" t="inlineStr">
        <is>
          <t>Skill: Reglas Técnicas</t>
        </is>
      </c>
      <c r="AG84" s="2" t="inlineStr"/>
      <c r="AH84" s="2" t="inlineStr">
        <is>
          <t>Pompeya</t>
        </is>
      </c>
    </row>
    <row r="85">
      <c r="A85" s="2" t="n">
        <v>109904</v>
      </c>
      <c r="B85" s="2" t="inlineStr">
        <is>
          <t>Otras fallas, indicar número de falla</t>
        </is>
      </c>
      <c r="C85" s="2" t="inlineStr">
        <is>
          <t>-</t>
        </is>
      </c>
      <c r="D85" s="2" t="inlineStr">
        <is>
          <t>No sale cafe</t>
        </is>
      </c>
      <c r="E85" s="2" t="inlineStr">
        <is>
          <t>Baja</t>
        </is>
      </c>
      <c r="F85" s="2" t="inlineStr"/>
      <c r="G85" s="2" t="inlineStr"/>
      <c r="H85" s="2" t="inlineStr"/>
      <c r="I85" s="2" t="inlineStr">
        <is>
          <t>FPROS</t>
        </is>
      </c>
      <c r="J85" s="2" t="inlineStr">
        <is>
          <t>Portal Rosario</t>
        </is>
      </c>
      <c r="K85" s="2" t="inlineStr"/>
      <c r="L85" s="2" t="inlineStr">
        <is>
          <t>Cerrado</t>
        </is>
      </c>
      <c r="M85" s="2" t="inlineStr">
        <is>
          <t>2026-02-06 01:00:04</t>
        </is>
      </c>
      <c r="N85" s="2" t="inlineStr">
        <is>
          <t>Nahuel Loubiere</t>
        </is>
      </c>
      <c r="O85" s="2" t="inlineStr">
        <is>
          <t>2026-02-01 18:18:35</t>
        </is>
      </c>
      <c r="P85" s="2" t="inlineStr">
        <is>
          <t>Resuelto por Francisco
Saludos.</t>
        </is>
      </c>
      <c r="Q85" s="2" t="inlineStr">
        <is>
          <t>EQUIPOS;CAFETERAS CIMBALI</t>
        </is>
      </c>
      <c r="R85" s="2" t="inlineStr">
        <is>
          <t>2026-01-28 10:04:14</t>
        </is>
      </c>
      <c r="S85" s="2" t="n">
        <v>17</v>
      </c>
      <c r="T85" s="2" t="inlineStr"/>
      <c r="U85" s="2" t="inlineStr">
        <is>
          <t>Zona 3+ — GBA Lejano / Interior (&gt;60 km)</t>
        </is>
      </c>
      <c r="V85" s="2" t="n">
        <v>278.9</v>
      </c>
      <c r="W85" s="2" t="n">
        <v>35</v>
      </c>
      <c r="X85" s="2" t="n">
        <v>4</v>
      </c>
      <c r="Y85" s="2" t="n">
        <v>2</v>
      </c>
      <c r="Z85" s="2" t="n">
        <v>0</v>
      </c>
      <c r="AA85" s="2" t="n">
        <v>0</v>
      </c>
      <c r="AB85" s="2" t="n">
        <v>0</v>
      </c>
      <c r="AC85" s="2" t="n">
        <v>0</v>
      </c>
      <c r="AD85" s="2" t="n">
        <v>4</v>
      </c>
      <c r="AE85" s="3">
        <f>AD85*35.0</f>
        <v/>
      </c>
      <c r="AF85" s="2" t="inlineStr">
        <is>
          <t>Skill: Reglas Técnicas</t>
        </is>
      </c>
      <c r="AG85" s="2" t="inlineStr"/>
      <c r="AH85" s="2" t="inlineStr">
        <is>
          <t>Portal Rosario</t>
        </is>
      </c>
    </row>
    <row r="86">
      <c r="A86" s="2" t="n">
        <v>111600</v>
      </c>
      <c r="B86" s="2" t="inlineStr">
        <is>
          <t>Falla en molido de café, equipo inoperativo</t>
        </is>
      </c>
      <c r="C86" s="2" t="inlineStr">
        <is>
          <t>-</t>
        </is>
      </c>
      <c r="D86" s="2" t="inlineStr">
        <is>
          <t>Buenas. La cafetera no hace café.</t>
        </is>
      </c>
      <c r="E86" s="2" t="inlineStr">
        <is>
          <t>Urgente</t>
        </is>
      </c>
      <c r="F86" s="2" t="inlineStr">
        <is>
          <t>No funciona las moliendas</t>
        </is>
      </c>
      <c r="G86" s="2" t="inlineStr">
        <is>
          <t>Sucursal PORTAL ROSARIO</t>
        </is>
      </c>
      <c r="H86" s="2" t="inlineStr">
        <is>
          <t>2026-02-12 11:48:37</t>
        </is>
      </c>
      <c r="I86" s="2" t="inlineStr">
        <is>
          <t>FPROS</t>
        </is>
      </c>
      <c r="J86" s="2" t="inlineStr">
        <is>
          <t>Portal Rosario</t>
        </is>
      </c>
      <c r="K86" s="2" t="inlineStr"/>
      <c r="L86" s="2" t="inlineStr">
        <is>
          <t>Cerrado</t>
        </is>
      </c>
      <c r="M86" s="2" t="inlineStr">
        <is>
          <t>2026-02-17 01:00:05</t>
        </is>
      </c>
      <c r="N86" s="2" t="inlineStr">
        <is>
          <t>Francisco Rametta</t>
        </is>
      </c>
      <c r="O86" s="2" t="inlineStr">
        <is>
          <t>2026-02-12 13:57:53</t>
        </is>
      </c>
      <c r="P86" s="2" t="inlineStr">
        <is>
          <t>Resuelto telefónicamente</t>
        </is>
      </c>
      <c r="Q86" s="2" t="inlineStr">
        <is>
          <t>EQUIPOS;CAFETERAS MELITA</t>
        </is>
      </c>
      <c r="R86" s="2" t="inlineStr">
        <is>
          <t>2026-02-12 11:47:44</t>
        </is>
      </c>
      <c r="S86" s="2" t="n">
        <v>20</v>
      </c>
      <c r="T86" s="2" t="inlineStr"/>
      <c r="U86" s="2" t="inlineStr">
        <is>
          <t>Zona 3+ — GBA Lejano / Interior (&gt;60 km)</t>
        </is>
      </c>
      <c r="V86" s="2" t="n">
        <v>278.9</v>
      </c>
      <c r="W86" s="2" t="n">
        <v>35</v>
      </c>
      <c r="X86" s="2" t="n">
        <v>4</v>
      </c>
      <c r="Y86" s="2" t="n">
        <v>2</v>
      </c>
      <c r="Z86" s="2" t="n">
        <v>0</v>
      </c>
      <c r="AA86" s="2" t="n">
        <v>0</v>
      </c>
      <c r="AB86" s="2" t="n">
        <v>0</v>
      </c>
      <c r="AC86" s="2" t="n">
        <v>0</v>
      </c>
      <c r="AD86" s="2" t="n">
        <v>4</v>
      </c>
      <c r="AE86" s="3">
        <f>AD86*35.0</f>
        <v/>
      </c>
      <c r="AF86" s="2" t="inlineStr">
        <is>
          <t>Skill: Reglas Técnicas</t>
        </is>
      </c>
      <c r="AG86" s="2" t="inlineStr"/>
      <c r="AH86" s="2" t="inlineStr">
        <is>
          <t>Portal Rosario</t>
        </is>
      </c>
    </row>
    <row r="87">
      <c r="A87" s="2" t="n">
        <v>107722</v>
      </c>
      <c r="B87" s="2" t="inlineStr">
        <is>
          <t>Otras fallas, indicar número de falla</t>
        </is>
      </c>
      <c r="C87" s="2" t="inlineStr">
        <is>
          <t>-</t>
        </is>
      </c>
      <c r="D87" s="2" t="inlineStr">
        <is>
          <t>Buenas! La cimballi no larga agua caliente para te, el agua es tibia casi fria</t>
        </is>
      </c>
      <c r="E87" s="2" t="inlineStr">
        <is>
          <t>Baja</t>
        </is>
      </c>
      <c r="F87" s="2" t="inlineStr"/>
      <c r="G87" s="2" t="inlineStr"/>
      <c r="H87" s="2" t="inlineStr"/>
      <c r="I87" s="2" t="inlineStr">
        <is>
          <t>FMPRI</t>
        </is>
      </c>
      <c r="J87" s="2" t="inlineStr">
        <is>
          <t>Primera Junta</t>
        </is>
      </c>
      <c r="K87" s="2" t="inlineStr"/>
      <c r="L87" s="2" t="inlineStr">
        <is>
          <t>Cerrado</t>
        </is>
      </c>
      <c r="M87" s="2" t="inlineStr">
        <is>
          <t>2026-02-12 01:00:05</t>
        </is>
      </c>
      <c r="N87" s="2" t="inlineStr">
        <is>
          <t>Lucas Ale</t>
        </is>
      </c>
      <c r="O87" s="2" t="inlineStr">
        <is>
          <t>2026-02-07 10:13:27</t>
        </is>
      </c>
      <c r="P87" s="2" t="inlineStr">
        <is>
          <t>Resuelto</t>
        </is>
      </c>
      <c r="Q87" s="2" t="inlineStr">
        <is>
          <t>EQUIPOS;CAFETERAS CIMBALI</t>
        </is>
      </c>
      <c r="R87" s="2" t="inlineStr">
        <is>
          <t>2026-01-13 11:49:07</t>
        </is>
      </c>
      <c r="S87" s="2" t="n">
        <v>96</v>
      </c>
      <c r="T87" s="2" t="inlineStr"/>
      <c r="U87" s="2" t="inlineStr">
        <is>
          <t>Zona 1 — CABA / GBA Cercano (≤30 km)</t>
        </is>
      </c>
      <c r="V87" s="2" t="n">
        <v>5.6</v>
      </c>
      <c r="W87" s="2" t="n">
        <v>35</v>
      </c>
      <c r="X87" s="2" t="n">
        <v>2</v>
      </c>
      <c r="Y87" s="2" t="n">
        <v>2</v>
      </c>
      <c r="Z87" s="2" t="n">
        <v>0</v>
      </c>
      <c r="AA87" s="2" t="n">
        <v>0</v>
      </c>
      <c r="AB87" s="2" t="n">
        <v>0</v>
      </c>
      <c r="AC87" s="2" t="n">
        <v>0</v>
      </c>
      <c r="AD87" s="2" t="n">
        <v>2</v>
      </c>
      <c r="AE87" s="3">
        <f>AD87*35.0</f>
        <v/>
      </c>
      <c r="AF87" s="2" t="inlineStr">
        <is>
          <t>Skill: Reglas Técnicas</t>
        </is>
      </c>
      <c r="AG87" s="2" t="inlineStr"/>
      <c r="AH87" s="2" t="inlineStr">
        <is>
          <t>Primera Junta</t>
        </is>
      </c>
    </row>
    <row r="88">
      <c r="A88" s="2" t="n">
        <v>109334</v>
      </c>
      <c r="B88" s="2" t="inlineStr">
        <is>
          <t>Equipo arroja error (indicar falla), equipo fuera de servicio</t>
        </is>
      </c>
      <c r="C88" s="2" t="inlineStr">
        <is>
          <t>-</t>
        </is>
      </c>
      <c r="D88" s="2" t="inlineStr">
        <is>
          <t>Buenas, tenemos el horno UNOX sin funcionar</t>
        </is>
      </c>
      <c r="E88" s="2" t="inlineStr">
        <is>
          <t>Urgente</t>
        </is>
      </c>
      <c r="F88" s="2" t="inlineStr"/>
      <c r="G88" s="2" t="inlineStr"/>
      <c r="H88" s="2" t="inlineStr"/>
      <c r="I88" s="2" t="inlineStr">
        <is>
          <t>FMQCA</t>
        </is>
      </c>
      <c r="J88" s="2" t="inlineStr">
        <is>
          <t>Quilmes Peatonal</t>
        </is>
      </c>
      <c r="K88" s="2" t="inlineStr"/>
      <c r="L88" s="2" t="inlineStr">
        <is>
          <t>Cerrado</t>
        </is>
      </c>
      <c r="M88" s="2" t="inlineStr">
        <is>
          <t>2026-02-07 01:00:05</t>
        </is>
      </c>
      <c r="N88" s="2" t="inlineStr">
        <is>
          <t>Nahuel Loubiere</t>
        </is>
      </c>
      <c r="O88" s="2" t="inlineStr">
        <is>
          <t>2026-02-02 13:09:00</t>
        </is>
      </c>
      <c r="P88" s="2" t="inlineStr">
        <is>
          <t>Estimados, 
Se hablo con Rocio. Se cierra tk.
Saludos.</t>
        </is>
      </c>
      <c r="Q88" s="2" t="inlineStr">
        <is>
          <t>EQUIPOS;MAQUINA DE HIELO</t>
        </is>
      </c>
      <c r="R88" s="2" t="inlineStr">
        <is>
          <t>2026-01-23 19:54:28</t>
        </is>
      </c>
      <c r="S88" s="2" t="n">
        <v>10</v>
      </c>
      <c r="T88" s="2" t="inlineStr"/>
      <c r="U88" s="2" t="inlineStr">
        <is>
          <t>Zona 1 — CABA / GBA Cercano (≤30 km)</t>
        </is>
      </c>
      <c r="V88" s="2" t="n">
        <v>17.4</v>
      </c>
      <c r="W88" s="2" t="n">
        <v>35</v>
      </c>
      <c r="X88" s="2" t="n">
        <v>2</v>
      </c>
      <c r="Y88" s="2" t="n">
        <v>2</v>
      </c>
      <c r="Z88" s="2" t="n">
        <v>0</v>
      </c>
      <c r="AA88" s="2" t="n">
        <v>0</v>
      </c>
      <c r="AB88" s="2" t="n">
        <v>0</v>
      </c>
      <c r="AC88" s="2" t="n">
        <v>0</v>
      </c>
      <c r="AD88" s="2" t="n">
        <v>2</v>
      </c>
      <c r="AE88" s="3">
        <f>AD88*35.0</f>
        <v/>
      </c>
      <c r="AF88" s="2" t="inlineStr">
        <is>
          <t>Skill: Reglas Técnicas</t>
        </is>
      </c>
      <c r="AG88" s="2" t="inlineStr"/>
      <c r="AH88" s="2" t="inlineStr">
        <is>
          <t>Quilmes Peatonal</t>
        </is>
      </c>
    </row>
    <row r="89">
      <c r="A89" s="2" t="n">
        <v>109341</v>
      </c>
      <c r="B89" s="2" t="inlineStr">
        <is>
          <t>Equipo arroja error (indicar falla), equipo fuera de servicio</t>
        </is>
      </c>
      <c r="C89" s="2" t="inlineStr">
        <is>
          <t>-</t>
        </is>
      </c>
      <c r="D89" s="2" t="inlineStr">
        <is>
          <t>Buenas, no funciona el condensador trasero de la cámara congeladora y las luces del sector trasero no funciona</t>
        </is>
      </c>
      <c r="E89" s="2" t="inlineStr">
        <is>
          <t>Urgente</t>
        </is>
      </c>
      <c r="F89" s="2" t="inlineStr"/>
      <c r="G89" s="2" t="inlineStr"/>
      <c r="H89" s="2" t="inlineStr"/>
      <c r="I89" s="2" t="inlineStr">
        <is>
          <t>FMQCA</t>
        </is>
      </c>
      <c r="J89" s="2" t="inlineStr">
        <is>
          <t>Quilmes Peatonal</t>
        </is>
      </c>
      <c r="K89" s="2" t="inlineStr"/>
      <c r="L89" s="2" t="inlineStr">
        <is>
          <t>Cerrado</t>
        </is>
      </c>
      <c r="M89" s="2" t="inlineStr">
        <is>
          <t>2026-02-08 01:00:04</t>
        </is>
      </c>
      <c r="N89" s="2" t="inlineStr">
        <is>
          <t>Nahuel Loubiere</t>
        </is>
      </c>
      <c r="O89" s="2" t="inlineStr">
        <is>
          <t>2026-02-03 21:06:49</t>
        </is>
      </c>
      <c r="P89" s="2" t="inlineStr">
        <is>
          <t>Estimados,
Se hablo con Rocio y se desestima esta solicitud
Saludos.</t>
        </is>
      </c>
      <c r="Q89" s="2" t="inlineStr">
        <is>
          <t>EQUIPOS;MAQUINA DE HIELO</t>
        </is>
      </c>
      <c r="R89" s="2" t="inlineStr">
        <is>
          <t>2026-01-23 19:59:17</t>
        </is>
      </c>
      <c r="S89" s="2" t="n">
        <v>10</v>
      </c>
      <c r="T89" s="2" t="inlineStr"/>
      <c r="U89" s="2" t="inlineStr">
        <is>
          <t>Zona 1 — CABA / GBA Cercano (≤30 km)</t>
        </is>
      </c>
      <c r="V89" s="2" t="n">
        <v>17.4</v>
      </c>
      <c r="W89" s="2" t="n">
        <v>35</v>
      </c>
      <c r="X89" s="2" t="n">
        <v>2</v>
      </c>
      <c r="Y89" s="2" t="n">
        <v>2</v>
      </c>
      <c r="Z89" s="2" t="n">
        <v>0</v>
      </c>
      <c r="AA89" s="2" t="n">
        <v>0</v>
      </c>
      <c r="AB89" s="2" t="n">
        <v>0</v>
      </c>
      <c r="AC89" s="2" t="n">
        <v>0</v>
      </c>
      <c r="AD89" s="2" t="n">
        <v>2</v>
      </c>
      <c r="AE89" s="3">
        <f>AD89*35.0</f>
        <v/>
      </c>
      <c r="AF89" s="2" t="inlineStr">
        <is>
          <t>Skill: Reglas Técnicas</t>
        </is>
      </c>
      <c r="AG89" s="2" t="inlineStr"/>
      <c r="AH89" s="2" t="inlineStr">
        <is>
          <t>Quilmes Peatonal</t>
        </is>
      </c>
    </row>
    <row r="90">
      <c r="A90" s="2" t="n">
        <v>110576</v>
      </c>
      <c r="B90" s="2" t="inlineStr">
        <is>
          <t>Otros trabajos, detallar en comentarios</t>
        </is>
      </c>
      <c r="C90" s="2" t="inlineStr">
        <is>
          <t>-</t>
        </is>
      </c>
      <c r="D90" s="2" t="inlineStr">
        <is>
          <t>Solicito mtm para poner portarollos en baños. Gracias</t>
        </is>
      </c>
      <c r="E90" s="2" t="inlineStr">
        <is>
          <t>Baja</t>
        </is>
      </c>
      <c r="F90" s="2" t="inlineStr"/>
      <c r="G90" s="2" t="inlineStr"/>
      <c r="H90" s="2" t="inlineStr"/>
      <c r="I90" s="2" t="inlineStr">
        <is>
          <t>FMQCA</t>
        </is>
      </c>
      <c r="J90" s="2" t="inlineStr">
        <is>
          <t>Quilmes Peatonal</t>
        </is>
      </c>
      <c r="K90" s="2" t="inlineStr"/>
      <c r="L90" s="2" t="inlineStr">
        <is>
          <t>Cerrado</t>
        </is>
      </c>
      <c r="M90" s="2" t="inlineStr">
        <is>
          <t>2026-02-08 01:00:04</t>
        </is>
      </c>
      <c r="N90" s="2" t="inlineStr">
        <is>
          <t>Nahuel Loubiere</t>
        </is>
      </c>
      <c r="O90" s="2" t="inlineStr">
        <is>
          <t>2026-02-03 21:11:43</t>
        </is>
      </c>
      <c r="P90" s="2" t="inlineStr">
        <is>
          <t>Estimados,
Se coloca portarrollos usado.
Saludos.</t>
        </is>
      </c>
      <c r="Q90" s="2" t="inlineStr">
        <is>
          <t>;OTROS</t>
        </is>
      </c>
      <c r="R90" s="2" t="inlineStr">
        <is>
          <t>2026-02-03 13:24:28</t>
        </is>
      </c>
      <c r="S90" s="2" t="n">
        <v>1</v>
      </c>
      <c r="T90" s="2" t="inlineStr"/>
      <c r="U90" s="2" t="inlineStr">
        <is>
          <t>Zona 1 — CABA / GBA Cercano (≤30 km)</t>
        </is>
      </c>
      <c r="V90" s="2" t="n">
        <v>17.4</v>
      </c>
      <c r="W90" s="2" t="n">
        <v>35</v>
      </c>
      <c r="X90" s="2" t="n">
        <v>2</v>
      </c>
      <c r="Y90" s="2" t="n">
        <v>2</v>
      </c>
      <c r="Z90" s="2" t="n">
        <v>0</v>
      </c>
      <c r="AA90" s="2" t="n">
        <v>0</v>
      </c>
      <c r="AB90" s="2" t="n">
        <v>0</v>
      </c>
      <c r="AC90" s="2" t="n">
        <v>0</v>
      </c>
      <c r="AD90" s="2" t="n">
        <v>2</v>
      </c>
      <c r="AE90" s="3">
        <f>AD90*35.0</f>
        <v/>
      </c>
      <c r="AF90" s="2" t="inlineStr">
        <is>
          <t>Skill: Reglas Técnicas</t>
        </is>
      </c>
      <c r="AG90" s="2" t="inlineStr"/>
      <c r="AH90" s="2" t="inlineStr">
        <is>
          <t>Quilmes Peatonal</t>
        </is>
      </c>
    </row>
    <row r="91">
      <c r="A91" s="2" t="n">
        <v>110811</v>
      </c>
      <c r="B91" s="2" t="inlineStr">
        <is>
          <t>ER 021  y 022 - Anomalía en movimiento de las muelas</t>
        </is>
      </c>
      <c r="C91" s="2" t="inlineStr">
        <is>
          <t>-</t>
        </is>
      </c>
      <c r="D91" s="2" t="inlineStr">
        <is>
          <t>Buenas, cafetera izquierda moliendas trabadas.</t>
        </is>
      </c>
      <c r="E91" s="2" t="inlineStr">
        <is>
          <t>Urgente</t>
        </is>
      </c>
      <c r="F91" s="2" t="inlineStr">
        <is>
          <t>Adjunto fotos</t>
        </is>
      </c>
      <c r="G91" s="2" t="inlineStr">
        <is>
          <t>Lucas Ale</t>
        </is>
      </c>
      <c r="H91" s="2" t="inlineStr">
        <is>
          <t>2026-02-06 17:32:22</t>
        </is>
      </c>
      <c r="I91" s="2" t="inlineStr">
        <is>
          <t>FMQCA</t>
        </is>
      </c>
      <c r="J91" s="2" t="inlineStr">
        <is>
          <t>Quilmes Peatonal</t>
        </is>
      </c>
      <c r="K91" s="2" t="inlineStr"/>
      <c r="L91" s="2" t="inlineStr">
        <is>
          <t>Cerrado</t>
        </is>
      </c>
      <c r="M91" s="2" t="inlineStr">
        <is>
          <t>2026-02-11 01:00:06</t>
        </is>
      </c>
      <c r="N91" s="2" t="inlineStr">
        <is>
          <t>Lucas Ale</t>
        </is>
      </c>
      <c r="O91" s="2" t="inlineStr">
        <is>
          <t>2026-02-06 17:33:14</t>
        </is>
      </c>
      <c r="P91" s="2" t="inlineStr">
        <is>
          <t>Cafetera quilmes peatonal 
Tk n:110811
Hora de servicio: 1h
Se encontró con la cafetera operando se supone que la destrabaron el local.
De igual manera se hizo una puesta cero y calibración de las dos moliendas ya que no salían con la calidad correspondiente.
Se encontró sin 1 tornillo en la rueda dentada. se repuso uno nuevo.
Observaciones: encontrar tapa lateral izq ya que no la tiene.
Cafetera operando.</t>
        </is>
      </c>
      <c r="Q91" s="2" t="inlineStr">
        <is>
          <t>EQUIPOS;CAFETERAS CIMBALI</t>
        </is>
      </c>
      <c r="R91" s="2" t="inlineStr">
        <is>
          <t>2026-02-05 16:29:38</t>
        </is>
      </c>
      <c r="S91" s="2" t="n">
        <v>198</v>
      </c>
      <c r="T91" s="2" t="n">
        <v>98</v>
      </c>
      <c r="U91" s="2" t="inlineStr">
        <is>
          <t>Zona 1 — CABA / GBA Cercano (≤30 km)</t>
        </is>
      </c>
      <c r="V91" s="2" t="n">
        <v>17.4</v>
      </c>
      <c r="W91" s="2" t="n">
        <v>35</v>
      </c>
      <c r="X91" s="2" t="n">
        <v>2</v>
      </c>
      <c r="Y91" s="2" t="n">
        <v>2</v>
      </c>
      <c r="Z91" s="2" t="n">
        <v>0</v>
      </c>
      <c r="AA91" s="2" t="n">
        <v>0</v>
      </c>
      <c r="AB91" s="2" t="n">
        <v>0</v>
      </c>
      <c r="AC91" s="2" t="n">
        <v>0</v>
      </c>
      <c r="AD91" s="2" t="n">
        <v>2</v>
      </c>
      <c r="AE91" s="3">
        <f>AD91*35.0</f>
        <v/>
      </c>
      <c r="AF91" s="2" t="inlineStr">
        <is>
          <t>Skill: Reglas Técnicas</t>
        </is>
      </c>
      <c r="AG91" s="2" t="inlineStr"/>
      <c r="AH91" s="2" t="inlineStr">
        <is>
          <t>Quilmes Peatonal</t>
        </is>
      </c>
    </row>
    <row r="92">
      <c r="A92" s="2" t="n">
        <v>110989</v>
      </c>
      <c r="B92" s="2" t="inlineStr">
        <is>
          <t>Otros trabajos, detallar en comentarios</t>
        </is>
      </c>
      <c r="C92" s="2" t="inlineStr">
        <is>
          <t>-</t>
        </is>
      </c>
      <c r="D92" s="2" t="inlineStr">
        <is>
          <t>Buenas, se solicita tecnico para soldar pata de Bacha de baño de discapacitados.</t>
        </is>
      </c>
      <c r="E92" s="2" t="inlineStr">
        <is>
          <t>Baja</t>
        </is>
      </c>
      <c r="F92" s="2" t="inlineStr"/>
      <c r="G92" s="2" t="inlineStr"/>
      <c r="H92" s="2" t="inlineStr"/>
      <c r="I92" s="2" t="inlineStr">
        <is>
          <t>FMQCA</t>
        </is>
      </c>
      <c r="J92" s="2" t="inlineStr">
        <is>
          <t>Quilmes Peatonal</t>
        </is>
      </c>
      <c r="K92" s="2" t="inlineStr"/>
      <c r="L92" s="2" t="inlineStr">
        <is>
          <t>Cerrado</t>
        </is>
      </c>
      <c r="M92" s="2" t="inlineStr">
        <is>
          <t>2026-02-12 01:00:05</t>
        </is>
      </c>
      <c r="N92" s="2" t="inlineStr">
        <is>
          <t>Nahuel Loubiere</t>
        </is>
      </c>
      <c r="O92" s="2" t="inlineStr">
        <is>
          <t>2026-02-07 21:14:56</t>
        </is>
      </c>
      <c r="P92" s="2" t="inlineStr">
        <is>
          <t>Estimados,
Esto fue resuelto por proveedor externo.
Saludos.</t>
        </is>
      </c>
      <c r="Q92" s="2" t="inlineStr">
        <is>
          <t>;OTROS</t>
        </is>
      </c>
      <c r="R92" s="2" t="inlineStr">
        <is>
          <t>2026-02-07 11:56:55</t>
        </is>
      </c>
      <c r="S92" s="2" t="n">
        <v>1</v>
      </c>
      <c r="T92" s="2" t="inlineStr"/>
      <c r="U92" s="2" t="inlineStr">
        <is>
          <t>Zona 1 — CABA / GBA Cercano (≤30 km)</t>
        </is>
      </c>
      <c r="V92" s="2" t="n">
        <v>17.4</v>
      </c>
      <c r="W92" s="2" t="n">
        <v>35</v>
      </c>
      <c r="X92" s="2" t="n">
        <v>2</v>
      </c>
      <c r="Y92" s="2" t="n">
        <v>2</v>
      </c>
      <c r="Z92" s="2" t="n">
        <v>0</v>
      </c>
      <c r="AA92" s="2" t="n">
        <v>0</v>
      </c>
      <c r="AB92" s="2" t="n">
        <v>0</v>
      </c>
      <c r="AC92" s="2" t="n">
        <v>0</v>
      </c>
      <c r="AD92" s="2" t="n">
        <v>2</v>
      </c>
      <c r="AE92" s="3">
        <f>AD92*35.0</f>
        <v/>
      </c>
      <c r="AF92" s="2" t="inlineStr">
        <is>
          <t>Skill: Reglas Técnicas</t>
        </is>
      </c>
      <c r="AG92" s="2" t="inlineStr"/>
      <c r="AH92" s="2" t="inlineStr">
        <is>
          <t>Quilmes Peatonal</t>
        </is>
      </c>
    </row>
    <row r="93">
      <c r="A93" s="2" t="n">
        <v>111189</v>
      </c>
      <c r="B93" s="2" t="inlineStr">
        <is>
          <t>ER 021  y 022 - Anomalía en movimiento de las muelas</t>
        </is>
      </c>
      <c r="C93" s="2" t="inlineStr">
        <is>
          <t>-</t>
        </is>
      </c>
      <c r="D93" s="2" t="inlineStr">
        <is>
          <t>No funcionan molienda de cafetera 1</t>
        </is>
      </c>
      <c r="E93" s="2" t="inlineStr">
        <is>
          <t>Urgente</t>
        </is>
      </c>
      <c r="F93" s="2" t="inlineStr"/>
      <c r="G93" s="2" t="inlineStr"/>
      <c r="H93" s="2" t="inlineStr"/>
      <c r="I93" s="2" t="inlineStr">
        <is>
          <t>FMQCA</t>
        </is>
      </c>
      <c r="J93" s="2" t="inlineStr">
        <is>
          <t>Quilmes Peatonal</t>
        </is>
      </c>
      <c r="K93" s="2" t="inlineStr"/>
      <c r="L93" s="2" t="inlineStr">
        <is>
          <t>Cerrado</t>
        </is>
      </c>
      <c r="M93" s="2" t="inlineStr">
        <is>
          <t>2026-02-14 01:00:06</t>
        </is>
      </c>
      <c r="N93" s="2" t="inlineStr">
        <is>
          <t>Bruno Leyes</t>
        </is>
      </c>
      <c r="O93" s="2" t="inlineStr">
        <is>
          <t>2026-02-09 09:49:36</t>
        </is>
      </c>
      <c r="P93" s="2" t="inlineStr">
        <is>
          <t>Tiempo de servicio: 20min
La cafetera se encontraba con la tolva sin trabar por lo que no activaban los sensores y las moliendas no arrancabanse. Se dejó calibrada</t>
        </is>
      </c>
      <c r="Q93" s="2" t="inlineStr">
        <is>
          <t>EQUIPOS;CAFETERAS CIMBALI</t>
        </is>
      </c>
      <c r="R93" s="2" t="inlineStr">
        <is>
          <t>2026-02-09 07:32:52</t>
        </is>
      </c>
      <c r="S93" s="2" t="n">
        <v>30</v>
      </c>
      <c r="T93" s="2" t="inlineStr"/>
      <c r="U93" s="2" t="inlineStr">
        <is>
          <t>Zona 1 — CABA / GBA Cercano (≤30 km)</t>
        </is>
      </c>
      <c r="V93" s="2" t="n">
        <v>17.4</v>
      </c>
      <c r="W93" s="2" t="n">
        <v>35</v>
      </c>
      <c r="X93" s="2" t="n">
        <v>2</v>
      </c>
      <c r="Y93" s="2" t="n">
        <v>1</v>
      </c>
      <c r="Z93" s="2" t="n">
        <v>0</v>
      </c>
      <c r="AA93" s="2" t="n">
        <v>0</v>
      </c>
      <c r="AB93" s="2" t="n">
        <v>0</v>
      </c>
      <c r="AC93" s="2" t="n">
        <v>20</v>
      </c>
      <c r="AD93" s="2" t="n">
        <v>20</v>
      </c>
      <c r="AE93" s="3">
        <f>AD93*35.0</f>
        <v/>
      </c>
      <c r="AF93" s="2" t="inlineStr">
        <is>
          <t>Skill: Resolución | Skill: Reglas Técnicas</t>
        </is>
      </c>
      <c r="AG93" s="2" t="inlineStr"/>
      <c r="AH93" s="2" t="inlineStr">
        <is>
          <t>Quilmes Peatonal</t>
        </is>
      </c>
    </row>
    <row r="94">
      <c r="A94" s="2" t="n">
        <v>111734</v>
      </c>
      <c r="B94" s="2" t="inlineStr">
        <is>
          <t>ER 021  y 022 - Anomalía en movimiento de las muelas</t>
        </is>
      </c>
      <c r="C94" s="2" t="inlineStr">
        <is>
          <t>-</t>
        </is>
      </c>
      <c r="D94" s="2" t="inlineStr">
        <is>
          <t>Buenas, cafetera 1 está trabada molienda 1. Necesitamos un tecnico por favor</t>
        </is>
      </c>
      <c r="E94" s="2" t="inlineStr">
        <is>
          <t>Urgente</t>
        </is>
      </c>
      <c r="F94" s="2" t="inlineStr"/>
      <c r="G94" s="2" t="inlineStr"/>
      <c r="H94" s="2" t="inlineStr"/>
      <c r="I94" s="2" t="inlineStr">
        <is>
          <t>FMQCA</t>
        </is>
      </c>
      <c r="J94" s="2" t="inlineStr">
        <is>
          <t>Quilmes Peatonal</t>
        </is>
      </c>
      <c r="K94" s="2" t="inlineStr"/>
      <c r="L94" s="2" t="inlineStr">
        <is>
          <t>Cerrado</t>
        </is>
      </c>
      <c r="M94" s="2" t="inlineStr">
        <is>
          <t>2026-02-19 01:00:04</t>
        </is>
      </c>
      <c r="N94" s="2" t="inlineStr">
        <is>
          <t>Bruno Leyes</t>
        </is>
      </c>
      <c r="O94" s="2" t="inlineStr">
        <is>
          <t>2026-02-14 10:31:28</t>
        </is>
      </c>
      <c r="P94" s="2" t="inlineStr">
        <is>
          <t>Tiempo de servicio: 1hr
Se destrabo, limpio y calibraron moliendas de la cafetera, se encontró café.duro y húmedo. Se vuelve a solicitar tapón superior de caldera ya que la perdida es mayor que antes y afecta en l aoperacion de la cafetera 
Repuestos a solicitar: 
• tapón 3/8 gas exagonal 
• empaque cobre 3/8</t>
        </is>
      </c>
      <c r="Q94" s="2" t="inlineStr">
        <is>
          <t>EQUIPOS;CAFETERAS CIMBALI</t>
        </is>
      </c>
      <c r="R94" s="2" t="inlineStr">
        <is>
          <t>2026-02-14 08:21:54</t>
        </is>
      </c>
      <c r="S94" s="2" t="n">
        <v>30</v>
      </c>
      <c r="T94" s="2" t="inlineStr"/>
      <c r="U94" s="2" t="inlineStr">
        <is>
          <t>Zona 1 — CABA / GBA Cercano (≤30 km)</t>
        </is>
      </c>
      <c r="V94" s="2" t="n">
        <v>17.4</v>
      </c>
      <c r="W94" s="2" t="n">
        <v>35</v>
      </c>
      <c r="X94" s="2" t="n">
        <v>2</v>
      </c>
      <c r="Y94" s="2" t="n">
        <v>1</v>
      </c>
      <c r="Z94" s="2" t="n">
        <v>0</v>
      </c>
      <c r="AA94" s="2" t="n">
        <v>0</v>
      </c>
      <c r="AB94" s="2" t="n">
        <v>0</v>
      </c>
      <c r="AC94" s="2" t="n">
        <v>1</v>
      </c>
      <c r="AD94" s="2" t="n">
        <v>2</v>
      </c>
      <c r="AE94" s="3">
        <f>AD94*35.0</f>
        <v/>
      </c>
      <c r="AF94" s="2" t="inlineStr">
        <is>
          <t>Skill: Resolución | Skill: Reglas Técnicas</t>
        </is>
      </c>
      <c r="AG94" s="2" t="inlineStr"/>
      <c r="AH94" s="2" t="inlineStr">
        <is>
          <t>Quilmes Peatonal</t>
        </is>
      </c>
    </row>
    <row r="95">
      <c r="A95" s="2" t="n">
        <v>109337</v>
      </c>
      <c r="B95" s="2" t="inlineStr">
        <is>
          <t>Equipo arroja error (indicar falla), equipo fuera de servicio</t>
        </is>
      </c>
      <c r="C95" s="2" t="inlineStr">
        <is>
          <t>-</t>
        </is>
      </c>
      <c r="D95" s="2" t="inlineStr">
        <is>
          <t>Tenemos varios zócalos de pared caídos</t>
        </is>
      </c>
      <c r="E95" s="2" t="inlineStr">
        <is>
          <t>Urgente</t>
        </is>
      </c>
      <c r="F95" s="2" t="inlineStr"/>
      <c r="G95" s="2" t="inlineStr"/>
      <c r="H95" s="2" t="inlineStr"/>
      <c r="I95" s="2" t="inlineStr">
        <is>
          <t>FMQCA</t>
        </is>
      </c>
      <c r="J95" s="2" t="inlineStr">
        <is>
          <t>Quilmes Peatonal</t>
        </is>
      </c>
      <c r="K95" s="2" t="inlineStr"/>
      <c r="L95" s="2" t="inlineStr">
        <is>
          <t>Resuelto</t>
        </is>
      </c>
      <c r="M95" s="2" t="inlineStr">
        <is>
          <t>2026-02-26 18:29:46</t>
        </is>
      </c>
      <c r="N95" s="2" t="inlineStr">
        <is>
          <t>Bruno Leyes</t>
        </is>
      </c>
      <c r="O95" s="2" t="inlineStr">
        <is>
          <t>2026-02-26 18:29:46</t>
        </is>
      </c>
      <c r="P95" s="2" t="inlineStr">
        <is>
          <t>A cargo de facility</t>
        </is>
      </c>
      <c r="Q95" s="2" t="inlineStr">
        <is>
          <t>EQUIPOS;MAQUINA DE HIELO</t>
        </is>
      </c>
      <c r="R95" s="2" t="inlineStr">
        <is>
          <t>2026-01-23 19:57:11</t>
        </is>
      </c>
      <c r="S95" s="2" t="n">
        <v>10</v>
      </c>
      <c r="T95" s="2" t="inlineStr"/>
      <c r="U95" s="2" t="inlineStr">
        <is>
          <t>Zona 1 — CABA / GBA Cercano (≤30 km)</t>
        </is>
      </c>
      <c r="V95" s="2" t="n">
        <v>17.4</v>
      </c>
      <c r="W95" s="2" t="n">
        <v>35</v>
      </c>
      <c r="X95" s="2" t="n">
        <v>2</v>
      </c>
      <c r="Y95" s="2" t="n">
        <v>2</v>
      </c>
      <c r="Z95" s="2" t="n">
        <v>0</v>
      </c>
      <c r="AA95" s="2" t="n">
        <v>0</v>
      </c>
      <c r="AB95" s="2" t="n">
        <v>0</v>
      </c>
      <c r="AC95" s="2" t="n">
        <v>0</v>
      </c>
      <c r="AD95" s="2" t="n">
        <v>2</v>
      </c>
      <c r="AE95" s="3">
        <f>AD95*35.0</f>
        <v/>
      </c>
      <c r="AF95" s="2" t="inlineStr">
        <is>
          <t>Skill: Reglas Técnicas</t>
        </is>
      </c>
      <c r="AG95" s="2" t="inlineStr"/>
      <c r="AH95" s="2" t="inlineStr">
        <is>
          <t>Quilmes Peatonal</t>
        </is>
      </c>
    </row>
    <row r="96">
      <c r="A96" s="2" t="n">
        <v>109338</v>
      </c>
      <c r="B96" s="2" t="inlineStr">
        <is>
          <t>Equipo arroja error (indicar falla), equipo fuera de servicio</t>
        </is>
      </c>
      <c r="C96" s="2" t="inlineStr">
        <is>
          <t>-</t>
        </is>
      </c>
      <c r="D96" s="2" t="inlineStr">
        <is>
          <t>Nos faltan trabas del phu (dos)</t>
        </is>
      </c>
      <c r="E96" s="2" t="inlineStr">
        <is>
          <t>Urgente</t>
        </is>
      </c>
      <c r="F96" s="2" t="inlineStr"/>
      <c r="G96" s="2" t="inlineStr"/>
      <c r="H96" s="2" t="inlineStr"/>
      <c r="I96" s="2" t="inlineStr">
        <is>
          <t>FMQCA</t>
        </is>
      </c>
      <c r="J96" s="2" t="inlineStr">
        <is>
          <t>Quilmes Peatonal</t>
        </is>
      </c>
      <c r="K96" s="2" t="inlineStr"/>
      <c r="L96" s="2" t="inlineStr">
        <is>
          <t>Resuelto</t>
        </is>
      </c>
      <c r="M96" s="2" t="inlineStr">
        <is>
          <t>2026-02-26 18:33:18</t>
        </is>
      </c>
      <c r="N96" s="2" t="inlineStr">
        <is>
          <t>Bruno Leyes</t>
        </is>
      </c>
      <c r="O96" s="2" t="inlineStr">
        <is>
          <t>2026-02-26 18:33:18</t>
        </is>
      </c>
      <c r="P96" s="2" t="inlineStr">
        <is>
          <t>Pedir a depo</t>
        </is>
      </c>
      <c r="Q96" s="2" t="inlineStr">
        <is>
          <t>EQUIPOS;MAQUINA DE HIELO</t>
        </is>
      </c>
      <c r="R96" s="2" t="inlineStr">
        <is>
          <t>2026-01-23 19:57:49</t>
        </is>
      </c>
      <c r="S96" s="2" t="n">
        <v>10</v>
      </c>
      <c r="T96" s="2" t="inlineStr"/>
      <c r="U96" s="2" t="inlineStr">
        <is>
          <t>Zona 1 — CABA / GBA Cercano (≤30 km)</t>
        </is>
      </c>
      <c r="V96" s="2" t="n">
        <v>17.4</v>
      </c>
      <c r="W96" s="2" t="n">
        <v>35</v>
      </c>
      <c r="X96" s="2" t="n">
        <v>2</v>
      </c>
      <c r="Y96" s="2" t="n">
        <v>2</v>
      </c>
      <c r="Z96" s="2" t="n">
        <v>0</v>
      </c>
      <c r="AA96" s="2" t="n">
        <v>0</v>
      </c>
      <c r="AB96" s="2" t="n">
        <v>0</v>
      </c>
      <c r="AC96" s="2" t="n">
        <v>0</v>
      </c>
      <c r="AD96" s="2" t="n">
        <v>2</v>
      </c>
      <c r="AE96" s="3">
        <f>AD96*35.0</f>
        <v/>
      </c>
      <c r="AF96" s="2" t="inlineStr">
        <is>
          <t>Skill: Reglas Técnicas</t>
        </is>
      </c>
      <c r="AG96" s="2" t="inlineStr"/>
      <c r="AH96" s="2" t="inlineStr">
        <is>
          <t>Quilmes Peatonal</t>
        </is>
      </c>
    </row>
    <row r="97">
      <c r="A97" s="2" t="n">
        <v>109339</v>
      </c>
      <c r="B97" s="2" t="inlineStr">
        <is>
          <t>Equipo arroja error (indicar falla), equipo fuera de servicio</t>
        </is>
      </c>
      <c r="C97" s="2" t="inlineStr">
        <is>
          <t>-</t>
        </is>
      </c>
      <c r="D97" s="2" t="inlineStr">
        <is>
          <t>Tenemos pisos rotos en sector cocina, servicio y producción</t>
        </is>
      </c>
      <c r="E97" s="2" t="inlineStr">
        <is>
          <t>Urgente</t>
        </is>
      </c>
      <c r="F97" s="2" t="inlineStr"/>
      <c r="G97" s="2" t="inlineStr"/>
      <c r="H97" s="2" t="inlineStr"/>
      <c r="I97" s="2" t="inlineStr">
        <is>
          <t>FMQCA</t>
        </is>
      </c>
      <c r="J97" s="2" t="inlineStr">
        <is>
          <t>Quilmes Peatonal</t>
        </is>
      </c>
      <c r="K97" s="2" t="inlineStr"/>
      <c r="L97" s="2" t="inlineStr">
        <is>
          <t>Resuelto</t>
        </is>
      </c>
      <c r="M97" s="2" t="inlineStr">
        <is>
          <t>2026-02-26 18:34:06</t>
        </is>
      </c>
      <c r="N97" s="2" t="inlineStr">
        <is>
          <t>Bruno Leyes</t>
        </is>
      </c>
      <c r="O97" s="2" t="inlineStr">
        <is>
          <t>2026-02-26 18:34:05</t>
        </is>
      </c>
      <c r="P97" s="2" t="inlineStr">
        <is>
          <t>A cargo de facility</t>
        </is>
      </c>
      <c r="Q97" s="2" t="inlineStr">
        <is>
          <t>EQUIPOS;MAQUINA DE HIELO</t>
        </is>
      </c>
      <c r="R97" s="2" t="inlineStr">
        <is>
          <t>2026-01-23 19:58:08</t>
        </is>
      </c>
      <c r="S97" s="2" t="n">
        <v>10</v>
      </c>
      <c r="T97" s="2" t="inlineStr"/>
      <c r="U97" s="2" t="inlineStr">
        <is>
          <t>Zona 1 — CABA / GBA Cercano (≤30 km)</t>
        </is>
      </c>
      <c r="V97" s="2" t="n">
        <v>17.4</v>
      </c>
      <c r="W97" s="2" t="n">
        <v>35</v>
      </c>
      <c r="X97" s="2" t="n">
        <v>2</v>
      </c>
      <c r="Y97" s="2" t="n">
        <v>2</v>
      </c>
      <c r="Z97" s="2" t="n">
        <v>0</v>
      </c>
      <c r="AA97" s="2" t="n">
        <v>0</v>
      </c>
      <c r="AB97" s="2" t="n">
        <v>0</v>
      </c>
      <c r="AC97" s="2" t="n">
        <v>0</v>
      </c>
      <c r="AD97" s="2" t="n">
        <v>2</v>
      </c>
      <c r="AE97" s="3">
        <f>AD97*35.0</f>
        <v/>
      </c>
      <c r="AF97" s="2" t="inlineStr">
        <is>
          <t>Skill: Reglas Técnicas</t>
        </is>
      </c>
      <c r="AG97" s="2" t="inlineStr"/>
      <c r="AH97" s="2" t="inlineStr">
        <is>
          <t>Quilmes Peatonal</t>
        </is>
      </c>
    </row>
    <row r="98">
      <c r="A98" s="2" t="n">
        <v>113006</v>
      </c>
      <c r="B98" s="2" t="inlineStr">
        <is>
          <t>Otros trabajos, detallar en comentarios</t>
        </is>
      </c>
      <c r="C98" s="2" t="inlineStr">
        <is>
          <t>-</t>
        </is>
      </c>
      <c r="D98" s="2" t="inlineStr">
        <is>
          <t>Arreglar enchufes de abajo del Broiler.</t>
        </is>
      </c>
      <c r="E98" s="2" t="inlineStr">
        <is>
          <t>Baja</t>
        </is>
      </c>
      <c r="F98" s="2" t="inlineStr"/>
      <c r="G98" s="2" t="inlineStr"/>
      <c r="H98" s="2" t="inlineStr"/>
      <c r="I98" s="2" t="inlineStr">
        <is>
          <t>FMQCA</t>
        </is>
      </c>
      <c r="J98" s="2" t="inlineStr">
        <is>
          <t>Quilmes Peatonal</t>
        </is>
      </c>
      <c r="K98" s="2" t="inlineStr"/>
      <c r="L98" s="2" t="inlineStr">
        <is>
          <t>Resuelto</t>
        </is>
      </c>
      <c r="M98" s="2" t="inlineStr">
        <is>
          <t>2026-02-26 18:36:47</t>
        </is>
      </c>
      <c r="N98" s="2" t="inlineStr">
        <is>
          <t>Bruno Leyes</t>
        </is>
      </c>
      <c r="O98" s="2" t="inlineStr">
        <is>
          <t>2026-02-26 18:36:47</t>
        </is>
      </c>
      <c r="P98" s="2" t="inlineStr">
        <is>
          <t>Ya okey</t>
        </is>
      </c>
      <c r="Q98" s="2" t="inlineStr">
        <is>
          <t>;OTROS</t>
        </is>
      </c>
      <c r="R98" s="2" t="inlineStr">
        <is>
          <t>2026-02-25 17:08:30</t>
        </is>
      </c>
      <c r="S98" s="2" t="n">
        <v>4</v>
      </c>
      <c r="T98" s="2" t="inlineStr"/>
      <c r="U98" s="2" t="inlineStr">
        <is>
          <t>Zona 1 — CABA / GBA Cercano (≤30 km)</t>
        </is>
      </c>
      <c r="V98" s="2" t="n">
        <v>17.4</v>
      </c>
      <c r="W98" s="2" t="n">
        <v>35</v>
      </c>
      <c r="X98" s="2" t="n">
        <v>2</v>
      </c>
      <c r="Y98" s="2" t="n">
        <v>2</v>
      </c>
      <c r="Z98" s="2" t="n">
        <v>0</v>
      </c>
      <c r="AA98" s="2" t="n">
        <v>0</v>
      </c>
      <c r="AB98" s="2" t="n">
        <v>0</v>
      </c>
      <c r="AC98" s="2" t="n">
        <v>0</v>
      </c>
      <c r="AD98" s="2" t="n">
        <v>2</v>
      </c>
      <c r="AE98" s="3">
        <f>AD98*35.0</f>
        <v/>
      </c>
      <c r="AF98" s="2" t="inlineStr">
        <is>
          <t>Skill: Reglas Técnicas</t>
        </is>
      </c>
      <c r="AG98" s="2" t="inlineStr"/>
      <c r="AH98" s="2" t="inlineStr">
        <is>
          <t>Quilmes Peatonal</t>
        </is>
      </c>
    </row>
    <row r="99">
      <c r="A99" s="2" t="n">
        <v>109336</v>
      </c>
      <c r="B99" s="2" t="inlineStr">
        <is>
          <t>Equipo salta el disyuntor o térmica</t>
        </is>
      </c>
      <c r="C99" s="2" t="inlineStr">
        <is>
          <t>-</t>
        </is>
      </c>
      <c r="D99" s="2" t="inlineStr">
        <is>
          <t>Buenas, tenemos luces quemadas en varios sectores del local</t>
        </is>
      </c>
      <c r="E99" s="2" t="inlineStr">
        <is>
          <t>Urgente</t>
        </is>
      </c>
      <c r="F99" s="2" t="inlineStr"/>
      <c r="G99" s="2" t="inlineStr"/>
      <c r="H99" s="2" t="inlineStr"/>
      <c r="I99" s="2" t="inlineStr">
        <is>
          <t>FMQCA</t>
        </is>
      </c>
      <c r="J99" s="2" t="inlineStr">
        <is>
          <t>Quilmes Peatonal</t>
        </is>
      </c>
      <c r="K99" s="2" t="inlineStr"/>
      <c r="L99" s="2" t="inlineStr">
        <is>
          <t>Resuelto</t>
        </is>
      </c>
      <c r="M99" s="2" t="inlineStr">
        <is>
          <t>2026-02-26 18:37:26</t>
        </is>
      </c>
      <c r="N99" s="2" t="inlineStr">
        <is>
          <t>Bruno Leyes</t>
        </is>
      </c>
      <c r="O99" s="2" t="inlineStr">
        <is>
          <t>2026-02-26 18:37:26</t>
        </is>
      </c>
      <c r="P99" s="2" t="inlineStr">
        <is>
          <t>Tkt abierto en categoría baja</t>
        </is>
      </c>
      <c r="Q99" s="2" t="inlineStr">
        <is>
          <t>EQUIPOS;CAFETERAS CIMBALI</t>
        </is>
      </c>
      <c r="R99" s="2" t="inlineStr">
        <is>
          <t>2026-01-23 19:56:46</t>
        </is>
      </c>
      <c r="S99" s="2" t="n">
        <v>10</v>
      </c>
      <c r="T99" s="2" t="inlineStr"/>
      <c r="U99" s="2" t="inlineStr">
        <is>
          <t>Zona 1 — CABA / GBA Cercano (≤30 km)</t>
        </is>
      </c>
      <c r="V99" s="2" t="n">
        <v>17.4</v>
      </c>
      <c r="W99" s="2" t="n">
        <v>35</v>
      </c>
      <c r="X99" s="2" t="n">
        <v>2</v>
      </c>
      <c r="Y99" s="2" t="n">
        <v>2</v>
      </c>
      <c r="Z99" s="2" t="n">
        <v>0</v>
      </c>
      <c r="AA99" s="2" t="n">
        <v>0</v>
      </c>
      <c r="AB99" s="2" t="n">
        <v>0</v>
      </c>
      <c r="AC99" s="2" t="n">
        <v>0</v>
      </c>
      <c r="AD99" s="2" t="n">
        <v>2</v>
      </c>
      <c r="AE99" s="3">
        <f>AD99*35.0</f>
        <v/>
      </c>
      <c r="AF99" s="2" t="inlineStr">
        <is>
          <t>Skill: Reglas Técnicas</t>
        </is>
      </c>
      <c r="AG99" s="2" t="inlineStr"/>
      <c r="AH99" s="2" t="inlineStr">
        <is>
          <t>Quilmes Peatonal</t>
        </is>
      </c>
    </row>
    <row r="100">
      <c r="A100" s="2" t="n">
        <v>113136</v>
      </c>
      <c r="B100" s="2" t="inlineStr">
        <is>
          <t>Otros trabajos, detallar en comentarios</t>
        </is>
      </c>
      <c r="C100" s="2" t="inlineStr">
        <is>
          <t>-</t>
        </is>
      </c>
      <c r="D100" s="2" t="inlineStr">
        <is>
          <t>Cableado de hielera pelado y hace corto</t>
        </is>
      </c>
      <c r="E100" s="2" t="inlineStr">
        <is>
          <t>Baja</t>
        </is>
      </c>
      <c r="F100" s="2" t="inlineStr"/>
      <c r="G100" s="2" t="inlineStr"/>
      <c r="H100" s="2" t="inlineStr"/>
      <c r="I100" s="2" t="inlineStr">
        <is>
          <t>FMQCA</t>
        </is>
      </c>
      <c r="J100" s="2" t="inlineStr">
        <is>
          <t>Quilmes Peatonal</t>
        </is>
      </c>
      <c r="K100" s="2" t="inlineStr"/>
      <c r="L100" s="2" t="inlineStr">
        <is>
          <t>Resuelto</t>
        </is>
      </c>
      <c r="M100" s="2" t="inlineStr">
        <is>
          <t>2026-02-26 18:38:39</t>
        </is>
      </c>
      <c r="N100" s="2" t="inlineStr">
        <is>
          <t>Bruno Leyes</t>
        </is>
      </c>
      <c r="O100" s="2" t="inlineStr">
        <is>
          <t>2026-02-26 18:38:39</t>
        </is>
      </c>
      <c r="P100" s="2" t="inlineStr">
        <is>
          <t>Se arreglo cableado haciendo masa con la chapa del frezzer</t>
        </is>
      </c>
      <c r="Q100" s="2" t="inlineStr">
        <is>
          <t>;OTROS</t>
        </is>
      </c>
      <c r="R100" s="2" t="inlineStr">
        <is>
          <t>2026-02-26 18:36:37</t>
        </is>
      </c>
      <c r="S100" s="2" t="inlineStr"/>
      <c r="T100" s="2" t="inlineStr"/>
      <c r="U100" s="2" t="inlineStr">
        <is>
          <t>Zona 1 — CABA / GBA Cercano (≤30 km)</t>
        </is>
      </c>
      <c r="V100" s="2" t="n">
        <v>17.4</v>
      </c>
      <c r="W100" s="2" t="n">
        <v>35</v>
      </c>
      <c r="X100" s="2" t="n">
        <v>2</v>
      </c>
      <c r="Y100" s="2" t="n">
        <v>2</v>
      </c>
      <c r="Z100" s="2" t="n">
        <v>0</v>
      </c>
      <c r="AA100" s="2" t="n">
        <v>0</v>
      </c>
      <c r="AB100" s="2" t="n">
        <v>0</v>
      </c>
      <c r="AC100" s="2" t="n">
        <v>0</v>
      </c>
      <c r="AD100" s="2" t="n">
        <v>2</v>
      </c>
      <c r="AE100" s="3">
        <f>AD100*35.0</f>
        <v/>
      </c>
      <c r="AF100" s="2" t="inlineStr">
        <is>
          <t>Skill: Reglas Técnicas</t>
        </is>
      </c>
      <c r="AG100" s="2" t="inlineStr"/>
      <c r="AH100" s="2" t="inlineStr">
        <is>
          <t>Quilmes Peatonal</t>
        </is>
      </c>
    </row>
    <row r="101">
      <c r="A101" s="2" t="n">
        <v>113008</v>
      </c>
      <c r="B101" s="2" t="inlineStr">
        <is>
          <t>Otros trabajos, detallar en comentarios</t>
        </is>
      </c>
      <c r="C101" s="2" t="inlineStr">
        <is>
          <t>-</t>
        </is>
      </c>
      <c r="D101" s="2" t="inlineStr">
        <is>
          <t>Verificar clabeado interno del totem, ya que hace corto y se apaga.</t>
        </is>
      </c>
      <c r="E101" s="2" t="inlineStr">
        <is>
          <t>Baja</t>
        </is>
      </c>
      <c r="F101" s="2" t="inlineStr"/>
      <c r="G101" s="2" t="inlineStr"/>
      <c r="H101" s="2" t="inlineStr"/>
      <c r="I101" s="2" t="inlineStr">
        <is>
          <t>FMQCA</t>
        </is>
      </c>
      <c r="J101" s="2" t="inlineStr">
        <is>
          <t>Quilmes Peatonal</t>
        </is>
      </c>
      <c r="K101" s="2" t="inlineStr"/>
      <c r="L101" s="2" t="inlineStr">
        <is>
          <t>Resuelto</t>
        </is>
      </c>
      <c r="M101" s="2" t="inlineStr">
        <is>
          <t>2026-02-26 18:39:39</t>
        </is>
      </c>
      <c r="N101" s="2" t="inlineStr">
        <is>
          <t>Bruno Leyes</t>
        </is>
      </c>
      <c r="O101" s="2" t="inlineStr">
        <is>
          <t>2026-02-26 18:39:39</t>
        </is>
      </c>
      <c r="P101" s="2" t="inlineStr">
        <is>
          <t>El cableado está bien, la ficha de entrada de la fuente cpu esta falseado. Se verifico cambiando el cable hdmi por uno nuevo y la falla persiste</t>
        </is>
      </c>
      <c r="Q101" s="2" t="inlineStr">
        <is>
          <t>;OTROS</t>
        </is>
      </c>
      <c r="R101" s="2" t="inlineStr">
        <is>
          <t>2026-02-25 17:09:29</t>
        </is>
      </c>
      <c r="S101" s="2" t="n">
        <v>4</v>
      </c>
      <c r="T101" s="2" t="inlineStr"/>
      <c r="U101" s="2" t="inlineStr">
        <is>
          <t>Zona 1 — CABA / GBA Cercano (≤30 km)</t>
        </is>
      </c>
      <c r="V101" s="2" t="n">
        <v>17.4</v>
      </c>
      <c r="W101" s="2" t="n">
        <v>35</v>
      </c>
      <c r="X101" s="2" t="n">
        <v>2</v>
      </c>
      <c r="Y101" s="2" t="n">
        <v>2</v>
      </c>
      <c r="Z101" s="2" t="n">
        <v>0</v>
      </c>
      <c r="AA101" s="2" t="n">
        <v>0</v>
      </c>
      <c r="AB101" s="2" t="n">
        <v>0</v>
      </c>
      <c r="AC101" s="2" t="n">
        <v>0</v>
      </c>
      <c r="AD101" s="2" t="n">
        <v>2</v>
      </c>
      <c r="AE101" s="3">
        <f>AD101*35.0</f>
        <v/>
      </c>
      <c r="AF101" s="2" t="inlineStr">
        <is>
          <t>Skill: Reglas Técnicas</t>
        </is>
      </c>
      <c r="AG101" s="2" t="inlineStr"/>
      <c r="AH101" s="2" t="inlineStr">
        <is>
          <t>Quilmes Peatonal</t>
        </is>
      </c>
    </row>
    <row r="102">
      <c r="A102" s="2" t="n">
        <v>113009</v>
      </c>
      <c r="B102" s="2" t="inlineStr">
        <is>
          <t>Otros trabajos, detallar en comentarios</t>
        </is>
      </c>
      <c r="C102" s="2" t="inlineStr">
        <is>
          <t>-</t>
        </is>
      </c>
      <c r="D102" s="2" t="inlineStr">
        <is>
          <t>Colocar azulejos y zócalos caídos de todo el local.</t>
        </is>
      </c>
      <c r="E102" s="2" t="inlineStr">
        <is>
          <t>Baja</t>
        </is>
      </c>
      <c r="F102" s="2" t="inlineStr"/>
      <c r="G102" s="2" t="inlineStr"/>
      <c r="H102" s="2" t="inlineStr"/>
      <c r="I102" s="2" t="inlineStr">
        <is>
          <t>FMQCA</t>
        </is>
      </c>
      <c r="J102" s="2" t="inlineStr">
        <is>
          <t>Quilmes Peatonal</t>
        </is>
      </c>
      <c r="K102" s="2" t="inlineStr"/>
      <c r="L102" s="2" t="inlineStr">
        <is>
          <t>Resuelto</t>
        </is>
      </c>
      <c r="M102" s="2" t="inlineStr">
        <is>
          <t>2026-02-26 18:40:59</t>
        </is>
      </c>
      <c r="N102" s="2" t="inlineStr">
        <is>
          <t>Bruno Leyes</t>
        </is>
      </c>
      <c r="O102" s="2" t="inlineStr">
        <is>
          <t>2026-02-26 18:40:59</t>
        </is>
      </c>
      <c r="P102" s="2" t="inlineStr">
        <is>
          <t>Se cambiaron azulejos en la entrada de los baños. Los demás se encarga facility</t>
        </is>
      </c>
      <c r="Q102" s="2" t="inlineStr">
        <is>
          <t>;OTROS</t>
        </is>
      </c>
      <c r="R102" s="2" t="inlineStr">
        <is>
          <t>2026-02-25 17:09:52</t>
        </is>
      </c>
      <c r="S102" s="2" t="n">
        <v>4</v>
      </c>
      <c r="T102" s="2" t="inlineStr"/>
      <c r="U102" s="2" t="inlineStr">
        <is>
          <t>Zona 1 — CABA / GBA Cercano (≤30 km)</t>
        </is>
      </c>
      <c r="V102" s="2" t="n">
        <v>17.4</v>
      </c>
      <c r="W102" s="2" t="n">
        <v>35</v>
      </c>
      <c r="X102" s="2" t="n">
        <v>2</v>
      </c>
      <c r="Y102" s="2" t="n">
        <v>2</v>
      </c>
      <c r="Z102" s="2" t="n">
        <v>0</v>
      </c>
      <c r="AA102" s="2" t="n">
        <v>0</v>
      </c>
      <c r="AB102" s="2" t="n">
        <v>0</v>
      </c>
      <c r="AC102" s="2" t="n">
        <v>0</v>
      </c>
      <c r="AD102" s="2" t="n">
        <v>2</v>
      </c>
      <c r="AE102" s="3">
        <f>AD102*35.0</f>
        <v/>
      </c>
      <c r="AF102" s="2" t="inlineStr">
        <is>
          <t>Skill: Reglas Técnicas</t>
        </is>
      </c>
      <c r="AG102" s="2" t="inlineStr"/>
      <c r="AH102" s="2" t="inlineStr">
        <is>
          <t>Quilmes Peatonal</t>
        </is>
      </c>
    </row>
    <row r="103">
      <c r="A103" s="2" t="n">
        <v>113012</v>
      </c>
      <c r="B103" s="2" t="inlineStr">
        <is>
          <t>Otros trabajos, detallar en comentarios</t>
        </is>
      </c>
      <c r="C103" s="2" t="inlineStr">
        <is>
          <t>-</t>
        </is>
      </c>
      <c r="D103" s="2" t="inlineStr">
        <is>
          <t>Reparar techo de Durlock de baño de hombres.</t>
        </is>
      </c>
      <c r="E103" s="2" t="inlineStr">
        <is>
          <t>Baja</t>
        </is>
      </c>
      <c r="F103" s="2" t="inlineStr"/>
      <c r="G103" s="2" t="inlineStr"/>
      <c r="H103" s="2" t="inlineStr"/>
      <c r="I103" s="2" t="inlineStr">
        <is>
          <t>FMQCA</t>
        </is>
      </c>
      <c r="J103" s="2" t="inlineStr">
        <is>
          <t>Quilmes Peatonal</t>
        </is>
      </c>
      <c r="K103" s="2" t="inlineStr"/>
      <c r="L103" s="2" t="inlineStr">
        <is>
          <t>Resuelto</t>
        </is>
      </c>
      <c r="M103" s="2" t="inlineStr">
        <is>
          <t>2026-02-26 18:41:15</t>
        </is>
      </c>
      <c r="N103" s="2" t="inlineStr">
        <is>
          <t>Bruno Leyes</t>
        </is>
      </c>
      <c r="O103" s="2" t="inlineStr">
        <is>
          <t>2026-02-26 18:41:15</t>
        </is>
      </c>
      <c r="P103" s="2" t="inlineStr">
        <is>
          <t>Trabajo realizado por facility</t>
        </is>
      </c>
      <c r="Q103" s="2" t="inlineStr">
        <is>
          <t>;OTROS</t>
        </is>
      </c>
      <c r="R103" s="2" t="inlineStr">
        <is>
          <t>2026-02-25 17:28:00</t>
        </is>
      </c>
      <c r="S103" s="2" t="n">
        <v>4</v>
      </c>
      <c r="T103" s="2" t="inlineStr"/>
      <c r="U103" s="2" t="inlineStr">
        <is>
          <t>Zona 1 — CABA / GBA Cercano (≤30 km)</t>
        </is>
      </c>
      <c r="V103" s="2" t="n">
        <v>17.4</v>
      </c>
      <c r="W103" s="2" t="n">
        <v>35</v>
      </c>
      <c r="X103" s="2" t="n">
        <v>2</v>
      </c>
      <c r="Y103" s="2" t="n">
        <v>2</v>
      </c>
      <c r="Z103" s="2" t="n">
        <v>0</v>
      </c>
      <c r="AA103" s="2" t="n">
        <v>0</v>
      </c>
      <c r="AB103" s="2" t="n">
        <v>0</v>
      </c>
      <c r="AC103" s="2" t="n">
        <v>0</v>
      </c>
      <c r="AD103" s="2" t="n">
        <v>2</v>
      </c>
      <c r="AE103" s="3">
        <f>AD103*35.0</f>
        <v/>
      </c>
      <c r="AF103" s="2" t="inlineStr">
        <is>
          <t>Skill: Reglas Técnicas</t>
        </is>
      </c>
      <c r="AG103" s="2" t="inlineStr"/>
      <c r="AH103" s="2" t="inlineStr">
        <is>
          <t>Quilmes Peatonal</t>
        </is>
      </c>
    </row>
    <row r="104">
      <c r="A104" s="2" t="n">
        <v>113007</v>
      </c>
      <c r="B104" s="2" t="inlineStr">
        <is>
          <t>Otros trabajos, detallar en comentarios</t>
        </is>
      </c>
      <c r="C104" s="2" t="inlineStr">
        <is>
          <t>-</t>
        </is>
      </c>
      <c r="D104" s="2" t="inlineStr">
        <is>
          <t>Colocar luces faltantes en lobby y baños.</t>
        </is>
      </c>
      <c r="E104" s="2" t="inlineStr">
        <is>
          <t>Baja</t>
        </is>
      </c>
      <c r="F104" s="2" t="inlineStr"/>
      <c r="G104" s="2" t="inlineStr"/>
      <c r="H104" s="2" t="inlineStr"/>
      <c r="I104" s="2" t="inlineStr">
        <is>
          <t>FMQCA</t>
        </is>
      </c>
      <c r="J104" s="2" t="inlineStr">
        <is>
          <t>Quilmes Peatonal</t>
        </is>
      </c>
      <c r="K104" s="2" t="inlineStr"/>
      <c r="L104" s="2" t="inlineStr">
        <is>
          <t>Resuelto</t>
        </is>
      </c>
      <c r="M104" s="2" t="inlineStr">
        <is>
          <t>2026-02-27 14:46:37</t>
        </is>
      </c>
      <c r="N104" s="2" t="inlineStr">
        <is>
          <t>Bruno Leyes</t>
        </is>
      </c>
      <c r="O104" s="2" t="inlineStr">
        <is>
          <t>2026-02-27 14:46:37</t>
        </is>
      </c>
      <c r="P104" s="2" t="inlineStr">
        <is>
          <t>Se cambiaron luces de baños, lobby superior e inferior</t>
        </is>
      </c>
      <c r="Q104" s="2" t="inlineStr">
        <is>
          <t>;OTROS</t>
        </is>
      </c>
      <c r="R104" s="2" t="inlineStr">
        <is>
          <t>2026-02-25 17:08:52</t>
        </is>
      </c>
      <c r="S104" s="2" t="n">
        <v>7</v>
      </c>
      <c r="T104" s="2" t="inlineStr"/>
      <c r="U104" s="2" t="inlineStr">
        <is>
          <t>Zona 1 — CABA / GBA Cercano (≤30 km)</t>
        </is>
      </c>
      <c r="V104" s="2" t="n">
        <v>17.4</v>
      </c>
      <c r="W104" s="2" t="n">
        <v>35</v>
      </c>
      <c r="X104" s="2" t="n">
        <v>2</v>
      </c>
      <c r="Y104" s="2" t="n">
        <v>2</v>
      </c>
      <c r="Z104" s="2" t="n">
        <v>0</v>
      </c>
      <c r="AA104" s="2" t="n">
        <v>0</v>
      </c>
      <c r="AB104" s="2" t="n">
        <v>0</v>
      </c>
      <c r="AC104" s="2" t="n">
        <v>0</v>
      </c>
      <c r="AD104" s="2" t="n">
        <v>2</v>
      </c>
      <c r="AE104" s="3">
        <f>AD104*35.0</f>
        <v/>
      </c>
      <c r="AF104" s="2" t="inlineStr">
        <is>
          <t>Skill: Reglas Técnicas</t>
        </is>
      </c>
      <c r="AG104" s="2" t="inlineStr"/>
      <c r="AH104" s="2" t="inlineStr">
        <is>
          <t>Quilmes Peatonal</t>
        </is>
      </c>
    </row>
    <row r="105">
      <c r="A105" s="2" t="n">
        <v>109685</v>
      </c>
      <c r="B105" s="2" t="inlineStr">
        <is>
          <t>Otras fallas, indicar número de falla</t>
        </is>
      </c>
      <c r="C105" s="2" t="inlineStr">
        <is>
          <t>-</t>
        </is>
      </c>
      <c r="D105" s="2" t="inlineStr">
        <is>
          <t>Llego la bomba nueva, precisamos colocarla</t>
        </is>
      </c>
      <c r="E105" s="2" t="inlineStr">
        <is>
          <t>Baja</t>
        </is>
      </c>
      <c r="F105" s="2" t="inlineStr"/>
      <c r="G105" s="2" t="inlineStr"/>
      <c r="H105" s="2" t="inlineStr"/>
      <c r="I105" s="2" t="inlineStr">
        <is>
          <t>FMROS</t>
        </is>
      </c>
      <c r="J105" s="2" t="inlineStr">
        <is>
          <t>Rosario Pellegrini</t>
        </is>
      </c>
      <c r="K105" s="2" t="inlineStr"/>
      <c r="L105" s="2" t="inlineStr">
        <is>
          <t>Cerrado</t>
        </is>
      </c>
      <c r="M105" s="2" t="inlineStr">
        <is>
          <t>2026-02-07 01:00:05</t>
        </is>
      </c>
      <c r="N105" s="2" t="inlineStr">
        <is>
          <t>Nahuel Loubiere</t>
        </is>
      </c>
      <c r="O105" s="2" t="inlineStr">
        <is>
          <t>2026-02-02 16:26:29</t>
        </is>
      </c>
      <c r="P105" s="2" t="inlineStr">
        <is>
          <t>Estimados,
Se reemplaza bomba de leche. Se envia presupuesto a Sabrina por valvula ESM y EM. 
Una vez que cuenten con dichos repuestos, por favor generar el tk para ir a colocar las valvulas.
Saludos.</t>
        </is>
      </c>
      <c r="Q105" s="2" t="inlineStr">
        <is>
          <t>EQUIPOS;CAFETERAS CIMBALI</t>
        </is>
      </c>
      <c r="R105" s="2" t="inlineStr">
        <is>
          <t>2026-01-26 13:33:54</t>
        </is>
      </c>
      <c r="S105" s="2" t="n">
        <v>27</v>
      </c>
      <c r="T105" s="2" t="inlineStr"/>
      <c r="U105" s="2" t="inlineStr">
        <is>
          <t>Zona 3+ — GBA Lejano / Interior (&gt;60 km)</t>
        </is>
      </c>
      <c r="V105" s="2" t="n">
        <v>278.9</v>
      </c>
      <c r="W105" s="2" t="n">
        <v>35</v>
      </c>
      <c r="X105" s="2" t="n">
        <v>4</v>
      </c>
      <c r="Y105" s="2" t="n">
        <v>2</v>
      </c>
      <c r="Z105" s="2" t="n">
        <v>0</v>
      </c>
      <c r="AA105" s="2" t="n">
        <v>0</v>
      </c>
      <c r="AB105" s="2" t="n">
        <v>0</v>
      </c>
      <c r="AC105" s="2" t="n">
        <v>0</v>
      </c>
      <c r="AD105" s="2" t="n">
        <v>4</v>
      </c>
      <c r="AE105" s="3">
        <f>AD105*35.0</f>
        <v/>
      </c>
      <c r="AF105" s="2" t="inlineStr">
        <is>
          <t>Skill: Reglas Técnicas</t>
        </is>
      </c>
      <c r="AG105" s="2" t="inlineStr"/>
      <c r="AH105" s="2" t="inlineStr">
        <is>
          <t>Rosario Pellegrini</t>
        </is>
      </c>
    </row>
    <row r="106">
      <c r="A106" s="2" t="n">
        <v>110083</v>
      </c>
      <c r="B106" s="2" t="inlineStr">
        <is>
          <t>ER 050 - Baja presión de agua</t>
        </is>
      </c>
      <c r="C106" s="2" t="inlineStr">
        <is>
          <t>-</t>
        </is>
      </c>
      <c r="D106" s="2" t="inlineStr">
        <is>
          <t>Se colocan filtros de cafetera solicitados, cafetera bloqueada.</t>
        </is>
      </c>
      <c r="E106" s="2" t="inlineStr">
        <is>
          <t>Normal</t>
        </is>
      </c>
      <c r="F106" s="2" t="inlineStr"/>
      <c r="G106" s="2" t="inlineStr"/>
      <c r="H106" s="2" t="inlineStr"/>
      <c r="I106" s="2" t="inlineStr">
        <is>
          <t>FMPUM</t>
        </is>
      </c>
      <c r="J106" s="2" t="inlineStr">
        <is>
          <t>ROSARIO PUMA</t>
        </is>
      </c>
      <c r="K106" s="2" t="inlineStr"/>
      <c r="L106" s="2" t="inlineStr">
        <is>
          <t>Cerrado</t>
        </is>
      </c>
      <c r="M106" s="2" t="inlineStr">
        <is>
          <t>2026-02-04 19:47:59</t>
        </is>
      </c>
      <c r="N106" s="2" t="inlineStr">
        <is>
          <t>Nahuel Loubiere</t>
        </is>
      </c>
      <c r="O106" s="2" t="inlineStr">
        <is>
          <t>2026-02-03 21:11:00</t>
        </is>
      </c>
      <c r="P106" s="2" t="inlineStr">
        <is>
          <t>Estimados, 
Esto fue resuelto por Francisco
Saludos.</t>
        </is>
      </c>
      <c r="Q106" s="2" t="inlineStr">
        <is>
          <t>EQUIPOS;CAFETERAS CIMBALI</t>
        </is>
      </c>
      <c r="R106" s="2" t="inlineStr">
        <is>
          <t>2026-01-30 08:20:16</t>
        </is>
      </c>
      <c r="S106" s="2" t="n">
        <v>91</v>
      </c>
      <c r="T106" s="2" t="inlineStr"/>
      <c r="U106" s="2" t="inlineStr">
        <is>
          <t>Zona 3+ — GBA Lejano / Interior (&gt;60 km)</t>
        </is>
      </c>
      <c r="V106" s="2" t="n">
        <v>278.9</v>
      </c>
      <c r="W106" s="2" t="n">
        <v>35</v>
      </c>
      <c r="X106" s="2" t="n">
        <v>4</v>
      </c>
      <c r="Y106" s="2" t="n">
        <v>2</v>
      </c>
      <c r="Z106" s="2" t="n">
        <v>0</v>
      </c>
      <c r="AA106" s="2" t="n">
        <v>0</v>
      </c>
      <c r="AB106" s="2" t="n">
        <v>0</v>
      </c>
      <c r="AC106" s="2" t="n">
        <v>0</v>
      </c>
      <c r="AD106" s="2" t="n">
        <v>4</v>
      </c>
      <c r="AE106" s="3">
        <f>AD106*35.0</f>
        <v/>
      </c>
      <c r="AF106" s="2" t="inlineStr">
        <is>
          <t>Skill: Reglas Técnicas</t>
        </is>
      </c>
      <c r="AG106" s="2" t="inlineStr"/>
      <c r="AH106" s="2" t="inlineStr">
        <is>
          <t>ROSARIO PUMA</t>
        </is>
      </c>
    </row>
    <row r="107">
      <c r="A107" s="2" t="n">
        <v>110705</v>
      </c>
      <c r="B107" s="2" t="inlineStr">
        <is>
          <t>Otros trabajos, detallar en comentarios</t>
        </is>
      </c>
      <c r="C107" s="2" t="inlineStr">
        <is>
          <t>-</t>
        </is>
      </c>
      <c r="D107" s="2" t="inlineStr">
        <is>
          <t>Horno Pratica - No tuesta el pan como corresponde, se siente frío el interior del tostado.</t>
        </is>
      </c>
      <c r="E107" s="2" t="inlineStr">
        <is>
          <t>Baja</t>
        </is>
      </c>
      <c r="F107" s="2" t="inlineStr"/>
      <c r="G107" s="2" t="inlineStr"/>
      <c r="H107" s="2" t="inlineStr"/>
      <c r="I107" s="2" t="inlineStr">
        <is>
          <t>FMPUM</t>
        </is>
      </c>
      <c r="J107" s="2" t="inlineStr">
        <is>
          <t>ROSARIO PUMA</t>
        </is>
      </c>
      <c r="K107" s="2" t="inlineStr"/>
      <c r="L107" s="2" t="inlineStr">
        <is>
          <t>Cerrado</t>
        </is>
      </c>
      <c r="M107" s="2" t="inlineStr">
        <is>
          <t>2026-03-02 01:00:05</t>
        </is>
      </c>
      <c r="N107" s="2" t="inlineStr">
        <is>
          <t>Nahuel Loubiere</t>
        </is>
      </c>
      <c r="O107" s="2" t="inlineStr">
        <is>
          <t>2026-02-25 18:35:19</t>
        </is>
      </c>
      <c r="P107" s="2" t="inlineStr">
        <is>
          <t>Estimados,
Esto fue resuelto por Sabrina. Se cargaron las recetas nuevamente
Saludos.</t>
        </is>
      </c>
      <c r="Q107" s="2" t="inlineStr">
        <is>
          <t>;OTROS</t>
        </is>
      </c>
      <c r="R107" s="2" t="inlineStr">
        <is>
          <t>2026-02-04 19:47:39</t>
        </is>
      </c>
      <c r="S107" s="2" t="n">
        <v>81</v>
      </c>
      <c r="T107" s="2" t="inlineStr"/>
      <c r="U107" s="2" t="inlineStr">
        <is>
          <t>Zona 3+ — GBA Lejano / Interior (&gt;60 km)</t>
        </is>
      </c>
      <c r="V107" s="2" t="n">
        <v>278.9</v>
      </c>
      <c r="W107" s="2" t="n">
        <v>35</v>
      </c>
      <c r="X107" s="2" t="n">
        <v>4</v>
      </c>
      <c r="Y107" s="2" t="n">
        <v>2</v>
      </c>
      <c r="Z107" s="2" t="n">
        <v>0</v>
      </c>
      <c r="AA107" s="2" t="n">
        <v>0</v>
      </c>
      <c r="AB107" s="2" t="n">
        <v>0</v>
      </c>
      <c r="AC107" s="2" t="n">
        <v>0</v>
      </c>
      <c r="AD107" s="2" t="n">
        <v>4</v>
      </c>
      <c r="AE107" s="3">
        <f>AD107*35.0</f>
        <v/>
      </c>
      <c r="AF107" s="2" t="inlineStr">
        <is>
          <t>Skill: Reglas Técnicas</t>
        </is>
      </c>
      <c r="AG107" s="2" t="inlineStr"/>
      <c r="AH107" s="2" t="inlineStr">
        <is>
          <t>ROSARIO PUMA</t>
        </is>
      </c>
    </row>
    <row r="108">
      <c r="A108" s="2" t="n">
        <v>111659</v>
      </c>
      <c r="B108" s="2" t="inlineStr">
        <is>
          <t>ER 021  y 022 - Anomalía en movimiento de las muelas</t>
        </is>
      </c>
      <c r="C108" s="2" t="inlineStr">
        <is>
          <t>-</t>
        </is>
      </c>
      <c r="D108" s="2" t="inlineStr">
        <is>
          <t>De ambas tolvas no sale cafe.
No da ningun error</t>
        </is>
      </c>
      <c r="E108" s="2" t="inlineStr">
        <is>
          <t>Urgente</t>
        </is>
      </c>
      <c r="F108" s="2" t="inlineStr"/>
      <c r="G108" s="2" t="inlineStr"/>
      <c r="H108" s="2" t="inlineStr"/>
      <c r="I108" s="2" t="inlineStr">
        <is>
          <t>FRSM</t>
        </is>
      </c>
      <c r="J108" s="2" t="inlineStr">
        <is>
          <t>Rosario Sur</t>
        </is>
      </c>
      <c r="K108" s="2" t="inlineStr"/>
      <c r="L108" s="2" t="inlineStr">
        <is>
          <t>Cerrado</t>
        </is>
      </c>
      <c r="M108" s="2" t="inlineStr">
        <is>
          <t>2026-02-19 01:00:04</t>
        </is>
      </c>
      <c r="N108" s="2" t="inlineStr">
        <is>
          <t>Nahuel Loubiere</t>
        </is>
      </c>
      <c r="O108" s="2" t="inlineStr">
        <is>
          <t>2026-02-14 14:47:14</t>
        </is>
      </c>
      <c r="P108" s="2" t="inlineStr">
        <is>
          <t>Estimados,
Esto fue resuelto por Francisco Rametta
Saludos.</t>
        </is>
      </c>
      <c r="Q108" s="2" t="inlineStr">
        <is>
          <t>EQUIPOS;CAFETERAS CIMBALI</t>
        </is>
      </c>
      <c r="R108" s="2" t="inlineStr">
        <is>
          <t>2026-02-13 09:11:55</t>
        </is>
      </c>
      <c r="S108" s="2" t="n">
        <v>234</v>
      </c>
      <c r="T108" s="2" t="n">
        <v>134</v>
      </c>
      <c r="U108" s="2" t="inlineStr">
        <is>
          <t>Zona 3+ — GBA Lejano / Interior (&gt;60 km)</t>
        </is>
      </c>
      <c r="V108" s="2" t="n">
        <v>278.9</v>
      </c>
      <c r="W108" s="2" t="n">
        <v>35</v>
      </c>
      <c r="X108" s="2" t="n">
        <v>4</v>
      </c>
      <c r="Y108" s="2" t="n">
        <v>2</v>
      </c>
      <c r="Z108" s="2" t="n">
        <v>0</v>
      </c>
      <c r="AA108" s="2" t="n">
        <v>0</v>
      </c>
      <c r="AB108" s="2" t="n">
        <v>0</v>
      </c>
      <c r="AC108" s="2" t="n">
        <v>0</v>
      </c>
      <c r="AD108" s="2" t="n">
        <v>4</v>
      </c>
      <c r="AE108" s="3">
        <f>AD108*35.0</f>
        <v/>
      </c>
      <c r="AF108" s="2" t="inlineStr">
        <is>
          <t>Skill: Reglas Técnicas</t>
        </is>
      </c>
      <c r="AG108" s="2" t="inlineStr"/>
      <c r="AH108" s="2" t="inlineStr">
        <is>
          <t>Rosario Sur</t>
        </is>
      </c>
    </row>
    <row r="109">
      <c r="A109" s="2" t="n">
        <v>110400</v>
      </c>
      <c r="B109" s="2" t="inlineStr">
        <is>
          <t>ER 056 - Falla en sensor de temperatura</t>
        </is>
      </c>
      <c r="C109" s="2" t="inlineStr">
        <is>
          <t>-</t>
        </is>
      </c>
      <c r="D109" s="2" t="inlineStr">
        <is>
          <t>Buenas tardes, quería solicitar una revisión a la cafetera debido a que estos días tuvimos problemas con la misma, la falla que tiene es que al momento de realizar al rededor de 2/4 cafés a la vez se enfría el equipo , debemos esperar que vuelva a levantar temperatura para seguir realizando los mismo, a su vez notamos que los cafés están saliendo aguados y sin espuma, aguardo respuesta y desde ya muchas gracias.</t>
        </is>
      </c>
      <c r="E109" s="2" t="inlineStr">
        <is>
          <t>Normal</t>
        </is>
      </c>
      <c r="F109" s="2" t="inlineStr"/>
      <c r="G109" s="2" t="inlineStr"/>
      <c r="H109" s="2" t="inlineStr"/>
      <c r="I109" s="2" t="inlineStr">
        <is>
          <t>FROG</t>
        </is>
      </c>
      <c r="J109" s="2" t="inlineStr">
        <is>
          <t>Rotonda Gutierrez</t>
        </is>
      </c>
      <c r="K109" s="2" t="inlineStr"/>
      <c r="L109" s="2" t="inlineStr">
        <is>
          <t>Cerrado</t>
        </is>
      </c>
      <c r="M109" s="2" t="inlineStr">
        <is>
          <t>2026-02-09 01:00:05</t>
        </is>
      </c>
      <c r="N109" s="2" t="inlineStr">
        <is>
          <t>Nahuel Loubiere</t>
        </is>
      </c>
      <c r="O109" s="2" t="inlineStr">
        <is>
          <t>2026-02-04 21:36:01</t>
        </is>
      </c>
      <c r="P109" s="2" t="inlineStr">
        <is>
          <t>Estimados,
Esto fue resuelto por Nicolas Franco
Saludos.</t>
        </is>
      </c>
      <c r="Q109" s="2" t="inlineStr">
        <is>
          <t>EQUIPOS;CAFETERAS CIMBALI</t>
        </is>
      </c>
      <c r="R109" s="2" t="inlineStr">
        <is>
          <t>2026-02-02 13:26:41</t>
        </is>
      </c>
      <c r="S109" s="2" t="n">
        <v>47</v>
      </c>
      <c r="T109" s="2" t="inlineStr"/>
      <c r="U109" s="2" t="inlineStr">
        <is>
          <t>Zona 2 — GBA Medio (30-60 km)</t>
        </is>
      </c>
      <c r="V109" s="2" t="n">
        <v>52.8</v>
      </c>
      <c r="W109" s="2" t="n">
        <v>35</v>
      </c>
      <c r="X109" s="2" t="n">
        <v>3</v>
      </c>
      <c r="Y109" s="2" t="n">
        <v>2</v>
      </c>
      <c r="Z109" s="2" t="n">
        <v>2</v>
      </c>
      <c r="AA109" s="2" t="n">
        <v>0</v>
      </c>
      <c r="AB109" s="2" t="n">
        <v>1</v>
      </c>
      <c r="AC109" s="2" t="n">
        <v>0</v>
      </c>
      <c r="AD109" s="2" t="n">
        <v>3</v>
      </c>
      <c r="AE109" s="3">
        <f>AD109*35.0</f>
        <v/>
      </c>
      <c r="AF109" s="2" t="inlineStr">
        <is>
          <t>Skill: Base Técnicos | Skill: Chat | Skill: Reglas Técnicas</t>
        </is>
      </c>
      <c r="AG109" s="2" t="inlineStr"/>
      <c r="AH109" s="2" t="inlineStr">
        <is>
          <t>Rotonda Gutierrez</t>
        </is>
      </c>
    </row>
    <row r="110">
      <c r="A110" s="2" t="n">
        <v>110633</v>
      </c>
      <c r="B110" s="2" t="inlineStr">
        <is>
          <t>ER 008 - Timeout manipulación grupo, falla en bloque mecanico</t>
        </is>
      </c>
      <c r="C110" s="2" t="inlineStr">
        <is>
          <t>-</t>
        </is>
      </c>
      <c r="D110" s="2" t="inlineStr">
        <is>
          <t>Estimados buen día, tenemos una falla en la maquina cada vez que hacemos un cafe de cualquier tipo toda la leche se deborda ya me fije donde se encuentra colocada las mangueras y estan ok! La cañería no esta tapada tampoco. 
Es un problema de la maquina no me deja adjuntarle videos</t>
        </is>
      </c>
      <c r="E110" s="2" t="inlineStr">
        <is>
          <t>Urgente</t>
        </is>
      </c>
      <c r="F110" s="2" t="inlineStr">
        <is>
          <t>Hola, se fijaron la manguera de Desagote de la leche? Atrás de la heladera bajo mesada.</t>
        </is>
      </c>
      <c r="G110" s="2" t="inlineStr">
        <is>
          <t>Lucas Ale</t>
        </is>
      </c>
      <c r="H110" s="2" t="inlineStr">
        <is>
          <t>2026-02-04 15:33:15</t>
        </is>
      </c>
      <c r="I110" s="2" t="inlineStr">
        <is>
          <t>FSAF</t>
        </is>
      </c>
      <c r="J110" s="2" t="inlineStr">
        <is>
          <t>San Fernando</t>
        </is>
      </c>
      <c r="K110" s="2" t="inlineStr"/>
      <c r="L110" s="2" t="inlineStr">
        <is>
          <t>Cerrado</t>
        </is>
      </c>
      <c r="M110" s="2" t="inlineStr">
        <is>
          <t>2026-02-10 01:00:06</t>
        </is>
      </c>
      <c r="N110" s="2" t="inlineStr">
        <is>
          <t>Bruno Leyes</t>
        </is>
      </c>
      <c r="O110" s="2" t="inlineStr">
        <is>
          <t>2026-02-05 12:57:29</t>
        </is>
      </c>
      <c r="P110" s="2" t="inlineStr">
        <is>
          <t>Tiempo de servicio: 1;40hrs
La cafetera tenía problemas con la espuma de leche y la salida de la misma ya que a la hora de sacar algún café con leche solamente salía vapor. Se le limpio el chicler el cual estaba tapado con leche condensada, se le reguló el tiempo de activación el cual estaba en 10s, se dejó en 3s lo que debería disminuir el desprecio de leche y también se le reguló la dosis que estaba en 20s, se dejó en 15s. Se le coloco el filtro y se realizo lavado para dejar operando correctamente.
Repuestos a solicitar:
•elf3
•racor 1/4
•racor p. De goma empalme rapido 4mm
•cajon de pozos</t>
        </is>
      </c>
      <c r="Q110" s="2" t="inlineStr">
        <is>
          <t>EQUIPOS;CAFETERAS CIMBALI</t>
        </is>
      </c>
      <c r="R110" s="2" t="inlineStr">
        <is>
          <t>2026-02-04 10:23:59</t>
        </is>
      </c>
      <c r="S110" s="2" t="n">
        <v>209</v>
      </c>
      <c r="T110" s="2" t="n">
        <v>109</v>
      </c>
      <c r="U110" s="2" t="inlineStr">
        <is>
          <t>Zona 1 — CABA / GBA Cercano (≤30 km)</t>
        </is>
      </c>
      <c r="V110" s="2" t="n">
        <v>24.5</v>
      </c>
      <c r="W110" s="2" t="n">
        <v>35</v>
      </c>
      <c r="X110" s="2" t="n">
        <v>2</v>
      </c>
      <c r="Y110" s="2" t="n">
        <v>1</v>
      </c>
      <c r="Z110" s="2" t="n">
        <v>0</v>
      </c>
      <c r="AA110" s="2" t="n">
        <v>0</v>
      </c>
      <c r="AB110" s="2" t="n">
        <v>2</v>
      </c>
      <c r="AC110" s="2" t="n">
        <v>1</v>
      </c>
      <c r="AD110" s="2" t="n">
        <v>2</v>
      </c>
      <c r="AE110" s="3">
        <f>AD110*35.0</f>
        <v/>
      </c>
      <c r="AF110" s="2" t="inlineStr">
        <is>
          <t>Skill: Base Técnicos | Skill: Resolución | Skill: Reglas Técnicas</t>
        </is>
      </c>
      <c r="AG110" s="2" t="inlineStr"/>
      <c r="AH110" s="2" t="inlineStr">
        <is>
          <t>San Fernando</t>
        </is>
      </c>
    </row>
    <row r="111">
      <c r="A111" s="2" t="n">
        <v>112536</v>
      </c>
      <c r="B111" s="2" t="inlineStr">
        <is>
          <t>Equipo salta el disyuntor o térmica</t>
        </is>
      </c>
      <c r="C111" s="2" t="inlineStr">
        <is>
          <t>-</t>
        </is>
      </c>
      <c r="D111" s="2" t="inlineStr">
        <is>
          <t>Se escuchan ruidos de explosiones, se apaga la cimballi y luego prende pero tarda demasiado en tomar temperatura.</t>
        </is>
      </c>
      <c r="E111" s="2" t="inlineStr">
        <is>
          <t>Urgente</t>
        </is>
      </c>
      <c r="F111" s="2" t="inlineStr"/>
      <c r="G111" s="2" t="inlineStr"/>
      <c r="H111" s="2" t="inlineStr"/>
      <c r="I111" s="2" t="inlineStr">
        <is>
          <t>FSAF</t>
        </is>
      </c>
      <c r="J111" s="2" t="inlineStr">
        <is>
          <t>San Fernando</t>
        </is>
      </c>
      <c r="K111" s="2" t="inlineStr"/>
      <c r="L111" s="2" t="inlineStr">
        <is>
          <t>Cerrado</t>
        </is>
      </c>
      <c r="M111" s="2" t="inlineStr">
        <is>
          <t>2026-02-26 01:00:07</t>
        </is>
      </c>
      <c r="N111" s="2" t="inlineStr">
        <is>
          <t>Lucas Ale</t>
        </is>
      </c>
      <c r="O111" s="2" t="inlineStr">
        <is>
          <t>2026-02-21 14:29:32</t>
        </is>
      </c>
      <c r="P111" s="2" t="inlineStr">
        <is>
          <t>Cafetera San Fernando 
Ticket número:112536
Serie número:1851676
Hora de servicio: 30m
Se encontró empalme del protector térmico quemado eso hacía que salte diyuntor o que haga falso contacto y el equipo no levante del todo la temperatura.
Se recomienda cambiar el protector térmico superior de caldera grande.
Se calibró leche y espuma.
Repuestos: protector térmico.
Cafetera operando.</t>
        </is>
      </c>
      <c r="Q111" s="2" t="inlineStr">
        <is>
          <t>EQUIPOS;CAFETERAS CIMBALI</t>
        </is>
      </c>
      <c r="R111" s="2" t="inlineStr">
        <is>
          <t>2026-02-21 10:35:20</t>
        </is>
      </c>
      <c r="S111" s="2" t="n">
        <v>40</v>
      </c>
      <c r="T111" s="2" t="inlineStr"/>
      <c r="U111" s="2" t="inlineStr">
        <is>
          <t>Zona 1 — CABA / GBA Cercano (≤30 km)</t>
        </is>
      </c>
      <c r="V111" s="2" t="n">
        <v>24.5</v>
      </c>
      <c r="W111" s="2" t="n">
        <v>35</v>
      </c>
      <c r="X111" s="2" t="n">
        <v>2</v>
      </c>
      <c r="Y111" s="2" t="n">
        <v>2</v>
      </c>
      <c r="Z111" s="2" t="n">
        <v>0</v>
      </c>
      <c r="AA111" s="2" t="n">
        <v>0</v>
      </c>
      <c r="AB111" s="2" t="n">
        <v>0</v>
      </c>
      <c r="AC111" s="2" t="n">
        <v>0</v>
      </c>
      <c r="AD111" s="2" t="n">
        <v>2</v>
      </c>
      <c r="AE111" s="3">
        <f>AD111*35.0</f>
        <v/>
      </c>
      <c r="AF111" s="2" t="inlineStr">
        <is>
          <t>Skill: Reglas Técnicas</t>
        </is>
      </c>
      <c r="AG111" s="2" t="inlineStr"/>
      <c r="AH111" s="2" t="inlineStr">
        <is>
          <t>San Fernando</t>
        </is>
      </c>
    </row>
    <row r="112">
      <c r="A112" s="2" t="n">
        <v>112948</v>
      </c>
      <c r="B112" s="2" t="inlineStr">
        <is>
          <t>ER 037 y 038 - Falla en sensor, revisar según error</t>
        </is>
      </c>
      <c r="C112" s="2" t="inlineStr">
        <is>
          <t>-</t>
        </is>
      </c>
      <c r="D112" s="2" t="inlineStr">
        <is>
          <t>Buen día! Cafe aguado y sin espuma.
Se deja de vender ya que tenemos quejas de clientes por mal sabor.</t>
        </is>
      </c>
      <c r="E112" s="2" t="inlineStr">
        <is>
          <t>Urgente</t>
        </is>
      </c>
      <c r="F112" s="2" t="inlineStr">
        <is>
          <t>Fotos</t>
        </is>
      </c>
      <c r="G112" s="2" t="inlineStr">
        <is>
          <t>Lucas Ale</t>
        </is>
      </c>
      <c r="H112" s="2" t="inlineStr">
        <is>
          <t>2026-02-25 14:07:35</t>
        </is>
      </c>
      <c r="I112" s="2" t="inlineStr">
        <is>
          <t>FSAF</t>
        </is>
      </c>
      <c r="J112" s="2" t="inlineStr">
        <is>
          <t>San Fernando</t>
        </is>
      </c>
      <c r="K112" s="2" t="inlineStr"/>
      <c r="L112" s="2" t="inlineStr">
        <is>
          <t>Cerrado</t>
        </is>
      </c>
      <c r="M112" s="2" t="inlineStr">
        <is>
          <t>2026-03-02 01:00:05</t>
        </is>
      </c>
      <c r="N112" s="2" t="inlineStr">
        <is>
          <t>Lucas Ale</t>
        </is>
      </c>
      <c r="O112" s="2" t="inlineStr">
        <is>
          <t>2026-02-25 14:07:42</t>
        </is>
      </c>
      <c r="P112" s="2" t="inlineStr">
        <is>
          <t>Cafetera San Fernando
Número de ticket:112948
Número de serie:1851676
Hora de servicio:1h30m
Se encontró la cafetera con los cafés aguados y sin espuma.
Se realizó una puesta 0 y calibración de las moliendas mm1 y mm2.
Se hizo una limpieza del chicler de la bomba de leche ya que se encontraba un poco tapado.
Se revisó que no sale por la lanza de vapor por falta de la válvula EV.
Se realizó una limpieza en profundidad de grupo.
Cafetera operando.
Repuestos:
-Protector térmico 
-Racor 1/4
-Racor p.goma empalme rápido 4mm
-Elf3</t>
        </is>
      </c>
      <c r="Q112" s="2" t="inlineStr">
        <is>
          <t>EQUIPOS;CAFETERAS CIMBALI</t>
        </is>
      </c>
      <c r="R112" s="2" t="inlineStr">
        <is>
          <t>2026-02-25 08:12:04</t>
        </is>
      </c>
      <c r="S112" s="2" t="n">
        <v>60</v>
      </c>
      <c r="T112" s="2" t="inlineStr"/>
      <c r="U112" s="2" t="inlineStr">
        <is>
          <t>Zona 1 — CABA / GBA Cercano (≤30 km)</t>
        </is>
      </c>
      <c r="V112" s="2" t="n">
        <v>24.5</v>
      </c>
      <c r="W112" s="2" t="n">
        <v>35</v>
      </c>
      <c r="X112" s="2" t="n">
        <v>2</v>
      </c>
      <c r="Y112" s="2" t="n">
        <v>2</v>
      </c>
      <c r="Z112" s="2" t="n">
        <v>0</v>
      </c>
      <c r="AA112" s="2" t="n">
        <v>0</v>
      </c>
      <c r="AB112" s="2" t="n">
        <v>0</v>
      </c>
      <c r="AC112" s="2" t="n">
        <v>0</v>
      </c>
      <c r="AD112" s="2" t="n">
        <v>2</v>
      </c>
      <c r="AE112" s="3">
        <f>AD112*35.0</f>
        <v/>
      </c>
      <c r="AF112" s="2" t="inlineStr">
        <is>
          <t>Skill: Reglas Técnicas</t>
        </is>
      </c>
      <c r="AG112" s="2" t="inlineStr"/>
      <c r="AH112" s="2" t="inlineStr">
        <is>
          <t>San Fernando</t>
        </is>
      </c>
    </row>
    <row r="113">
      <c r="A113" s="2" t="n">
        <v>111580</v>
      </c>
      <c r="B113" s="2" t="inlineStr">
        <is>
          <t>Falla de temperatura del equipo</t>
        </is>
      </c>
      <c r="C113" s="2" t="inlineStr">
        <is>
          <t>-</t>
        </is>
      </c>
      <c r="D113" s="2" t="inlineStr">
        <is>
          <t>Error crítico</t>
        </is>
      </c>
      <c r="E113" s="2" t="inlineStr">
        <is>
          <t>Urgente</t>
        </is>
      </c>
      <c r="F113" s="2" t="inlineStr"/>
      <c r="G113" s="2" t="inlineStr"/>
      <c r="H113" s="2" t="inlineStr"/>
      <c r="I113" s="2" t="inlineStr">
        <is>
          <t>FMSIS</t>
        </is>
      </c>
      <c r="J113" s="2" t="inlineStr">
        <is>
          <t>San Isidro</t>
        </is>
      </c>
      <c r="K113" s="2" t="inlineStr"/>
      <c r="L113" s="2" t="inlineStr">
        <is>
          <t>Cerrado</t>
        </is>
      </c>
      <c r="M113" s="2" t="inlineStr">
        <is>
          <t>2026-02-19 01:00:04</t>
        </is>
      </c>
      <c r="N113" s="2" t="inlineStr">
        <is>
          <t>Nahuel Loubiere</t>
        </is>
      </c>
      <c r="O113" s="2" t="inlineStr">
        <is>
          <t>2026-02-14 14:09:23</t>
        </is>
      </c>
      <c r="P113" s="2" t="inlineStr">
        <is>
          <t>Estimados, 
Se cambia piston superior y malla metalica el mismo,
Saludos.</t>
        </is>
      </c>
      <c r="Q113" s="2" t="inlineStr">
        <is>
          <t>EQUIPOS;CAFETERAS MELITA</t>
        </is>
      </c>
      <c r="R113" s="2" t="inlineStr">
        <is>
          <t>2026-02-12 09:18:27</t>
        </is>
      </c>
      <c r="S113" s="2" t="n">
        <v>417</v>
      </c>
      <c r="T113" s="2" t="n">
        <v>317</v>
      </c>
      <c r="U113" s="2" t="inlineStr">
        <is>
          <t>Zona 1 — CABA / GBA Cercano (≤30 km)</t>
        </is>
      </c>
      <c r="V113" s="2" t="n">
        <v>19.2</v>
      </c>
      <c r="W113" s="2" t="n">
        <v>35</v>
      </c>
      <c r="X113" s="2" t="n">
        <v>2</v>
      </c>
      <c r="Y113" s="2" t="n">
        <v>2</v>
      </c>
      <c r="Z113" s="2" t="n">
        <v>0</v>
      </c>
      <c r="AA113" s="2" t="n">
        <v>0</v>
      </c>
      <c r="AB113" s="2" t="n">
        <v>0</v>
      </c>
      <c r="AC113" s="2" t="n">
        <v>0</v>
      </c>
      <c r="AD113" s="2" t="n">
        <v>2</v>
      </c>
      <c r="AE113" s="3">
        <f>AD113*35.0</f>
        <v/>
      </c>
      <c r="AF113" s="2" t="inlineStr">
        <is>
          <t>Skill: Reglas Técnicas</t>
        </is>
      </c>
      <c r="AG113" s="2" t="inlineStr"/>
      <c r="AH113" s="2" t="inlineStr">
        <is>
          <t>San Isidro</t>
        </is>
      </c>
    </row>
    <row r="114">
      <c r="A114" s="2" t="n">
        <v>110749</v>
      </c>
      <c r="B114" s="2" t="inlineStr">
        <is>
          <t>ER 062 a 065 - Calibrar equipo, filtros obstruidos o falla sensor, según error</t>
        </is>
      </c>
      <c r="C114" s="2" t="inlineStr">
        <is>
          <t>-</t>
        </is>
      </c>
      <c r="D114" s="2" t="inlineStr"/>
      <c r="E114" s="2" t="inlineStr">
        <is>
          <t>Normal</t>
        </is>
      </c>
      <c r="F114" s="2" t="inlineStr"/>
      <c r="G114" s="2" t="inlineStr"/>
      <c r="H114" s="2" t="inlineStr"/>
      <c r="I114" s="2" t="inlineStr">
        <is>
          <t>FCSJ3</t>
        </is>
      </c>
      <c r="J114" s="2" t="inlineStr">
        <is>
          <t>San Justo 3</t>
        </is>
      </c>
      <c r="K114" s="2" t="inlineStr"/>
      <c r="L114" s="2" t="inlineStr">
        <is>
          <t>Cerrado</t>
        </is>
      </c>
      <c r="M114" s="2" t="inlineStr">
        <is>
          <t>2026-02-10 01:00:06</t>
        </is>
      </c>
      <c r="N114" s="2" t="inlineStr">
        <is>
          <t>Nahuel Loubiere</t>
        </is>
      </c>
      <c r="O114" s="2" t="inlineStr">
        <is>
          <t>2026-02-05 20:15:54</t>
        </is>
      </c>
      <c r="P114" s="2" t="inlineStr">
        <is>
          <t>Estimados,
Se cierra tk ya que se encuentra duplicado.
Saludos</t>
        </is>
      </c>
      <c r="Q114" s="2" t="inlineStr">
        <is>
          <t>EQUIPOS;CAFETERAS CIMBALI</t>
        </is>
      </c>
      <c r="R114" s="2" t="inlineStr">
        <is>
          <t>2026-02-05 09:18:54</t>
        </is>
      </c>
      <c r="S114" s="2" t="n">
        <v>9</v>
      </c>
      <c r="T114" s="2" t="inlineStr"/>
      <c r="U114" s="2" t="inlineStr">
        <is>
          <t>Zona 1 — CABA / GBA Cercano (≤30 km)</t>
        </is>
      </c>
      <c r="V114" s="2" t="n">
        <v>17.5</v>
      </c>
      <c r="W114" s="2" t="n">
        <v>35</v>
      </c>
      <c r="X114" s="2" t="n">
        <v>2</v>
      </c>
      <c r="Y114" s="2" t="n">
        <v>2</v>
      </c>
      <c r="Z114" s="2" t="n">
        <v>0</v>
      </c>
      <c r="AA114" s="2" t="n">
        <v>0</v>
      </c>
      <c r="AB114" s="2" t="n">
        <v>0</v>
      </c>
      <c r="AC114" s="2" t="n">
        <v>0</v>
      </c>
      <c r="AD114" s="2" t="n">
        <v>0</v>
      </c>
      <c r="AE114" s="3">
        <f>AD114*35.0</f>
        <v/>
      </c>
      <c r="AF114" s="2" t="inlineStr">
        <is>
          <t>Ticket Repetido/Duplicado</t>
        </is>
      </c>
      <c r="AG114" s="2" t="inlineStr"/>
      <c r="AH114" s="2" t="inlineStr">
        <is>
          <t>San Justo 3</t>
        </is>
      </c>
    </row>
    <row r="115">
      <c r="A115" s="2" t="n">
        <v>110740</v>
      </c>
      <c r="B115" s="2" t="inlineStr">
        <is>
          <t>ER 062 a 065 - Calibrar equipo, filtros obstruidos o falla sensor, según error</t>
        </is>
      </c>
      <c r="C115" s="2" t="inlineStr">
        <is>
          <t>-</t>
        </is>
      </c>
      <c r="D115" s="2" t="inlineStr">
        <is>
          <t>Urgente , el cafe sale aguado</t>
        </is>
      </c>
      <c r="E115" s="2" t="inlineStr">
        <is>
          <t>Normal</t>
        </is>
      </c>
      <c r="F115" s="2" t="inlineStr"/>
      <c r="G115" s="2" t="inlineStr"/>
      <c r="H115" s="2" t="inlineStr"/>
      <c r="I115" s="2" t="inlineStr">
        <is>
          <t>FCSJ3</t>
        </is>
      </c>
      <c r="J115" s="2" t="inlineStr">
        <is>
          <t>San Justo 3</t>
        </is>
      </c>
      <c r="K115" s="2" t="inlineStr"/>
      <c r="L115" s="2" t="inlineStr">
        <is>
          <t>Cerrado</t>
        </is>
      </c>
      <c r="M115" s="2" t="inlineStr">
        <is>
          <t>2026-02-11 01:00:06</t>
        </is>
      </c>
      <c r="N115" s="2" t="inlineStr">
        <is>
          <t>Nicolas Franco</t>
        </is>
      </c>
      <c r="O115" s="2" t="inlineStr">
        <is>
          <t>2026-02-06 20:29:38</t>
        </is>
      </c>
      <c r="P115" s="2" t="inlineStr">
        <is>
          <t>Cafetera san justo peatonal ( 3 horas de trabajo)
Cimbali 1840208
Tiket#110740
Se encontró cafetera tirando error 8 se extrajo grupo y limpio todos los sensores, desapareció la falla, se encontró pequeña pérdida de agua del lado derecho debido a la manguera para purgar calderas, se logro sellar temporalmente pero se debe cambiar antes de q vuelva a perder, con respecto a los cafés aguados se realizó puesta cero y calibración, se encontró todas las recetas con muy bajo todo lo q es la dosis de café, pedir al supervisor q cargue receta y restablecer todos los parámetros, así se puede realizar una correcta calibración del equipo, operando con normalidad</t>
        </is>
      </c>
      <c r="Q115" s="2" t="inlineStr">
        <is>
          <t>EQUIPOS;CAFETERAS CIMBALI</t>
        </is>
      </c>
      <c r="R115" s="2" t="inlineStr">
        <is>
          <t>2026-02-05 08:57:43</t>
        </is>
      </c>
      <c r="S115" s="2" t="n">
        <v>29</v>
      </c>
      <c r="T115" s="2" t="inlineStr"/>
      <c r="U115" s="2" t="inlineStr">
        <is>
          <t>Zona 1 — CABA / GBA Cercano (≤30 km)</t>
        </is>
      </c>
      <c r="V115" s="2" t="n">
        <v>17.5</v>
      </c>
      <c r="W115" s="2" t="n">
        <v>35</v>
      </c>
      <c r="X115" s="2" t="n">
        <v>2</v>
      </c>
      <c r="Y115" s="2" t="n">
        <v>2</v>
      </c>
      <c r="Z115" s="2" t="n">
        <v>6</v>
      </c>
      <c r="AA115" s="2" t="n">
        <v>0</v>
      </c>
      <c r="AB115" s="2" t="n">
        <v>0</v>
      </c>
      <c r="AC115" s="2" t="n">
        <v>3</v>
      </c>
      <c r="AD115" s="2" t="n">
        <v>3</v>
      </c>
      <c r="AE115" s="3">
        <f>AD115*35.0</f>
        <v/>
      </c>
      <c r="AF115" s="2" t="inlineStr">
        <is>
          <t>Skill: Resolución | Skill: Chat | Skill: Reglas Técnicas</t>
        </is>
      </c>
      <c r="AG115" s="2" t="inlineStr"/>
      <c r="AH115" s="2" t="inlineStr">
        <is>
          <t>San Justo 3</t>
        </is>
      </c>
    </row>
    <row r="116">
      <c r="A116" s="2" t="n">
        <v>110919</v>
      </c>
      <c r="B116" s="2" t="inlineStr">
        <is>
          <t>Otros trabajos, detallar en comentarios</t>
        </is>
      </c>
      <c r="C116" s="2" t="inlineStr">
        <is>
          <t>-</t>
        </is>
      </c>
      <c r="D116" s="2" t="inlineStr">
        <is>
          <t>Buenas, tenemos que cambiar el timer de la freidora ya que el mismo se deterioró, solo tenemos que poner uno nuevo</t>
        </is>
      </c>
      <c r="E116" s="2" t="inlineStr">
        <is>
          <t>Baja</t>
        </is>
      </c>
      <c r="F116" s="2" t="inlineStr"/>
      <c r="G116" s="2" t="inlineStr"/>
      <c r="H116" s="2" t="inlineStr"/>
      <c r="I116" s="2" t="inlineStr">
        <is>
          <t>FCSJ3</t>
        </is>
      </c>
      <c r="J116" s="2" t="inlineStr">
        <is>
          <t>San Justo 3</t>
        </is>
      </c>
      <c r="K116" s="2" t="inlineStr"/>
      <c r="L116" s="2" t="inlineStr">
        <is>
          <t>Cerrado</t>
        </is>
      </c>
      <c r="M116" s="2" t="inlineStr">
        <is>
          <t>2026-02-11 01:00:06</t>
        </is>
      </c>
      <c r="N116" s="2" t="inlineStr">
        <is>
          <t>Nicolas Franco</t>
        </is>
      </c>
      <c r="O116" s="2" t="inlineStr">
        <is>
          <t>2026-02-06 21:03:35</t>
        </is>
      </c>
      <c r="P116" s="2" t="inlineStr">
        <is>
          <t>Freidora san justo peatonal (1 hora de trabajo)
Tiket#110919
Se colocó timer nuevo a freidora ig doble cesta, se pusieron los tornillos faltantes y toma, ser realizó prueba y funciona todo , equipo operando.</t>
        </is>
      </c>
      <c r="Q116" s="2" t="inlineStr">
        <is>
          <t>;OTROS</t>
        </is>
      </c>
      <c r="R116" s="2" t="inlineStr">
        <is>
          <t>2026-02-06 18:49:24</t>
        </is>
      </c>
      <c r="S116" s="2" t="inlineStr"/>
      <c r="T116" s="2" t="inlineStr"/>
      <c r="U116" s="2" t="inlineStr">
        <is>
          <t>Zona 1 — CABA / GBA Cercano (≤30 km)</t>
        </is>
      </c>
      <c r="V116" s="2" t="n">
        <v>17.5</v>
      </c>
      <c r="W116" s="2" t="n">
        <v>35</v>
      </c>
      <c r="X116" s="2" t="n">
        <v>2</v>
      </c>
      <c r="Y116" s="2" t="n">
        <v>2</v>
      </c>
      <c r="Z116" s="2" t="n">
        <v>1</v>
      </c>
      <c r="AA116" s="2" t="n">
        <v>0</v>
      </c>
      <c r="AB116" s="2" t="n">
        <v>0</v>
      </c>
      <c r="AC116" s="2" t="n">
        <v>1</v>
      </c>
      <c r="AD116" s="2" t="n">
        <v>2</v>
      </c>
      <c r="AE116" s="3">
        <f>AD116*35.0</f>
        <v/>
      </c>
      <c r="AF116" s="2" t="inlineStr">
        <is>
          <t>Skill: Resolución | Skill: Chat | Skill: Reglas Técnicas</t>
        </is>
      </c>
      <c r="AG116" s="2" t="inlineStr"/>
      <c r="AH116" s="2" t="inlineStr">
        <is>
          <t>San Justo 3</t>
        </is>
      </c>
    </row>
    <row r="117">
      <c r="A117" s="2" t="n">
        <v>111964</v>
      </c>
      <c r="B117" s="2" t="inlineStr">
        <is>
          <t>Equipo salta el disyuntor o térmica</t>
        </is>
      </c>
      <c r="C117" s="2" t="inlineStr">
        <is>
          <t>-</t>
        </is>
      </c>
      <c r="D117" s="2" t="inlineStr">
        <is>
          <t>Hola buenas, de la segunda cafetera sale agua y leche por debajo de una manguera qué tiene, pero sale todo... muchisima</t>
        </is>
      </c>
      <c r="E117" s="2" t="inlineStr">
        <is>
          <t>Urgente</t>
        </is>
      </c>
      <c r="F117" s="2" t="inlineStr">
        <is>
          <t>Fotos</t>
        </is>
      </c>
      <c r="G117" s="2" t="inlineStr">
        <is>
          <t>Lucas Ale</t>
        </is>
      </c>
      <c r="H117" s="2" t="inlineStr">
        <is>
          <t>2026-02-16 18:15:05</t>
        </is>
      </c>
      <c r="I117" s="2" t="inlineStr">
        <is>
          <t>FCSJ3</t>
        </is>
      </c>
      <c r="J117" s="2" t="inlineStr">
        <is>
          <t>San Justo 3</t>
        </is>
      </c>
      <c r="K117" s="2" t="inlineStr"/>
      <c r="L117" s="2" t="inlineStr">
        <is>
          <t>Cerrado</t>
        </is>
      </c>
      <c r="M117" s="2" t="inlineStr">
        <is>
          <t>2026-02-21 01:00:04</t>
        </is>
      </c>
      <c r="N117" s="2" t="inlineStr">
        <is>
          <t>Lucas Ale</t>
        </is>
      </c>
      <c r="O117" s="2" t="inlineStr">
        <is>
          <t>2026-02-16 18:15:17</t>
        </is>
      </c>
      <c r="P117" s="2" t="inlineStr">
        <is>
          <t>Cafetera San justo 3
Ticket número: 111964
Serie número :1840208/2033462
Hora de servicio :2h 30m
Cafetera 1 lado derecho mostrador:
Se cargó receta y se realizó puesta cero y calibración de las moliendas mm1 y mm2.
Se encontró una pequeña fuga de agua en la manguera para purgar la caldera se recomienda cambiarlo.
Se acomodó manguera de Desagote ya que no corría bien.
Observaciones: se revisó presunta pérdida de leche y cafe debajo de la cafetera se hizo los chequeos correspondientes y no se encontró ninguna pérdida. 
Cafetera operando.
Cafetera 1 lado ventana
Se realizó carga de receta, puesta cero y calibración de moliendas mm1 y mm2.
Cafetera operando.</t>
        </is>
      </c>
      <c r="Q117" s="2" t="inlineStr">
        <is>
          <t>EQUIPOS;CAFETERAS CIMBALI</t>
        </is>
      </c>
      <c r="R117" s="2" t="inlineStr">
        <is>
          <t>2026-02-16 10:52:05</t>
        </is>
      </c>
      <c r="S117" s="2" t="n">
        <v>80</v>
      </c>
      <c r="T117" s="2" t="inlineStr"/>
      <c r="U117" s="2" t="inlineStr">
        <is>
          <t>Zona 1 — CABA / GBA Cercano (≤30 km)</t>
        </is>
      </c>
      <c r="V117" s="2" t="n">
        <v>17.5</v>
      </c>
      <c r="W117" s="2" t="n">
        <v>35</v>
      </c>
      <c r="X117" s="2" t="n">
        <v>2</v>
      </c>
      <c r="Y117" s="2" t="n">
        <v>2</v>
      </c>
      <c r="Z117" s="2" t="n">
        <v>0</v>
      </c>
      <c r="AA117" s="2" t="n">
        <v>0</v>
      </c>
      <c r="AB117" s="2" t="n">
        <v>0</v>
      </c>
      <c r="AC117" s="2" t="n">
        <v>0</v>
      </c>
      <c r="AD117" s="2" t="n">
        <v>2</v>
      </c>
      <c r="AE117" s="3">
        <f>AD117*35.0</f>
        <v/>
      </c>
      <c r="AF117" s="2" t="inlineStr">
        <is>
          <t>Skill: Reglas Técnicas</t>
        </is>
      </c>
      <c r="AG117" s="2" t="inlineStr"/>
      <c r="AH117" s="2" t="inlineStr">
        <is>
          <t>San Justo 3</t>
        </is>
      </c>
    </row>
    <row r="118">
      <c r="A118" s="2" t="n">
        <v>112607</v>
      </c>
      <c r="B118" s="2" t="inlineStr">
        <is>
          <t>Otras fallas, indicar número de falla</t>
        </is>
      </c>
      <c r="C118" s="2" t="inlineStr">
        <is>
          <t>-</t>
        </is>
      </c>
      <c r="D118" s="2" t="inlineStr">
        <is>
          <t>Buenas, la cafetera pierde agua por este sector</t>
        </is>
      </c>
      <c r="E118" s="2" t="inlineStr">
        <is>
          <t>Baja</t>
        </is>
      </c>
      <c r="F118" s="2" t="inlineStr"/>
      <c r="G118" s="2" t="inlineStr"/>
      <c r="H118" s="2" t="inlineStr"/>
      <c r="I118" s="2" t="inlineStr">
        <is>
          <t>FCSJ3</t>
        </is>
      </c>
      <c r="J118" s="2" t="inlineStr">
        <is>
          <t>San Justo 3</t>
        </is>
      </c>
      <c r="K118" s="2" t="inlineStr"/>
      <c r="L118" s="2" t="inlineStr">
        <is>
          <t>Cerrado</t>
        </is>
      </c>
      <c r="M118" s="2" t="inlineStr">
        <is>
          <t>2026-02-26 03:30:03</t>
        </is>
      </c>
      <c r="N118" s="2" t="inlineStr">
        <is>
          <t>Lucas Ale</t>
        </is>
      </c>
      <c r="O118" s="2" t="inlineStr">
        <is>
          <t>2026-02-22 03:24:14</t>
        </is>
      </c>
      <c r="P118" s="2" t="inlineStr">
        <is>
          <t>Buenas, tienen que conseguir la manguera de cristal ya dicho en el informe técnico anterior.</t>
        </is>
      </c>
      <c r="Q118" s="2" t="inlineStr">
        <is>
          <t>EQUIPOS;CAFETERAS CIMBALI</t>
        </is>
      </c>
      <c r="R118" s="2" t="inlineStr">
        <is>
          <t>2026-02-21 16:47:13</t>
        </is>
      </c>
      <c r="S118" s="2" t="n">
        <v>1</v>
      </c>
      <c r="T118" s="2" t="inlineStr"/>
      <c r="U118" s="2" t="inlineStr">
        <is>
          <t>Zona 1 — CABA / GBA Cercano (≤30 km)</t>
        </is>
      </c>
      <c r="V118" s="2" t="n">
        <v>17.5</v>
      </c>
      <c r="W118" s="2" t="n">
        <v>35</v>
      </c>
      <c r="X118" s="2" t="n">
        <v>2</v>
      </c>
      <c r="Y118" s="2" t="n">
        <v>2</v>
      </c>
      <c r="Z118" s="2" t="n">
        <v>0</v>
      </c>
      <c r="AA118" s="2" t="n">
        <v>0</v>
      </c>
      <c r="AB118" s="2" t="n">
        <v>0</v>
      </c>
      <c r="AC118" s="2" t="n">
        <v>0</v>
      </c>
      <c r="AD118" s="2" t="n">
        <v>2</v>
      </c>
      <c r="AE118" s="3">
        <f>AD118*35.0</f>
        <v/>
      </c>
      <c r="AF118" s="2" t="inlineStr">
        <is>
          <t>Skill: Reglas Técnicas</t>
        </is>
      </c>
      <c r="AG118" s="2" t="inlineStr"/>
      <c r="AH118" s="2" t="inlineStr">
        <is>
          <t>San Justo 3</t>
        </is>
      </c>
    </row>
    <row r="119">
      <c r="A119" s="2" t="n">
        <v>112910</v>
      </c>
      <c r="B119" s="2" t="inlineStr">
        <is>
          <t>ER 059 a 061 - Problemas con el suministro de agua del equipo</t>
        </is>
      </c>
      <c r="C119" s="2" t="inlineStr">
        <is>
          <t>-</t>
        </is>
      </c>
      <c r="D119" s="2" t="inlineStr">
        <is>
          <t>Buenas, la cafetera presenta una perdida de agua desde la valvula de te, adjunto fotos.
Por favor pido solución cuanto antes</t>
        </is>
      </c>
      <c r="E119" s="2" t="inlineStr">
        <is>
          <t>Normal</t>
        </is>
      </c>
      <c r="F119" s="2" t="inlineStr"/>
      <c r="G119" s="2" t="inlineStr"/>
      <c r="H119" s="2" t="inlineStr"/>
      <c r="I119" s="2" t="inlineStr">
        <is>
          <t>FCSJ3</t>
        </is>
      </c>
      <c r="J119" s="2" t="inlineStr">
        <is>
          <t>San Justo 3</t>
        </is>
      </c>
      <c r="K119" s="2" t="inlineStr"/>
      <c r="L119" s="2" t="inlineStr">
        <is>
          <t>Resuelto</t>
        </is>
      </c>
      <c r="M119" s="2" t="inlineStr">
        <is>
          <t>2026-02-28 14:03:13</t>
        </is>
      </c>
      <c r="N119" s="2" t="inlineStr">
        <is>
          <t>Nicolas Franco</t>
        </is>
      </c>
      <c r="O119" s="2" t="inlineStr">
        <is>
          <t>2026-02-28 14:03:13</t>
        </is>
      </c>
      <c r="P119" s="2" t="inlineStr">
        <is>
          <t>Resuelto</t>
        </is>
      </c>
      <c r="Q119" s="2" t="inlineStr">
        <is>
          <t>EQUIPOS;CAFETERAS CIMBALI</t>
        </is>
      </c>
      <c r="R119" s="2" t="inlineStr">
        <is>
          <t>2026-02-24 12:56:14</t>
        </is>
      </c>
      <c r="S119" s="2" t="n">
        <v>81</v>
      </c>
      <c r="T119" s="2" t="inlineStr"/>
      <c r="U119" s="2" t="inlineStr">
        <is>
          <t>Zona 1 — CABA / GBA Cercano (≤30 km)</t>
        </is>
      </c>
      <c r="V119" s="2" t="n">
        <v>17.5</v>
      </c>
      <c r="W119" s="2" t="n">
        <v>35</v>
      </c>
      <c r="X119" s="2" t="n">
        <v>2</v>
      </c>
      <c r="Y119" s="2" t="n">
        <v>1</v>
      </c>
      <c r="Z119" s="2" t="n">
        <v>0</v>
      </c>
      <c r="AA119" s="2" t="n">
        <v>0</v>
      </c>
      <c r="AB119" s="2" t="n">
        <v>0</v>
      </c>
      <c r="AC119" s="2" t="n">
        <v>0</v>
      </c>
      <c r="AD119" s="2" t="n">
        <v>2</v>
      </c>
      <c r="AE119" s="3">
        <f>AD119*35.0</f>
        <v/>
      </c>
      <c r="AF119" s="2" t="inlineStr">
        <is>
          <t>Skill: Reglas Técnicas</t>
        </is>
      </c>
      <c r="AG119" s="2" t="inlineStr"/>
      <c r="AH119" s="2" t="inlineStr">
        <is>
          <t>San Justo 3</t>
        </is>
      </c>
    </row>
    <row r="120">
      <c r="A120" s="2" t="n">
        <v>113068</v>
      </c>
      <c r="B120" s="2" t="inlineStr">
        <is>
          <t>ER 055 - Elemento calentador averiado</t>
        </is>
      </c>
      <c r="C120" s="2" t="inlineStr">
        <is>
          <t>-</t>
        </is>
      </c>
      <c r="D120" s="2" t="inlineStr">
        <is>
          <t>No calienta el café, por ende no se puede usar</t>
        </is>
      </c>
      <c r="E120" s="2" t="inlineStr">
        <is>
          <t>Normal</t>
        </is>
      </c>
      <c r="F120" s="2" t="inlineStr"/>
      <c r="G120" s="2" t="inlineStr"/>
      <c r="H120" s="2" t="inlineStr"/>
      <c r="I120" s="2" t="inlineStr">
        <is>
          <t>FCSJ3</t>
        </is>
      </c>
      <c r="J120" s="2" t="inlineStr">
        <is>
          <t>San Justo 3</t>
        </is>
      </c>
      <c r="K120" s="2" t="inlineStr"/>
      <c r="L120" s="2" t="inlineStr">
        <is>
          <t>Resuelto</t>
        </is>
      </c>
      <c r="M120" s="2" t="inlineStr">
        <is>
          <t>2026-02-28 14:05:14</t>
        </is>
      </c>
      <c r="N120" s="2" t="inlineStr">
        <is>
          <t>Nicolas Franco</t>
        </is>
      </c>
      <c r="O120" s="2" t="inlineStr">
        <is>
          <t>2026-02-28 14:05:14</t>
        </is>
      </c>
      <c r="P120" s="2" t="inlineStr">
        <is>
          <t>La cafetera q no calienta fue solucionado por el local, habui saltado el protector termico en cuanto a la cafetera de al lado q no le salía leche tenía, el difusor de leche sucio, y válvula esm trabada y sucia lo cual no dejaba sacar leche, equipo operando</t>
        </is>
      </c>
      <c r="Q120" s="2" t="inlineStr">
        <is>
          <t>EQUIPOS;CAFETERAS CIMBALI</t>
        </is>
      </c>
      <c r="R120" s="2" t="inlineStr">
        <is>
          <t>2026-02-26 11:07:51</t>
        </is>
      </c>
      <c r="S120" s="2" t="n">
        <v>42</v>
      </c>
      <c r="T120" s="2" t="inlineStr"/>
      <c r="U120" s="2" t="inlineStr">
        <is>
          <t>Zona 1 — CABA / GBA Cercano (≤30 km)</t>
        </is>
      </c>
      <c r="V120" s="2" t="n">
        <v>17.5</v>
      </c>
      <c r="W120" s="2" t="n">
        <v>35</v>
      </c>
      <c r="X120" s="2" t="n">
        <v>2</v>
      </c>
      <c r="Y120" s="2" t="n">
        <v>0</v>
      </c>
      <c r="Z120" s="2" t="n">
        <v>0</v>
      </c>
      <c r="AA120" s="2" t="n">
        <v>0</v>
      </c>
      <c r="AB120" s="2" t="n">
        <v>0</v>
      </c>
      <c r="AC120" s="2" t="n">
        <v>0</v>
      </c>
      <c r="AD120" s="2" t="n">
        <v>0</v>
      </c>
      <c r="AE120" s="3">
        <f>AD120*35.0</f>
        <v/>
      </c>
      <c r="AF120" s="2" t="inlineStr">
        <is>
          <t>Resuelto por el Local (0 HS)</t>
        </is>
      </c>
      <c r="AG120" s="2" t="inlineStr"/>
      <c r="AH120" s="2" t="inlineStr">
        <is>
          <t>San Justo 3</t>
        </is>
      </c>
    </row>
    <row r="121">
      <c r="A121" s="2" t="n">
        <v>112937</v>
      </c>
      <c r="B121" s="2" t="inlineStr">
        <is>
          <t>ER 008 - Timeout manipulación grupo, falla en bloque mecanico</t>
        </is>
      </c>
      <c r="C121" s="2" t="inlineStr">
        <is>
          <t>-</t>
        </is>
      </c>
      <c r="D121" s="2" t="inlineStr"/>
      <c r="E121" s="2" t="inlineStr">
        <is>
          <t>Urgente</t>
        </is>
      </c>
      <c r="F121" s="2" t="inlineStr">
        <is>
          <t>Fotos</t>
        </is>
      </c>
      <c r="G121" s="2" t="inlineStr">
        <is>
          <t>Lucas Ale</t>
        </is>
      </c>
      <c r="H121" s="2" t="inlineStr">
        <is>
          <t>2026-02-25 16:50:36</t>
        </is>
      </c>
      <c r="I121" s="2" t="inlineStr">
        <is>
          <t>FMSVP</t>
        </is>
      </c>
      <c r="J121" s="2" t="inlineStr">
        <is>
          <t>San Martín peatonal</t>
        </is>
      </c>
      <c r="K121" s="2" t="inlineStr"/>
      <c r="L121" s="2" t="inlineStr">
        <is>
          <t>Cerrado</t>
        </is>
      </c>
      <c r="M121" s="2" t="inlineStr">
        <is>
          <t>2026-03-02 01:00:05</t>
        </is>
      </c>
      <c r="N121" s="2" t="inlineStr">
        <is>
          <t>Lucas Ale</t>
        </is>
      </c>
      <c r="O121" s="2" t="inlineStr">
        <is>
          <t>2026-02-25 16:50:54</t>
        </is>
      </c>
      <c r="P121" s="2" t="inlineStr">
        <is>
          <t>Cafetera San Martín Peatonal
Número de ticket:112937
Número de serie:2107577
Horario de servicio:2h
Se encontró la cafetera con error 8.
se realizó una limpieza de grupo, sensores y finales de carrera ya que se encontraba todo lleno de café.
Se realizó una puesta 0 y calibración de las moliendas mm1 y mm2.
Observaciones:
-pastillas muy mojadas hacen que no caiga las pastillas al cajón de pozos sino que se atasquen el paso de la rampa deslizadora.
Repuestos:
-kit de orring pistón superior
Cafetera operando.</t>
        </is>
      </c>
      <c r="Q121" s="2" t="inlineStr">
        <is>
          <t>EQUIPOS;CAFETERAS CIMBALI</t>
        </is>
      </c>
      <c r="R121" s="2" t="inlineStr">
        <is>
          <t>2026-02-24 20:17:15</t>
        </is>
      </c>
      <c r="S121" s="2" t="n">
        <v>160</v>
      </c>
      <c r="T121" s="2" t="n">
        <v>60</v>
      </c>
      <c r="U121" s="2" t="inlineStr">
        <is>
          <t>Zona 1 — CABA / GBA Cercano (≤30 km)</t>
        </is>
      </c>
      <c r="V121" s="2" t="n">
        <v>24.8</v>
      </c>
      <c r="W121" s="2" t="n">
        <v>35</v>
      </c>
      <c r="X121" s="2" t="n">
        <v>2</v>
      </c>
      <c r="Y121" s="2" t="n">
        <v>2</v>
      </c>
      <c r="Z121" s="2" t="n">
        <v>0</v>
      </c>
      <c r="AA121" s="2" t="n">
        <v>0</v>
      </c>
      <c r="AB121" s="2" t="n">
        <v>0</v>
      </c>
      <c r="AC121" s="2" t="n">
        <v>0</v>
      </c>
      <c r="AD121" s="2" t="n">
        <v>2</v>
      </c>
      <c r="AE121" s="3">
        <f>AD121*35.0</f>
        <v/>
      </c>
      <c r="AF121" s="2" t="inlineStr">
        <is>
          <t>Skill: Reglas Técnicas</t>
        </is>
      </c>
      <c r="AG121" s="2" t="inlineStr"/>
      <c r="AH121" s="2" t="inlineStr">
        <is>
          <t>San Martín peatonal</t>
        </is>
      </c>
    </row>
    <row r="122">
      <c r="A122" s="2" t="n">
        <v>110977</v>
      </c>
      <c r="B122" s="2" t="inlineStr">
        <is>
          <t>ER 021  y 022 - Anomalía en movimiento de las muelas</t>
        </is>
      </c>
      <c r="C122" s="2" t="inlineStr">
        <is>
          <t>-</t>
        </is>
      </c>
      <c r="D122" s="2" t="inlineStr">
        <is>
          <t>Buenos días ... 
En el día de ayer se presentó Francisco de Mantenimiento propios en nuestro local para arreglar las cafeteras  1 sola había quedado operativa , Pero no realiza espuma , la misma solo funcionó el día de ayer. Hoy nuevamente volvió a fallar no larga café, y las moliendas no figuran trabadas o al menos no marca el error. Se vaciaron ambas tolvas Pero de todos modos no funciona. 
La otra cimballi aparentemente tiene quemada la fuente, debemos solicitar una nueva .</t>
        </is>
      </c>
      <c r="E122" s="2" t="inlineStr">
        <is>
          <t>Urgente</t>
        </is>
      </c>
      <c r="F122" s="2" t="inlineStr"/>
      <c r="G122" s="2" t="inlineStr"/>
      <c r="H122" s="2" t="inlineStr"/>
      <c r="I122" s="2" t="inlineStr">
        <is>
          <t>FMSFV</t>
        </is>
      </c>
      <c r="J122" s="2" t="inlineStr">
        <is>
          <t>Santa Fe Peatonal</t>
        </is>
      </c>
      <c r="K122" s="2" t="inlineStr"/>
      <c r="L122" s="2" t="inlineStr">
        <is>
          <t>Cerrado</t>
        </is>
      </c>
      <c r="M122" s="2" t="inlineStr">
        <is>
          <t>2026-02-15 01:00:04</t>
        </is>
      </c>
      <c r="N122" s="2" t="inlineStr">
        <is>
          <t>Francisco Rametta</t>
        </is>
      </c>
      <c r="O122" s="2" t="inlineStr">
        <is>
          <t>2026-02-10 09:14:19</t>
        </is>
      </c>
      <c r="P122" s="2" t="inlineStr">
        <is>
          <t>Resuelto telefónicamente</t>
        </is>
      </c>
      <c r="Q122" s="2" t="inlineStr">
        <is>
          <t>EQUIPOS;CAFETERAS CIMBALI</t>
        </is>
      </c>
      <c r="R122" s="2" t="inlineStr">
        <is>
          <t>2026-02-07 09:46:30</t>
        </is>
      </c>
      <c r="S122" s="2" t="n">
        <v>564</v>
      </c>
      <c r="T122" s="2" t="n">
        <v>464</v>
      </c>
      <c r="U122" s="2" t="inlineStr">
        <is>
          <t>Zona 3+ — GBA Lejano / Interior (&gt;60 km)</t>
        </is>
      </c>
      <c r="V122" s="2" t="n">
        <v>1162.6</v>
      </c>
      <c r="W122" s="2" t="n">
        <v>35</v>
      </c>
      <c r="X122" s="2" t="n">
        <v>4</v>
      </c>
      <c r="Y122" s="2" t="n">
        <v>2</v>
      </c>
      <c r="Z122" s="2" t="n">
        <v>0</v>
      </c>
      <c r="AA122" s="2" t="n">
        <v>0</v>
      </c>
      <c r="AB122" s="2" t="n">
        <v>0</v>
      </c>
      <c r="AC122" s="2" t="n">
        <v>0</v>
      </c>
      <c r="AD122" s="2" t="n">
        <v>4</v>
      </c>
      <c r="AE122" s="3">
        <f>AD122*35.0</f>
        <v/>
      </c>
      <c r="AF122" s="2" t="inlineStr">
        <is>
          <t>Skill: Reglas Técnicas</t>
        </is>
      </c>
      <c r="AG122" s="2" t="inlineStr"/>
      <c r="AH122" s="2" t="inlineStr">
        <is>
          <t>Santa Fe Peatonal</t>
        </is>
      </c>
    </row>
    <row r="123">
      <c r="A123" s="2" t="n">
        <v>110271</v>
      </c>
      <c r="B123" s="2" t="inlineStr">
        <is>
          <t>ER 003 - Cámara fuera de posición, maquina bloqueada</t>
        </is>
      </c>
      <c r="C123" s="2" t="inlineStr">
        <is>
          <t>-</t>
        </is>
      </c>
      <c r="D123" s="2" t="inlineStr"/>
      <c r="E123" s="2" t="inlineStr">
        <is>
          <t>Urgente</t>
        </is>
      </c>
      <c r="F123" s="2" t="inlineStr">
        <is>
          <t>De nada, saludos!</t>
        </is>
      </c>
      <c r="G123" s="2" t="inlineStr">
        <is>
          <t>Mostaza Santa Fe Peatonal</t>
        </is>
      </c>
      <c r="H123" s="2" t="inlineStr">
        <is>
          <t>2026-02-04 11:54:18</t>
        </is>
      </c>
      <c r="I123" s="2" t="inlineStr">
        <is>
          <t>FMSFV</t>
        </is>
      </c>
      <c r="J123" s="2" t="inlineStr">
        <is>
          <t>Santa Fe Peatonal</t>
        </is>
      </c>
      <c r="K123" s="2" t="inlineStr"/>
      <c r="L123" s="2" t="inlineStr">
        <is>
          <t>Cerrado</t>
        </is>
      </c>
      <c r="M123" s="2" t="inlineStr">
        <is>
          <t>2026-02-15 01:00:04</t>
        </is>
      </c>
      <c r="N123" s="2" t="inlineStr">
        <is>
          <t>Francisco Rametta</t>
        </is>
      </c>
      <c r="O123" s="2" t="inlineStr">
        <is>
          <t>2026-02-10 09:14:35</t>
        </is>
      </c>
      <c r="P123" s="2" t="inlineStr">
        <is>
          <t>Se realizó cambio de kit orings</t>
        </is>
      </c>
      <c r="Q123" s="2" t="inlineStr">
        <is>
          <t>EQUIPOS;CAFETERAS CIMBALI</t>
        </is>
      </c>
      <c r="R123" s="2" t="inlineStr">
        <is>
          <t>2026-02-01 11:29:37</t>
        </is>
      </c>
      <c r="S123" s="2" t="n">
        <v>1690</v>
      </c>
      <c r="T123" s="2" t="n">
        <v>1590</v>
      </c>
      <c r="U123" s="2" t="inlineStr">
        <is>
          <t>Zona 3+ — GBA Lejano / Interior (&gt;60 km)</t>
        </is>
      </c>
      <c r="V123" s="2" t="n">
        <v>1162.6</v>
      </c>
      <c r="W123" s="2" t="n">
        <v>35</v>
      </c>
      <c r="X123" s="2" t="n">
        <v>4</v>
      </c>
      <c r="Y123" s="2" t="n">
        <v>2</v>
      </c>
      <c r="Z123" s="2" t="n">
        <v>0</v>
      </c>
      <c r="AA123" s="2" t="n">
        <v>0</v>
      </c>
      <c r="AB123" s="2" t="n">
        <v>0</v>
      </c>
      <c r="AC123" s="2" t="n">
        <v>0</v>
      </c>
      <c r="AD123" s="2" t="n">
        <v>4</v>
      </c>
      <c r="AE123" s="3">
        <f>AD123*35.0</f>
        <v/>
      </c>
      <c r="AF123" s="2" t="inlineStr">
        <is>
          <t>Skill: Reglas Técnicas</t>
        </is>
      </c>
      <c r="AG123" s="2" t="inlineStr"/>
      <c r="AH123" s="2" t="inlineStr">
        <is>
          <t>Santa Fe Peatonal</t>
        </is>
      </c>
    </row>
    <row r="124">
      <c r="A124" s="2" t="n">
        <v>110285</v>
      </c>
      <c r="B124" s="2" t="inlineStr">
        <is>
          <t>ER 021  y 022 - Anomalía en movimiento de las muelas</t>
        </is>
      </c>
      <c r="C124" s="2" t="inlineStr">
        <is>
          <t>-</t>
        </is>
      </c>
      <c r="D124" s="2" t="inlineStr">
        <is>
          <t>MM2 TRABADA NO SALE CAFE, TAMPOCO SE SIENTE EL RUIDO DE LAS MIENDAS ACCIONANDO, SALE AGUA</t>
        </is>
      </c>
      <c r="E124" s="2" t="inlineStr">
        <is>
          <t>Urgente</t>
        </is>
      </c>
      <c r="F124" s="2" t="inlineStr"/>
      <c r="G124" s="2" t="inlineStr"/>
      <c r="H124" s="2" t="inlineStr"/>
      <c r="I124" s="2" t="inlineStr">
        <is>
          <t>FSANT</t>
        </is>
      </c>
      <c r="J124" s="2" t="inlineStr">
        <is>
          <t>Santiago del Estero</t>
        </is>
      </c>
      <c r="K124" s="2" t="inlineStr"/>
      <c r="L124" s="2" t="inlineStr">
        <is>
          <t>Cerrado</t>
        </is>
      </c>
      <c r="M124" s="2" t="inlineStr">
        <is>
          <t>2026-02-08 01:00:04</t>
        </is>
      </c>
      <c r="N124" s="2" t="inlineStr">
        <is>
          <t>Nahuel Loubiere</t>
        </is>
      </c>
      <c r="O124" s="2" t="inlineStr">
        <is>
          <t>2026-02-03 21:05:44</t>
        </is>
      </c>
      <c r="P124" s="2" t="inlineStr">
        <is>
          <t>Estimados, 
Tratamos de ponernos en contacto, pero no tuvimos respuesta.
Saludos.</t>
        </is>
      </c>
      <c r="Q124" s="2" t="inlineStr">
        <is>
          <t>EQUIPOS;CAFETERAS CIMBALI</t>
        </is>
      </c>
      <c r="R124" s="2" t="inlineStr">
        <is>
          <t>2026-02-01 13:56:08</t>
        </is>
      </c>
      <c r="S124" s="2" t="n">
        <v>436</v>
      </c>
      <c r="T124" s="2" t="n">
        <v>336</v>
      </c>
      <c r="U124" s="2" t="inlineStr">
        <is>
          <t>Zona 3+ — GBA Lejano / Interior (&gt;60 km)</t>
        </is>
      </c>
      <c r="V124" s="2" t="n">
        <v>993.7</v>
      </c>
      <c r="W124" s="2" t="n">
        <v>35</v>
      </c>
      <c r="X124" s="2" t="n">
        <v>4</v>
      </c>
      <c r="Y124" s="2" t="n">
        <v>2</v>
      </c>
      <c r="Z124" s="2" t="n">
        <v>0</v>
      </c>
      <c r="AA124" s="2" t="n">
        <v>0</v>
      </c>
      <c r="AB124" s="2" t="n">
        <v>0</v>
      </c>
      <c r="AC124" s="2" t="n">
        <v>0</v>
      </c>
      <c r="AD124" s="2" t="n">
        <v>4</v>
      </c>
      <c r="AE124" s="3">
        <f>AD124*35.0</f>
        <v/>
      </c>
      <c r="AF124" s="2" t="inlineStr">
        <is>
          <t>Skill: Reglas Técnicas</t>
        </is>
      </c>
      <c r="AG124" s="2" t="inlineStr"/>
      <c r="AH124" s="2" t="inlineStr">
        <is>
          <t>Santiago del Estero</t>
        </is>
      </c>
    </row>
    <row r="125">
      <c r="A125" s="2" t="n">
        <v>111052</v>
      </c>
      <c r="B125" s="2" t="inlineStr">
        <is>
          <t>ER 033 y 034 - Falla de válvula, revisar según error</t>
        </is>
      </c>
      <c r="C125" s="2" t="inlineStr">
        <is>
          <t>-</t>
        </is>
      </c>
      <c r="D125" s="2" t="inlineStr">
        <is>
          <t>Hola buenas tardes,no sale la leche de la cafetera y sale directamente del desagüe</t>
        </is>
      </c>
      <c r="E125" s="2" t="inlineStr">
        <is>
          <t>Urgente</t>
        </is>
      </c>
      <c r="F125" s="2" t="inlineStr">
        <is>
          <t>Estimados, buenos dias.
¿Nos puede brindar un contacto para poder realizar un diagnostico?
Saludos</t>
        </is>
      </c>
      <c r="G125" s="2" t="inlineStr">
        <is>
          <t>Nahuel Loubiere</t>
        </is>
      </c>
      <c r="H125" s="2" t="inlineStr">
        <is>
          <t>2026-02-10 10:09:32</t>
        </is>
      </c>
      <c r="I125" s="2" t="inlineStr">
        <is>
          <t>FTAND</t>
        </is>
      </c>
      <c r="J125" s="2" t="inlineStr">
        <is>
          <t>Tandil</t>
        </is>
      </c>
      <c r="K125" s="2" t="inlineStr"/>
      <c r="L125" s="2" t="inlineStr">
        <is>
          <t>Cerrado</t>
        </is>
      </c>
      <c r="M125" s="2" t="inlineStr">
        <is>
          <t>2026-02-19 01:00:04</t>
        </is>
      </c>
      <c r="N125" s="2" t="inlineStr">
        <is>
          <t>Nahuel Loubiere</t>
        </is>
      </c>
      <c r="O125" s="2" t="inlineStr">
        <is>
          <t>2026-02-14 14:56:54</t>
        </is>
      </c>
      <c r="P125" s="2" t="inlineStr">
        <is>
          <t>Estimados,
Se habla con Mayra y comenta que esto fue resuelto.
Saludos.</t>
        </is>
      </c>
      <c r="Q125" s="2" t="inlineStr">
        <is>
          <t>EQUIPOS;CAFETERAS CIMBALI</t>
        </is>
      </c>
      <c r="R125" s="2" t="inlineStr">
        <is>
          <t>2026-02-07 19:31:11</t>
        </is>
      </c>
      <c r="S125" s="2" t="n">
        <v>1292</v>
      </c>
      <c r="T125" s="2" t="n">
        <v>1192</v>
      </c>
      <c r="U125" s="2" t="inlineStr">
        <is>
          <t>Zona 3+ — GBA Lejano / Interior (&gt;60 km)</t>
        </is>
      </c>
      <c r="V125" s="2" t="n">
        <v>357.9</v>
      </c>
      <c r="W125" s="2" t="n">
        <v>35</v>
      </c>
      <c r="X125" s="2" t="n">
        <v>4</v>
      </c>
      <c r="Y125" s="2" t="n">
        <v>2</v>
      </c>
      <c r="Z125" s="2" t="n">
        <v>0</v>
      </c>
      <c r="AA125" s="2" t="n">
        <v>0</v>
      </c>
      <c r="AB125" s="2" t="n">
        <v>0</v>
      </c>
      <c r="AC125" s="2" t="n">
        <v>0</v>
      </c>
      <c r="AD125" s="2" t="n">
        <v>4</v>
      </c>
      <c r="AE125" s="3">
        <f>AD125*35.0</f>
        <v/>
      </c>
      <c r="AF125" s="2" t="inlineStr">
        <is>
          <t>Skill: Reglas Técnicas</t>
        </is>
      </c>
      <c r="AG125" s="2" t="inlineStr"/>
      <c r="AH125" s="2" t="inlineStr">
        <is>
          <t>Tandil</t>
        </is>
      </c>
    </row>
    <row r="126">
      <c r="A126" s="2" t="n">
        <v>113242</v>
      </c>
      <c r="B126" s="2" t="inlineStr">
        <is>
          <t xml:space="preserve">ER 066 y 067 - Falta de agua </t>
        </is>
      </c>
      <c r="C126" s="2" t="inlineStr">
        <is>
          <t>-</t>
        </is>
      </c>
      <c r="D126" s="2" t="inlineStr"/>
      <c r="E126" s="2" t="inlineStr">
        <is>
          <t>Urgente</t>
        </is>
      </c>
      <c r="F126" s="2" t="inlineStr"/>
      <c r="G126" s="2" t="inlineStr"/>
      <c r="H126" s="2" t="inlineStr"/>
      <c r="I126" s="2" t="inlineStr">
        <is>
          <t>FTAND</t>
        </is>
      </c>
      <c r="J126" s="2" t="inlineStr">
        <is>
          <t>Tandil</t>
        </is>
      </c>
      <c r="K126" s="2" t="inlineStr"/>
      <c r="L126" s="2" t="inlineStr">
        <is>
          <t>Resuelto</t>
        </is>
      </c>
      <c r="M126" s="2" t="inlineStr">
        <is>
          <t>2026-02-27 16:33:22</t>
        </is>
      </c>
      <c r="N126" s="2" t="inlineStr">
        <is>
          <t>Bruno Leyes</t>
        </is>
      </c>
      <c r="O126" s="2" t="inlineStr">
        <is>
          <t>2026-02-27 16:33:22</t>
        </is>
      </c>
      <c r="P126" s="2" t="inlineStr">
        <is>
          <t>Se realizo asistencia remota, se observo que la cafetera tiene tapado el pescador de la caldera ya que no estaba lanzando buena cantidad de agua por la lanza de te y no permite terminar el lavado.</t>
        </is>
      </c>
      <c r="Q126" s="2" t="inlineStr">
        <is>
          <t>EQUIPOS;CAFETERAS CIMBALI</t>
        </is>
      </c>
      <c r="R126" s="2" t="inlineStr">
        <is>
          <t>2026-02-27 13:49:27</t>
        </is>
      </c>
      <c r="S126" s="2" t="n">
        <v>30</v>
      </c>
      <c r="T126" s="2" t="inlineStr"/>
      <c r="U126" s="2" t="inlineStr">
        <is>
          <t>Zona 3+ — GBA Lejano / Interior (&gt;60 km)</t>
        </is>
      </c>
      <c r="V126" s="2" t="n">
        <v>357.9</v>
      </c>
      <c r="W126" s="2" t="n">
        <v>35</v>
      </c>
      <c r="X126" s="2" t="n">
        <v>4</v>
      </c>
      <c r="Y126" s="2" t="n">
        <v>2</v>
      </c>
      <c r="Z126" s="2" t="n">
        <v>0</v>
      </c>
      <c r="AA126" s="2" t="n">
        <v>0</v>
      </c>
      <c r="AB126" s="2" t="n">
        <v>0</v>
      </c>
      <c r="AC126" s="2" t="n">
        <v>0</v>
      </c>
      <c r="AD126" s="2" t="n">
        <v>4</v>
      </c>
      <c r="AE126" s="3">
        <f>AD126*35.0</f>
        <v/>
      </c>
      <c r="AF126" s="2" t="inlineStr">
        <is>
          <t>Skill: Reglas Técnicas</t>
        </is>
      </c>
      <c r="AG126" s="2" t="inlineStr"/>
      <c r="AH126" s="2" t="inlineStr">
        <is>
          <t>Tandil</t>
        </is>
      </c>
    </row>
    <row r="127">
      <c r="A127" s="2" t="n">
        <v>111011</v>
      </c>
      <c r="B127" s="2" t="inlineStr">
        <is>
          <t>ER 021  y 022 - Anomalía en movimiento de las muelas</t>
        </is>
      </c>
      <c r="C127" s="2" t="inlineStr">
        <is>
          <t>-</t>
        </is>
      </c>
      <c r="D127" s="2" t="inlineStr">
        <is>
          <t>Se trabó una molienda, solicitamos asistencia por video llamada</t>
        </is>
      </c>
      <c r="E127" s="2" t="inlineStr">
        <is>
          <t>Urgente</t>
        </is>
      </c>
      <c r="F127" s="2" t="inlineStr"/>
      <c r="G127" s="2" t="inlineStr"/>
      <c r="H127" s="2" t="inlineStr"/>
      <c r="I127" s="2" t="inlineStr">
        <is>
          <t>FUSHA</t>
        </is>
      </c>
      <c r="J127" s="2" t="inlineStr">
        <is>
          <t>Ushuaia</t>
        </is>
      </c>
      <c r="K127" s="2" t="inlineStr"/>
      <c r="L127" s="2" t="inlineStr">
        <is>
          <t>Cerrado</t>
        </is>
      </c>
      <c r="M127" s="2" t="inlineStr">
        <is>
          <t>2026-02-12 01:00:05</t>
        </is>
      </c>
      <c r="N127" s="2" t="inlineStr">
        <is>
          <t>Nahuel Loubiere</t>
        </is>
      </c>
      <c r="O127" s="2" t="inlineStr">
        <is>
          <t>2026-02-07 21:12:18</t>
        </is>
      </c>
      <c r="P127" s="2" t="inlineStr">
        <is>
          <t>Estimados, 
Se da asistencia por llamada. El dia Martes se estara indicando como realizar una puesta a cero
Saludos</t>
        </is>
      </c>
      <c r="Q127" s="2" t="inlineStr">
        <is>
          <t>EQUIPOS;CAFETERAS CIMBALI</t>
        </is>
      </c>
      <c r="R127" s="2" t="inlineStr">
        <is>
          <t>2026-02-07 15:29:48</t>
        </is>
      </c>
      <c r="S127" s="2" t="n">
        <v>60</v>
      </c>
      <c r="T127" s="2" t="inlineStr"/>
      <c r="U127" s="2" t="inlineStr">
        <is>
          <t>Zona 3+ — GBA Lejano / Interior (&gt;60 km)</t>
        </is>
      </c>
      <c r="V127" s="2" t="n">
        <v>2374.4</v>
      </c>
      <c r="W127" s="2" t="n">
        <v>35</v>
      </c>
      <c r="X127" s="2" t="n">
        <v>4</v>
      </c>
      <c r="Y127" s="2" t="n">
        <v>2</v>
      </c>
      <c r="Z127" s="2" t="n">
        <v>0</v>
      </c>
      <c r="AA127" s="2" t="n">
        <v>0</v>
      </c>
      <c r="AB127" s="2" t="n">
        <v>0</v>
      </c>
      <c r="AC127" s="2" t="n">
        <v>0</v>
      </c>
      <c r="AD127" s="2" t="n">
        <v>4</v>
      </c>
      <c r="AE127" s="3">
        <f>AD127*35.0</f>
        <v/>
      </c>
      <c r="AF127" s="2" t="inlineStr">
        <is>
          <t>Skill: Reglas Técnicas</t>
        </is>
      </c>
      <c r="AG127" s="2" t="inlineStr"/>
      <c r="AH127" s="2" t="inlineStr">
        <is>
          <t>Ushuaia</t>
        </is>
      </c>
    </row>
    <row r="128">
      <c r="A128" s="2" t="n">
        <v>111536</v>
      </c>
      <c r="B128" s="2" t="inlineStr">
        <is>
          <t>Otras fallas, indicar número de falla</t>
        </is>
      </c>
      <c r="C128" s="2" t="inlineStr">
        <is>
          <t>-</t>
        </is>
      </c>
      <c r="D128" s="2" t="inlineStr">
        <is>
          <t>Buenas tardes. Se solicita asistencia para una puesta a cero de la cafetera CIMBALLI.
Local Ushuaia FSHU</t>
        </is>
      </c>
      <c r="E128" s="2" t="inlineStr">
        <is>
          <t>Baja</t>
        </is>
      </c>
      <c r="F128" s="2" t="inlineStr">
        <is>
          <t>Buenas tardes, nos podras compartir un contacto asi coordinamos un dia para realizar la videollamada</t>
        </is>
      </c>
      <c r="G128" s="2" t="inlineStr">
        <is>
          <t>Cristian Merlo</t>
        </is>
      </c>
      <c r="H128" s="2" t="inlineStr">
        <is>
          <t>2026-02-23 17:36:21</t>
        </is>
      </c>
      <c r="I128" s="2" t="inlineStr">
        <is>
          <t>FUSHA</t>
        </is>
      </c>
      <c r="J128" s="2" t="inlineStr">
        <is>
          <t>Ushuaia</t>
        </is>
      </c>
      <c r="K128" s="2" t="inlineStr"/>
      <c r="L128" s="2" t="inlineStr">
        <is>
          <t>Resuelto</t>
        </is>
      </c>
      <c r="M128" s="2" t="inlineStr">
        <is>
          <t>2026-02-26 15:16:11</t>
        </is>
      </c>
      <c r="N128" s="2" t="inlineStr">
        <is>
          <t>Cristian Merlo</t>
        </is>
      </c>
      <c r="O128" s="2" t="inlineStr">
        <is>
          <t>2026-02-26 15:16:11</t>
        </is>
      </c>
      <c r="P128" s="2" t="inlineStr">
        <is>
          <t>Buenas tardes, nos confirman que lo estan resolviendo con personal externo. Saludos.</t>
        </is>
      </c>
      <c r="Q128" s="2" t="inlineStr">
        <is>
          <t>EQUIPOS;CAFETERAS CIMBALI</t>
        </is>
      </c>
      <c r="R128" s="2" t="inlineStr">
        <is>
          <t>2026-02-11 18:06:14</t>
        </is>
      </c>
      <c r="S128" s="2" t="n">
        <v>57</v>
      </c>
      <c r="T128" s="2" t="inlineStr"/>
      <c r="U128" s="2" t="inlineStr">
        <is>
          <t>Zona 3+ — GBA Lejano / Interior (&gt;60 km)</t>
        </is>
      </c>
      <c r="V128" s="2" t="n">
        <v>2374.4</v>
      </c>
      <c r="W128" s="2" t="n">
        <v>35</v>
      </c>
      <c r="X128" s="2" t="n">
        <v>4</v>
      </c>
      <c r="Y128" s="2" t="n">
        <v>2</v>
      </c>
      <c r="Z128" s="2" t="n">
        <v>0</v>
      </c>
      <c r="AA128" s="2" t="n">
        <v>0</v>
      </c>
      <c r="AB128" s="2" t="n">
        <v>0</v>
      </c>
      <c r="AC128" s="2" t="n">
        <v>0</v>
      </c>
      <c r="AD128" s="2" t="n">
        <v>4</v>
      </c>
      <c r="AE128" s="3">
        <f>AD128*35.0</f>
        <v/>
      </c>
      <c r="AF128" s="2" t="inlineStr">
        <is>
          <t>Skill: Reglas Técnicas</t>
        </is>
      </c>
      <c r="AG128" s="2" t="inlineStr"/>
      <c r="AH128" s="2" t="inlineStr">
        <is>
          <t>Ushuaia</t>
        </is>
      </c>
    </row>
    <row r="129">
      <c r="A129" s="2" t="n">
        <v>110627</v>
      </c>
      <c r="B129" s="2" t="inlineStr">
        <is>
          <t>ER 021  y 022 - Anomalía en movimiento de las muelas</t>
        </is>
      </c>
      <c r="C129" s="2" t="inlineStr">
        <is>
          <t>-</t>
        </is>
      </c>
      <c r="D129" s="2" t="inlineStr">
        <is>
          <t>Buenos días la cafetera no está moliendo correctamente el café, está saliendo agua.
Necesitamos con suma urgencia su resolución 
Gracias</t>
        </is>
      </c>
      <c r="E129" s="2" t="inlineStr">
        <is>
          <t>Urgente</t>
        </is>
      </c>
      <c r="F129" s="2" t="inlineStr"/>
      <c r="G129" s="2" t="inlineStr"/>
      <c r="H129" s="2" t="inlineStr"/>
      <c r="I129" s="2" t="inlineStr">
        <is>
          <t>FVDP</t>
        </is>
      </c>
      <c r="J129" s="2" t="inlineStr">
        <is>
          <t>Villa del Parque</t>
        </is>
      </c>
      <c r="K129" s="2" t="inlineStr"/>
      <c r="L129" s="2" t="inlineStr">
        <is>
          <t>Cerrado</t>
        </is>
      </c>
      <c r="M129" s="2" t="inlineStr">
        <is>
          <t>2026-02-09 01:00:05</t>
        </is>
      </c>
      <c r="N129" s="2" t="inlineStr">
        <is>
          <t>Nicolas Franco</t>
        </is>
      </c>
      <c r="O129" s="2" t="inlineStr">
        <is>
          <t>2026-02-04 19:04:03</t>
        </is>
      </c>
      <c r="P129" s="2" t="inlineStr">
        <is>
          <t>Cafetera villa del parque ( 1 hora de trabajo)
Cimbali 2095734
Tiket#110627
Se encontró madera en mm2, se realizó puesta cero y calibración en ambas muelas, se realizó limpieza de grupo tanto súperior como inferior ya q se encontraba con mucho excedente de café, se recomienda vaciar la tolva de pastillas cuando el equipo lo demande, ya q al acumularse empieza a caer del lado del grupo afectando al producto final, lo mismo con las cancelaciones, equipo quedó operando</t>
        </is>
      </c>
      <c r="Q129" s="2" t="inlineStr">
        <is>
          <t>EQUIPOS;CAFETERAS CIMBALI</t>
        </is>
      </c>
      <c r="R129" s="2" t="inlineStr">
        <is>
          <t>2026-02-04 09:25:45</t>
        </is>
      </c>
      <c r="S129" s="2" t="n">
        <v>100</v>
      </c>
      <c r="T129" s="2" t="inlineStr"/>
      <c r="U129" s="2" t="inlineStr">
        <is>
          <t>Zona 1 — CABA / GBA Cercano (≤30 km)</t>
        </is>
      </c>
      <c r="V129" s="2" t="n">
        <v>9.699999999999999</v>
      </c>
      <c r="W129" s="2" t="n">
        <v>35</v>
      </c>
      <c r="X129" s="2" t="n">
        <v>2</v>
      </c>
      <c r="Y129" s="2" t="n">
        <v>3</v>
      </c>
      <c r="Z129" s="2" t="n">
        <v>2</v>
      </c>
      <c r="AA129" s="2" t="n">
        <v>0</v>
      </c>
      <c r="AB129" s="2" t="n">
        <v>1</v>
      </c>
      <c r="AC129" s="2" t="n">
        <v>1</v>
      </c>
      <c r="AD129" s="2" t="n">
        <v>2</v>
      </c>
      <c r="AE129" s="3">
        <f>AD129*35.0</f>
        <v/>
      </c>
      <c r="AF129" s="2" t="inlineStr">
        <is>
          <t>Skill: Base Técnicos | Skill: Resolución | Skill: Chat | Skill: Reglas Técnicas</t>
        </is>
      </c>
      <c r="AG129" s="2" t="inlineStr"/>
      <c r="AH129" s="2" t="inlineStr">
        <is>
          <t>Villa del Parque</t>
        </is>
      </c>
    </row>
    <row r="130">
      <c r="A130" s="2" t="n">
        <v>112238</v>
      </c>
      <c r="B130" s="2" t="inlineStr">
        <is>
          <t>Equipo salta el disyuntor o térmica</t>
        </is>
      </c>
      <c r="C130" s="2" t="inlineStr">
        <is>
          <t>-</t>
        </is>
      </c>
      <c r="D130" s="2" t="inlineStr"/>
      <c r="E130" s="2" t="inlineStr">
        <is>
          <t>Urgente</t>
        </is>
      </c>
      <c r="F130" s="2" t="inlineStr">
        <is>
          <t>Estimados,
Cuáles es el problema con el equipo? La imagen adjuntada no muestra error. Eso dicen cuando prenden el equipo.
Saludos</t>
        </is>
      </c>
      <c r="G130" s="2" t="inlineStr">
        <is>
          <t>Nahuel Loubiere</t>
        </is>
      </c>
      <c r="H130" s="2" t="inlineStr">
        <is>
          <t>2026-02-18 16:12:17</t>
        </is>
      </c>
      <c r="I130" s="2" t="inlineStr">
        <is>
          <t>FVDP</t>
        </is>
      </c>
      <c r="J130" s="2" t="inlineStr">
        <is>
          <t>Villa del Parque</t>
        </is>
      </c>
      <c r="K130" s="2" t="inlineStr"/>
      <c r="L130" s="2" t="inlineStr">
        <is>
          <t>Cerrado</t>
        </is>
      </c>
      <c r="M130" s="2" t="inlineStr">
        <is>
          <t>2026-02-24 01:00:05</t>
        </is>
      </c>
      <c r="N130" s="2" t="inlineStr">
        <is>
          <t>Nahuel Loubiere</t>
        </is>
      </c>
      <c r="O130" s="2" t="inlineStr">
        <is>
          <t>2026-02-19 23:36:55</t>
        </is>
      </c>
      <c r="P130" s="2" t="inlineStr">
        <is>
          <t>Estimados,
Esto fue resuelto por Fernando Soria.
Saludos.</t>
        </is>
      </c>
      <c r="Q130" s="2" t="inlineStr">
        <is>
          <t>EQUIPOS;CAFETERAS CIMBALI</t>
        </is>
      </c>
      <c r="R130" s="2" t="inlineStr">
        <is>
          <t>2026-02-18 16:08:14</t>
        </is>
      </c>
      <c r="S130" s="2" t="n">
        <v>30</v>
      </c>
      <c r="T130" s="2" t="inlineStr"/>
      <c r="U130" s="2" t="inlineStr">
        <is>
          <t>Zona 1 — CABA / GBA Cercano (≤30 km)</t>
        </is>
      </c>
      <c r="V130" s="2" t="n">
        <v>9.699999999999999</v>
      </c>
      <c r="W130" s="2" t="n">
        <v>35</v>
      </c>
      <c r="X130" s="2" t="n">
        <v>2</v>
      </c>
      <c r="Y130" s="2" t="n">
        <v>2</v>
      </c>
      <c r="Z130" s="2" t="n">
        <v>0</v>
      </c>
      <c r="AA130" s="2" t="n">
        <v>0</v>
      </c>
      <c r="AB130" s="2" t="n">
        <v>0</v>
      </c>
      <c r="AC130" s="2" t="n">
        <v>0</v>
      </c>
      <c r="AD130" s="2" t="n">
        <v>2</v>
      </c>
      <c r="AE130" s="3">
        <f>AD130*35.0</f>
        <v/>
      </c>
      <c r="AF130" s="2" t="inlineStr">
        <is>
          <t>Skill: Reglas Técnicas</t>
        </is>
      </c>
      <c r="AG130" s="2" t="inlineStr"/>
      <c r="AH130" s="2" t="inlineStr">
        <is>
          <t>Villa del Parque</t>
        </is>
      </c>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row>
  </sheetData>
  <dataValidations count="387">
    <dataValidation sqref="D2" showDropDown="0" showInputMessage="1" showErrorMessage="0" allowBlank="1" promptTitle="📋 Descripción" prompt="Buen día! Contamos en el local con los repuestos para la reparación de la cafetera, las válvulas y sensores que se detallaron en diferentes tk. Para su pronta reparación. Gracias" type="custom">
      <formula1>=TRUE</formula1>
    </dataValidation>
    <dataValidation sqref="D3" showDropDown="0" showInputMessage="1" showErrorMessage="0" allowBlank="1" promptTitle="📋 Descripción" prompt="No sale cafe" type="custom">
      <formula1>=TRUE</formula1>
    </dataValidation>
    <dataValidation sqref="D4" showDropDown="0" showInputMessage="1" showErrorMessage="0" allowBlank="1" promptTitle="📋 Descripción" prompt="Se compró el repuesto que se solicitó tienen que venir a cambiarlo urgente gracias" type="custom">
      <formula1>=TRUE</formula1>
    </dataValidation>
    <dataValidation sqref="D5" showDropDown="0" showInputMessage="1" showErrorMessage="0" allowBlank="1" promptTitle="📋 Descripción" prompt="Puerta automática no funciona no abre ni cierra solo manual hace un mes ." type="custom">
      <formula1>=TRUE</formula1>
    </dataValidation>
    <dataValidation sqref="D6" showDropDown="0" showInputMessage="1" showErrorMessage="0" allowBlank="1" promptTitle="📋 Descripción" prompt="Buen día la cafetera hoy falló y el tobogán se llenó de café húmedo. El dia sábado 14/2 se cambia este repuesto que adjunto para que no suceda este problema y hoy dos semanas después lo volvemos a tener." type="custom">
      <formula1>=TRUE</formula1>
    </dataValidation>
    <dataValidation sqref="D7" showDropDown="0" showInputMessage="1" showErrorMessage="0" allowBlank="1" promptTitle="📋 Descripción" prompt="Buenas no sale café en ninguna molienda." type="custom">
      <formula1>=TRUE</formula1>
    </dataValidation>
    <dataValidation sqref="D8" showDropDown="0" showInputMessage="1" showErrorMessage="0" allowBlank="1" promptTitle="📋 Descripción" prompt="Buenas, tobogan roto y barredora doblada" type="custom">
      <formula1>=TRUE</formula1>
    </dataValidation>
    <dataValidation sqref="D9" showDropDown="0" showInputMessage="1" showErrorMessage="0" allowBlank="1" promptTitle="📋 Descripción" prompt="Buen día salta la térmica de la cafetera" type="custom">
      <formula1>=TRUE</formula1>
    </dataValidation>
    <dataValidation sqref="D10" showDropDown="0" showInputMessage="1" showErrorMessage="0" allowBlank="1" promptTitle="📋 Descripción" prompt="No corta el agua. Error 66" type="custom">
      <formula1>=TRUE</formula1>
    </dataValidation>
    <dataValidation sqref="D11" showDropDown="0" showInputMessage="1" showErrorMessage="0" allowBlank="1" promptTitle="📋 Descripción" prompt="Buen día, salta la térmica cuando prendo la cafetera." type="custom">
      <formula1>=TRUE</formula1>
    </dataValidation>
    <dataValidation sqref="D14" showDropDown="0" showInputMessage="1" showErrorMessage="0" allowBlank="1" promptTitle="📋 Descripción" prompt="No sale cafe y está húmedo por dentro" type="custom">
      <formula1>=TRUE</formula1>
    </dataValidation>
    <dataValidation sqref="D15" showDropDown="0" showInputMessage="1" showErrorMessage="0" allowBlank="1" promptTitle="📋 Descripción" prompt="Se tapa la cafetera" type="custom">
      <formula1>=TRUE</formula1>
    </dataValidation>
    <dataValidation sqref="D16" showDropDown="0" showInputMessage="1" showErrorMessage="0" allowBlank="1" promptTitle="📋 Descripción" prompt="Hola, buen dia. Una de las cafeteras no se encuentra funcionando correctamente. No sale cafe" type="custom">
      <formula1>=TRUE</formula1>
    </dataValidation>
    <dataValidation sqref="D17" showDropDown="0" showInputMessage="1" showErrorMessage="0" allowBlank="1" promptTitle="📋 Descripción" prompt="Shake no funciona!" type="custom">
      <formula1>=TRUE</formula1>
    </dataValidation>
    <dataValidation sqref="D18" showDropDown="0" showInputMessage="1" showErrorMessage="0" allowBlank="1" promptTitle="📋 Descripción" prompt="Muelas de cafetera 2 trabadas más especifico mm1&#10;Cafetera 1 no sale latte ni expreso corto" type="custom">
      <formula1>=TRUE</formula1>
    </dataValidation>
    <dataValidation sqref="D19" showDropDown="0" showInputMessage="1" showErrorMessage="0" allowBlank="1" promptTitle="📋 Descripción" prompt="Ambas cafeteras se encuentran con una de las moliendas trabadas. Por ejemplo: Cafetera 1: solo sale café con capu/cortado. Cafetera 2: Solo con latte y expreso." type="custom">
      <formula1>=TRUE</formula1>
    </dataValidation>
    <dataValidation sqref="D20" showDropDown="0" showInputMessage="1" showErrorMessage="0" allowBlank="1" promptTitle="📋 Descripción" prompt="Hola la cafetera esta pidiendo lavado constantemente ,no sale agua ni café, tira el error 8  ,esta así desde las 6am" type="custom">
      <formula1>=TRUE</formula1>
    </dataValidation>
    <dataValidation sqref="D21" showDropDown="0" showInputMessage="1" showErrorMessage="0" allowBlank="1" promptTitle="📋 Descripción" prompt="Buenos dias! La cafetera tira error 58 y pide el lavado reiteradas veces. No pertime realizar el lavado" type="custom">
      <formula1>=TRUE</formula1>
    </dataValidation>
    <dataValidation sqref="D22" showDropDown="0" showInputMessage="1" showErrorMessage="0" allowBlank="1" promptTitle="📋 Descripción" prompt="Buenas,al día de la fecha la cafetera no logra realizar el lavado de leche,haciendo que no la podamos utilizar.&#10;Aguardo respuesta, muchas gracias" type="custom">
      <formula1>=TRUE</formula1>
    </dataValidation>
    <dataValidation sqref="D24" showDropDown="0" showInputMessage="1" showErrorMessage="0" allowBlank="1" promptTitle="📋 Descripción" prompt="Buenos días. El día sábado le cambiaron repuestos al equipo y al día de hoy seguimos sin poder sacar café, el técnico que vino el sábado dijo que ayer domingo iba a venir otro técnico pero no vino nadie. Va una semana sin vender café, es realmente ur" type="custom">
      <formula1>=TRUE</formula1>
    </dataValidation>
    <dataValidation sqref="D25" showDropDown="0" showInputMessage="1" showErrorMessage="0" allowBlank="1" promptTitle="📋 Descripción" prompt="Buenos dias, antes de ayer nos dejaron una cafetera de prestamo, ayer teniamos problema con los cafes ya que salian frios y hoy al intentar prenderla me hizo saltar en varias ocasiones el diyuntor, necesito una solución urgente ya que hace dias venim" type="custom">
      <formula1>=TRUE</formula1>
    </dataValidation>
    <dataValidation sqref="D26" showDropDown="0" showInputMessage="1" showErrorMessage="0" allowBlank="1" promptTitle="📋 Descripción" prompt="Buenas tardes, el día de ayer nos dejaron una cafetera de préstamo, estaba todo funcionando correctamente hasta el día de hoy que el latte, lágrima y capuchino empezaron a salir fríos, también la cafetera empezó a pedir el lavado de leche a cada 15 m" type="custom">
      <formula1>=TRUE</formula1>
    </dataValidation>
    <dataValidation sqref="D27" showDropDown="0" showInputMessage="1" showErrorMessage="0" allowBlank="1" promptTitle="📋 Descripción" prompt="Buen dia, ayer realizamos un ticket ya que saltaba el diyuntor al ensender la cafetera, vinieron a verla, supuestamente habia quedado ok y hoy devuelta estoy teniendo el mismo problema, necesito alguna solución urgente" type="custom">
      <formula1>=TRUE</formula1>
    </dataValidation>
    <dataValidation sqref="D28" showDropDown="0" showInputMessage="1" showErrorMessage="0" allowBlank="1" promptTitle="📋 Descripción" prompt="Corresponde a la acarameladora que falla y no puede girar" type="custom">
      <formula1>=TRUE</formula1>
    </dataValidation>
    <dataValidation sqref="D29" showDropDown="0" showInputMessage="1" showErrorMessage="0" allowBlank="1" promptTitle="📋 Descripción" prompt="Pierde agua y salta térmica" type="custom">
      <formula1>=TRUE</formula1>
    </dataValidation>
    <dataValidation sqref="D30" showDropDown="0" showInputMessage="1" showErrorMessage="0" allowBlank="1" promptTitle="📋 Descripción" prompt="Se detalla la supervisora iris con equipo mtm manda fotos y videos respeto a la perdida de agua , cafetera 2 lado catta" type="custom">
      <formula1>=TRUE</formula1>
    </dataValidation>
    <dataValidation sqref="D31" showDropDown="0" showInputMessage="1" showErrorMessage="0" allowBlank="1" promptTitle="📋 Descripción" prompt="Estimados, buenas tardes.&#10;Solicito la visita de un técnico debido a una falla en el funcionamiento de la molienda 1 de la cafetera. &#10;Quedamos a la espera de una respuesta.&#10;Desde ya, muchas gracias." type="custom">
      <formula1>=TRUE</formula1>
    </dataValidation>
    <dataValidation sqref="D32" showDropDown="0" showInputMessage="1" showErrorMessage="0" allowBlank="1" promptTitle="📋 Descripción" prompt="No contamos con la segunda línea ya que la Pc no funciona la conexión de red" type="custom">
      <formula1>=TRUE</formula1>
    </dataValidation>
    <dataValidation sqref="D33" showDropDown="0" showInputMessage="1" showErrorMessage="0" allowBlank="1" promptTitle="📋 Descripción" prompt="Buenas tardes, el café sale corto y aguado. No sale la espuma correspondiente y a su vez no contamos con el filtro de la leche" type="custom">
      <formula1>=TRUE</formula1>
    </dataValidation>
    <dataValidation sqref="D34" showDropDown="0" showInputMessage="1" showErrorMessage="0" allowBlank="1" promptTitle="📋 Descripción" prompt="Salta la termica porque el agua pierde y sale por otro lado y no hace ningun cafe" type="custom">
      <formula1>=TRUE</formula1>
    </dataValidation>
    <dataValidation sqref="D35" showDropDown="0" showInputMessage="1" showErrorMessage="0" allowBlank="1" promptTitle="📋 Descripción" prompt="Buenass se nos traban las moliendas y la cafetera dice error 55" type="custom">
      <formula1>=TRUE</formula1>
    </dataValidation>
    <dataValidation sqref="D36" showDropDown="0" showInputMessage="1" showErrorMessage="0" allowBlank="1" promptTitle="📋 Descripción" prompt="Hola!! Las molienda siguen trabándose mucho. Las muelas son nuevas ." type="custom">
      <formula1>=TRUE</formula1>
    </dataValidation>
    <dataValidation sqref="D37" showDropDown="0" showInputMessage="1" showErrorMessage="0" allowBlank="1" promptTitle="📋 Descripción" prompt="Buen día! La cafetera pierde agua por la parte de abajo. Y salta la térmica. Por favor solicito revisión" type="custom">
      <formula1>=TRUE</formula1>
    </dataValidation>
    <dataValidation sqref="D38" showDropDown="0" showInputMessage="1" showErrorMessage="0" allowBlank="1" promptTitle="📋 Descripción" prompt="Buenos días, generamos tk para la revisión y colocación de los filmsback luminosos. Gracias" type="custom">
      <formula1>=TRUE</formula1>
    </dataValidation>
    <dataValidation sqref="D39" showDropDown="0" showInputMessage="1" showErrorMessage="0" allowBlank="1" promptTitle="📋 Descripción" prompt="Buen día, además del error sigue saliendo agua por abajo de la cafetera derramando café" type="custom">
      <formula1>=TRUE</formula1>
    </dataValidation>
    <dataValidation sqref="D40" showDropDown="0" showInputMessage="1" showErrorMessage="0" allowBlank="1" promptTitle="📋 Descripción" prompt="Buenas tardes, solicito a la brevedad una visita ya que la molienda se encuentra trabada y no sale el café" type="custom">
      <formula1>=TRUE</formula1>
    </dataValidation>
    <dataValidation sqref="D41" showDropDown="0" showInputMessage="1" showErrorMessage="0" allowBlank="1" promptTitle="📋 Descripción" prompt="Buenos días, pierde agua por debajo no sale café y salta la térmica" type="custom">
      <formula1>=TRUE</formula1>
    </dataValidation>
    <dataValidation sqref="D42" showDropDown="0" showInputMessage="1" showErrorMessage="0" allowBlank="1" promptTitle="📋 Descripción" prompt="No sale leche" type="custom">
      <formula1>=TRUE</formula1>
    </dataValidation>
    <dataValidation sqref="D43" showDropDown="0" showInputMessage="1" showErrorMessage="0" allowBlank="1" promptTitle="📋 Descripción" prompt="Buenas noches, &#10;La cafetera pierde agua. &#10;Repuesto pedido anteriormente: Manguera de desagote azul ya presente en el local." type="custom">
      <formula1>=TRUE</formula1>
    </dataValidation>
    <dataValidation sqref="D44" showDropDown="0" showInputMessage="1" showErrorMessage="0" allowBlank="1" promptTitle="📋 Descripción" prompt="Ambas moliendas trabadas" type="custom">
      <formula1>=TRUE</formula1>
    </dataValidation>
    <dataValidation sqref="D45" showDropDown="0" showInputMessage="1" showErrorMessage="0" allowBlank="1" promptTitle="📋 Descripción" prompt="No sale café de ninguna de las dos moliendas." type="custom">
      <formula1>=TRUE</formula1>
    </dataValidation>
    <dataValidation sqref="D46" showDropDown="0" showInputMessage="1" showErrorMessage="0" allowBlank="1" promptTitle="📋 Descripción" prompt="Buenas tardes, se traban las moliendas a cada rato." type="custom">
      <formula1>=TRUE</formula1>
    </dataValidation>
    <dataValidation sqref="D47" showDropDown="0" showInputMessage="1" showErrorMessage="0" allowBlank="1" promptTitle="📋 Descripción" prompt="Buenas noches, la cafetera esta haciendo saltar un disyuntor" type="custom">
      <formula1>=TRUE</formula1>
    </dataValidation>
    <dataValidation sqref="D48" showDropDown="0" showInputMessage="1" showErrorMessage="0" allowBlank="1" promptTitle="📋 Descripción" prompt="Hace 2 dias cambiaron varios repuestos,  no anda la mm1 y encima quedó como desconectada la vaporera de la leche y sale vapor por cualquier lado. Lo arreglaron a medias" type="custom">
      <formula1>=TRUE</formula1>
    </dataValidation>
    <dataValidation sqref="D49" showDropDown="0" showInputMessage="1" showErrorMessage="0" allowBlank="1" promptTitle="📋 Descripción" prompt="Están los repuestos para cambiar." type="custom">
      <formula1>=TRUE</formula1>
    </dataValidation>
    <dataValidation sqref="D50" showDropDown="0" showInputMessage="1" showErrorMessage="0" allowBlank="1" promptTitle="📋 Descripción" prompt="Estimados, solicitamos la colocación del cuadro luminoso en la parte frontal del local Lomas Auto &#10; Quedo a disposición." type="custom">
      <formula1>=TRUE</formula1>
    </dataValidation>
    <dataValidation sqref="D51" showDropDown="0" showInputMessage="1" showErrorMessage="0" allowBlank="1" promptTitle="📋 Descripción" prompt="No se llenan los cafés , la leche sale sin espuma" type="custom">
      <formula1>=TRUE</formula1>
    </dataValidation>
    <dataValidation sqref="D52" showDropDown="0" showInputMessage="1" showErrorMessage="0" allowBlank="1" promptTitle="📋 Descripción" prompt="Buenas nesesito que vengan a ver la cafetera &#10;Pierde agua y se traban muccho las miliendas" type="custom">
      <formula1>=TRUE</formula1>
    </dataValidation>
    <dataValidation sqref="D53" showDropDown="0" showInputMessage="1" showErrorMessage="0" allowBlank="1" promptTitle="📋 Descripción" prompt="Buenas tardes.&#10;Solicito el adaptador de carnes junior para broiler JF64.&#10;Muchas gracias" type="custom">
      <formula1>=TRUE</formula1>
    </dataValidation>
    <dataValidation sqref="D54" showDropDown="0" showInputMessage="1" showErrorMessage="0" allowBlank="1" promptTitle="📋 Descripción" prompt="Marca error 8" type="custom">
      <formula1>=TRUE</formula1>
    </dataValidation>
    <dataValidation sqref="D58" showDropDown="0" showInputMessage="1" showErrorMessage="0" allowBlank="1" promptTitle="📋 Descripción" prompt="Buenas tardes, solicito un técnico para ver los siguientes inconvenientes de ambas cafeteras: &#10;&#10;Cafetera 1: falta el pastico de ajustes de los recipientes, Limpieza interna &#10;Temperatura de agua y leche &#10;Mm 1 Est trabada cafetera derecha&#10;&#10;Cafetera 2 t" type="custom">
      <formula1>=TRUE</formula1>
    </dataValidation>
    <dataValidation sqref="D59" showDropDown="0" showInputMessage="1" showErrorMessage="0" allowBlank="1" promptTitle="📋 Descripción" prompt="Buenos días, genero tk ya que tengo ambas cimballis inoperativas, una esta fría, no calienta, no sale leche ni café. La otra no sale leche, necesito mto urgente por favor" type="custom">
      <formula1>=TRUE</formula1>
    </dataValidation>
    <dataValidation sqref="D60" showDropDown="0" showInputMessage="1" showErrorMessage="0" allowBlank="1" promptTitle="📋 Descripción" prompt="Hola buena, genero tk para que puedan venir a colocar la caterlera de luz !" type="custom">
      <formula1>=TRUE</formula1>
    </dataValidation>
    <dataValidation sqref="D61" showDropDown="0" showInputMessage="1" showErrorMessage="0" allowBlank="1" promptTitle="📋 Descripción" prompt="falla a la hora de salir café" type="custom">
      <formula1>=TRUE</formula1>
    </dataValidation>
    <dataValidation sqref="D62" showDropDown="0" showInputMessage="1" showErrorMessage="0" allowBlank="1" promptTitle="📋 Descripción" prompt="Hola buenos dias, la acarameladora me quema los panes, tienen los botones reguladores falseados!" type="custom">
      <formula1>=TRUE</formula1>
    </dataValidation>
    <dataValidation sqref="D63" showDropDown="0" showInputMessage="1" showErrorMessage="0" allowBlank="1" promptTitle="📋 Descripción" prompt="Hola, buenos días.&#10;Informamos inconveniente con la cafetera Cimbali. El equipo no llega a la temperatura necesaria, por lo que no se pueden realizar cafés ni utilizar la cafetera de ninguna forma.&#10;&#10;Este problema ya fue revisado en una visita anterior" type="custom">
      <formula1>=TRUE</formula1>
    </dataValidation>
    <dataValidation sqref="D64" showDropDown="0" showInputMessage="1" showErrorMessage="0" allowBlank="1" promptTitle="📋 Descripción" prompt="Hola buen dia! El dia 4/2 #110366 recibimos la visita técnica y el dia de hoy la máquina pide lavado y sale agua por debajo,a su vez una manguera se encuentra salida,salta la termina y se encuentra en corto,solicito una visita técnica y de ser posibl" type="custom">
      <formula1>=TRUE</formula1>
    </dataValidation>
    <dataValidation sqref="D65" showDropDown="0" showInputMessage="1" showErrorMessage="0" allowBlank="1" promptTitle="📋 Descripción" prompt="Hola buenas noches,el día de hoy nos encontramos utilizando una cafetera ya que la otra tiene problemas con el suministro de agua nuevamente,ya vinieron a verla anteriormente y seguimos con el mismo problema" type="custom">
      <formula1>=TRUE</formula1>
    </dataValidation>
    <dataValidation sqref="D66" showDropDown="0" showInputMessage="1" showErrorMessage="0" allowBlank="1" promptTitle="📋 Descripción" prompt="Hola buenas tardes,una de las cafeteras no tuene temperatura del 18/2 hasta el momento ya realice un tik anteriormente #112256" type="custom">
      <formula1>=TRUE</formula1>
    </dataValidation>
    <dataValidation sqref="D67" showDropDown="0" showInputMessage="1" showErrorMessage="0" allowBlank="1" promptTitle="📋 Descripción" prompt="No sale café" type="custom">
      <formula1>=TRUE</formula1>
    </dataValidation>
    <dataValidation sqref="D68" showDropDown="0" showInputMessage="1" showErrorMessage="0" allowBlank="1" promptTitle="📋 Descripción" prompt="Hola buen día, el café no sale espuma sale mira agua" type="custom">
      <formula1>=TRUE</formula1>
    </dataValidation>
    <dataValidation sqref="D69" showDropDown="0" showInputMessage="1" showErrorMessage="0" allowBlank="1" promptTitle="📋 Descripción" prompt="No sale leche, solo vapor" type="custom">
      <formula1>=TRUE</formula1>
    </dataValidation>
    <dataValidation sqref="D70" showDropDown="0" showInputMessage="1" showErrorMessage="0" allowBlank="1" promptTitle="📋 Descripción" prompt="No sale leche, solo sale vapor" type="custom">
      <formula1>=TRUE</formula1>
    </dataValidation>
    <dataValidation sqref="D71" showDropDown="0" showInputMessage="1" showErrorMessage="0" allowBlank="1" promptTitle="📋 Descripción" prompt="No sale leche, solo vapor" type="custom">
      <formula1>=TRUE</formula1>
    </dataValidation>
    <dataValidation sqref="D72" showDropDown="0" showInputMessage="1" showErrorMessage="0" allowBlank="1" promptTitle="📋 Descripción" prompt="Buenas tardes en el equipo no dale café,ponemos la opción y no sale agua tampoco &#10;," type="custom">
      <formula1>=TRUE</formula1>
    </dataValidation>
    <dataValidation sqref="D73" showDropDown="0" showInputMessage="1" showErrorMessage="0" allowBlank="1" promptTitle="📋 Descripción" prompt="Horno de práctica,  no tuesta bien el pan. Tarda mucho y sale un error de magnetron" type="custom">
      <formula1>=TRUE</formula1>
    </dataValidation>
    <dataValidation sqref="D74" showDropDown="0" showInputMessage="1" showErrorMessage="0" allowBlank="1" promptTitle="📋 Descripción" prompt="Cambiar repuesto ya se encuentra en el local" type="custom">
      <formula1>=TRUE</formula1>
    </dataValidation>
    <dataValidation sqref="D75" showDropDown="0" showInputMessage="1" showErrorMessage="0" allowBlank="1" promptTitle="📋 Descripción" prompt="Dos microondas sin calentar" type="custom">
      <formula1>=TRUE</formula1>
    </dataValidation>
    <dataValidation sqref="D76" showDropDown="0" showInputMessage="1" showErrorMessage="0" allowBlank="1" promptTitle="📋 Descripción" prompt="Hola! No me funciona el horno. Prende pero el motor no arranca." type="custom">
      <formula1>=TRUE</formula1>
    </dataValidation>
    <dataValidation sqref="D77" showDropDown="0" showInputMessage="1" showErrorMessage="0" allowBlank="1" promptTitle="📋 Descripción" prompt="Buenas tardes! Las moliendas no muelan el café!" type="custom">
      <formula1>=TRUE</formula1>
    </dataValidation>
    <dataValidation sqref="D78" showDropDown="0" showInputMessage="1" showErrorMessage="0" allowBlank="1" promptTitle="📋 Descripción" prompt="Ambas cafeteras dejan los cafés sin rellenar.&#10;Pastillas de café salen incompletas y rotas.&#10;Suele saltar la térmica de la cafetera izquierda" type="custom">
      <formula1>=TRUE</formula1>
    </dataValidation>
    <dataValidation sqref="D79" showDropDown="0" showInputMessage="1" showErrorMessage="0" allowBlank="1" promptTitle="📋 Descripción" prompt="- Bases de carteles lijar y pintar , atornillar los nuevos🔴&#10;- ⁠Arreglar enchufes de cocina🔴&#10;- ⁠Arreglar durlok de escalera🔴&#10;- ⁠Arreglar techo de luces de cocina🔴&#10;- ⁠Pintar columnas &#10;- ⁠Cambiar portafoco de bin de papas y asegurar luces🔴&#10;- ⁠Colocar ca" type="custom">
      <formula1>=TRUE</formula1>
    </dataValidation>
    <dataValidation sqref="D80" showDropDown="0" showInputMessage="1" showErrorMessage="0" allowBlank="1" promptTitle="📋 Descripción" prompt="El café no cumple con la calidad y la calibración del café no es la correcta." type="custom">
      <formula1>=TRUE</formula1>
    </dataValidation>
    <dataValidation sqref="D81" showDropDown="0" showInputMessage="1" showErrorMessage="0" allowBlank="1" promptTitle="📋 Descripción" prompt="Cafetera presenta anomalías y pide el lavado reiterada veces, además tiene el armazón izquierdo fuera de posición." type="custom">
      <formula1>=TRUE</formula1>
    </dataValidation>
    <dataValidation sqref="D82" showDropDown="0" showInputMessage="1" showErrorMessage="0" allowBlank="1" promptTitle="📋 Descripción" prompt="Buenas tardes, estamos necesitando instalar la nueva melita y en lo posible con urgencia ya que no damos abasto con la cimballi" type="custom">
      <formula1>=TRUE</formula1>
    </dataValidation>
    <dataValidation sqref="D83" showDropDown="0" showInputMessage="1" showErrorMessage="0" allowBlank="1" promptTitle="📋 Descripción" prompt="El CPU de local el cual da a funcionar el sistema operativo de cinet nose matiene encendido , impidiendo realizar tareas administrativas en las pantallas por que estas no encienden." type="custom">
      <formula1>=TRUE</formula1>
    </dataValidation>
    <dataValidation sqref="D84" showDropDown="0" showInputMessage="1" showErrorMessage="0" allowBlank="1" promptTitle="📋 Descripción" prompt="hola buenas, estoy teniendo problemas con el sistema de cinet, se me apaga el equipo lo prendo y se vuelve apagar, necesitaría que lo vengan a ver urgente, ya que no me deja operar como corresponde. gracias" type="custom">
      <formula1>=TRUE</formula1>
    </dataValidation>
    <dataValidation sqref="D85" showDropDown="0" showInputMessage="1" showErrorMessage="0" allowBlank="1" promptTitle="📋 Descripción" prompt="No sale cafe" type="custom">
      <formula1>=TRUE</formula1>
    </dataValidation>
    <dataValidation sqref="D86" showDropDown="0" showInputMessage="1" showErrorMessage="0" allowBlank="1" promptTitle="📋 Descripción" prompt="Buenas. La cafetera no hace café." type="custom">
      <formula1>=TRUE</formula1>
    </dataValidation>
    <dataValidation sqref="D87" showDropDown="0" showInputMessage="1" showErrorMessage="0" allowBlank="1" promptTitle="📋 Descripción" prompt="Buenas! La cimballi no larga agua caliente para te, el agua es tibia casi fria" type="custom">
      <formula1>=TRUE</formula1>
    </dataValidation>
    <dataValidation sqref="D88" showDropDown="0" showInputMessage="1" showErrorMessage="0" allowBlank="1" promptTitle="📋 Descripción" prompt="Buenas, tenemos el horno UNOX sin funcionar" type="custom">
      <formula1>=TRUE</formula1>
    </dataValidation>
    <dataValidation sqref="D89" showDropDown="0" showInputMessage="1" showErrorMessage="0" allowBlank="1" promptTitle="📋 Descripción" prompt="Buenas, no funciona el condensador trasero de la cámara congeladora y las luces del sector trasero no funciona" type="custom">
      <formula1>=TRUE</formula1>
    </dataValidation>
    <dataValidation sqref="D90" showDropDown="0" showInputMessage="1" showErrorMessage="0" allowBlank="1" promptTitle="📋 Descripción" prompt="Solicito mtm para poner portarollos en baños. Gracias" type="custom">
      <formula1>=TRUE</formula1>
    </dataValidation>
    <dataValidation sqref="D91" showDropDown="0" showInputMessage="1" showErrorMessage="0" allowBlank="1" promptTitle="📋 Descripción" prompt="Buenas, cafetera izquierda moliendas trabadas." type="custom">
      <formula1>=TRUE</formula1>
    </dataValidation>
    <dataValidation sqref="D92" showDropDown="0" showInputMessage="1" showErrorMessage="0" allowBlank="1" promptTitle="📋 Descripción" prompt="Buenas, se solicita tecnico para soldar pata de Bacha de baño de discapacitados." type="custom">
      <formula1>=TRUE</formula1>
    </dataValidation>
    <dataValidation sqref="D93" showDropDown="0" showInputMessage="1" showErrorMessage="0" allowBlank="1" promptTitle="📋 Descripción" prompt="No funcionan molienda de cafetera 1" type="custom">
      <formula1>=TRUE</formula1>
    </dataValidation>
    <dataValidation sqref="D94" showDropDown="0" showInputMessage="1" showErrorMessage="0" allowBlank="1" promptTitle="📋 Descripción" prompt="Buenas, cafetera 1 está trabada molienda 1. Necesitamos un tecnico por favor" type="custom">
      <formula1>=TRUE</formula1>
    </dataValidation>
    <dataValidation sqref="D95" showDropDown="0" showInputMessage="1" showErrorMessage="0" allowBlank="1" promptTitle="📋 Descripción" prompt="Tenemos varios zócalos de pared caídos" type="custom">
      <formula1>=TRUE</formula1>
    </dataValidation>
    <dataValidation sqref="D96" showDropDown="0" showInputMessage="1" showErrorMessage="0" allowBlank="1" promptTitle="📋 Descripción" prompt="Nos faltan trabas del phu (dos)" type="custom">
      <formula1>=TRUE</formula1>
    </dataValidation>
    <dataValidation sqref="D97" showDropDown="0" showInputMessage="1" showErrorMessage="0" allowBlank="1" promptTitle="📋 Descripción" prompt="Tenemos pisos rotos en sector cocina, servicio y producción" type="custom">
      <formula1>=TRUE</formula1>
    </dataValidation>
    <dataValidation sqref="D98" showDropDown="0" showInputMessage="1" showErrorMessage="0" allowBlank="1" promptTitle="📋 Descripción" prompt="Arreglar enchufes de abajo del Broiler." type="custom">
      <formula1>=TRUE</formula1>
    </dataValidation>
    <dataValidation sqref="D99" showDropDown="0" showInputMessage="1" showErrorMessage="0" allowBlank="1" promptTitle="📋 Descripción" prompt="Buenas, tenemos luces quemadas en varios sectores del local" type="custom">
      <formula1>=TRUE</formula1>
    </dataValidation>
    <dataValidation sqref="D100" showDropDown="0" showInputMessage="1" showErrorMessage="0" allowBlank="1" promptTitle="📋 Descripción" prompt="Cableado de hielera pelado y hace corto" type="custom">
      <formula1>=TRUE</formula1>
    </dataValidation>
    <dataValidation sqref="D101" showDropDown="0" showInputMessage="1" showErrorMessage="0" allowBlank="1" promptTitle="📋 Descripción" prompt="Verificar clabeado interno del totem, ya que hace corto y se apaga." type="custom">
      <formula1>=TRUE</formula1>
    </dataValidation>
    <dataValidation sqref="D102" showDropDown="0" showInputMessage="1" showErrorMessage="0" allowBlank="1" promptTitle="📋 Descripción" prompt="Colocar azulejos y zócalos caídos de todo el local." type="custom">
      <formula1>=TRUE</formula1>
    </dataValidation>
    <dataValidation sqref="D103" showDropDown="0" showInputMessage="1" showErrorMessage="0" allowBlank="1" promptTitle="📋 Descripción" prompt="Reparar techo de Durlock de baño de hombres." type="custom">
      <formula1>=TRUE</formula1>
    </dataValidation>
    <dataValidation sqref="D104" showDropDown="0" showInputMessage="1" showErrorMessage="0" allowBlank="1" promptTitle="📋 Descripción" prompt="Colocar luces faltantes en lobby y baños." type="custom">
      <formula1>=TRUE</formula1>
    </dataValidation>
    <dataValidation sqref="D105" showDropDown="0" showInputMessage="1" showErrorMessage="0" allowBlank="1" promptTitle="📋 Descripción" prompt="Llego la bomba nueva, precisamos colocarla" type="custom">
      <formula1>=TRUE</formula1>
    </dataValidation>
    <dataValidation sqref="D106" showDropDown="0" showInputMessage="1" showErrorMessage="0" allowBlank="1" promptTitle="📋 Descripción" prompt="Se colocan filtros de cafetera solicitados, cafetera bloqueada." type="custom">
      <formula1>=TRUE</formula1>
    </dataValidation>
    <dataValidation sqref="D107" showDropDown="0" showInputMessage="1" showErrorMessage="0" allowBlank="1" promptTitle="📋 Descripción" prompt="Horno Pratica - No tuesta el pan como corresponde, se siente frío el interior del tostado." type="custom">
      <formula1>=TRUE</formula1>
    </dataValidation>
    <dataValidation sqref="D108" showDropDown="0" showInputMessage="1" showErrorMessage="0" allowBlank="1" promptTitle="📋 Descripción" prompt="De ambas tolvas no sale cafe.&#10;No da ningun error" type="custom">
      <formula1>=TRUE</formula1>
    </dataValidation>
    <dataValidation sqref="D109" showDropDown="0" showInputMessage="1" showErrorMessage="0" allowBlank="1" promptTitle="📋 Descripción" prompt="Buenas tardes, quería solicitar una revisión a la cafetera debido a que estos días tuvimos problemas con la misma, la falla que tiene es que al momento de realizar al rededor de 2/4 cafés a la vez se enfría el equipo , debemos esperar que vuelva a le" type="custom">
      <formula1>=TRUE</formula1>
    </dataValidation>
    <dataValidation sqref="D110" showDropDown="0" showInputMessage="1" showErrorMessage="0" allowBlank="1" promptTitle="📋 Descripción" prompt="Estimados buen día, tenemos una falla en la maquina cada vez que hacemos un cafe de cualquier tipo toda la leche se deborda ya me fije donde se encuentra colocada las mangueras y estan ok! La cañería no esta tapada tampoco. &#10;Es un problema de la maqu" type="custom">
      <formula1>=TRUE</formula1>
    </dataValidation>
    <dataValidation sqref="D111" showDropDown="0" showInputMessage="1" showErrorMessage="0" allowBlank="1" promptTitle="📋 Descripción" prompt="Se escuchan ruidos de explosiones, se apaga la cimballi y luego prende pero tarda demasiado en tomar temperatura." type="custom">
      <formula1>=TRUE</formula1>
    </dataValidation>
    <dataValidation sqref="D112" showDropDown="0" showInputMessage="1" showErrorMessage="0" allowBlank="1" promptTitle="📋 Descripción" prompt="Buen día! Cafe aguado y sin espuma.&#10;Se deja de vender ya que tenemos quejas de clientes por mal sabor." type="custom">
      <formula1>=TRUE</formula1>
    </dataValidation>
    <dataValidation sqref="D113" showDropDown="0" showInputMessage="1" showErrorMessage="0" allowBlank="1" promptTitle="📋 Descripción" prompt="Error crítico" type="custom">
      <formula1>=TRUE</formula1>
    </dataValidation>
    <dataValidation sqref="D115" showDropDown="0" showInputMessage="1" showErrorMessage="0" allowBlank="1" promptTitle="📋 Descripción" prompt="Urgente , el cafe sale aguado" type="custom">
      <formula1>=TRUE</formula1>
    </dataValidation>
    <dataValidation sqref="D116" showDropDown="0" showInputMessage="1" showErrorMessage="0" allowBlank="1" promptTitle="📋 Descripción" prompt="Buenas, tenemos que cambiar el timer de la freidora ya que el mismo se deterioró, solo tenemos que poner uno nuevo" type="custom">
      <formula1>=TRUE</formula1>
    </dataValidation>
    <dataValidation sqref="D117" showDropDown="0" showInputMessage="1" showErrorMessage="0" allowBlank="1" promptTitle="📋 Descripción" prompt="Hola buenas, de la segunda cafetera sale agua y leche por debajo de una manguera qué tiene, pero sale todo... muchisima" type="custom">
      <formula1>=TRUE</formula1>
    </dataValidation>
    <dataValidation sqref="D118" showDropDown="0" showInputMessage="1" showErrorMessage="0" allowBlank="1" promptTitle="📋 Descripción" prompt="Buenas, la cafetera pierde agua por este sector" type="custom">
      <formula1>=TRUE</formula1>
    </dataValidation>
    <dataValidation sqref="D119" showDropDown="0" showInputMessage="1" showErrorMessage="0" allowBlank="1" promptTitle="📋 Descripción" prompt="Buenas, la cafetera presenta una perdida de agua desde la valvula de te, adjunto fotos.&#10;Por favor pido solución cuanto antes" type="custom">
      <formula1>=TRUE</formula1>
    </dataValidation>
    <dataValidation sqref="D120" showDropDown="0" showInputMessage="1" showErrorMessage="0" allowBlank="1" promptTitle="📋 Descripción" prompt="No calienta el café, por ende no se puede usar" type="custom">
      <formula1>=TRUE</formula1>
    </dataValidation>
    <dataValidation sqref="D122" showDropDown="0" showInputMessage="1" showErrorMessage="0" allowBlank="1" promptTitle="📋 Descripción" prompt="Buenos días ... &#10;En el día de ayer se presentó Francisco de Mantenimiento propios en nuestro local para arreglar las cafeteras  1 sola había quedado operativa , Pero no realiza espuma , la misma solo funcionó el día de ayer. Hoy nuevamente volvió a f" type="custom">
      <formula1>=TRUE</formula1>
    </dataValidation>
    <dataValidation sqref="D124" showDropDown="0" showInputMessage="1" showErrorMessage="0" allowBlank="1" promptTitle="📋 Descripción" prompt="MM2 TRABADA NO SALE CAFE, TAMPOCO SE SIENTE EL RUIDO DE LAS MIENDAS ACCIONANDO, SALE AGUA" type="custom">
      <formula1>=TRUE</formula1>
    </dataValidation>
    <dataValidation sqref="D125" showDropDown="0" showInputMessage="1" showErrorMessage="0" allowBlank="1" promptTitle="📋 Descripción" prompt="Hola buenas tardes,no sale la leche de la cafetera y sale directamente del desagüe" type="custom">
      <formula1>=TRUE</formula1>
    </dataValidation>
    <dataValidation sqref="D127" showDropDown="0" showInputMessage="1" showErrorMessage="0" allowBlank="1" promptTitle="📋 Descripción" prompt="Se trabó una molienda, solicitamos asistencia por video llamada" type="custom">
      <formula1>=TRUE</formula1>
    </dataValidation>
    <dataValidation sqref="D128" showDropDown="0" showInputMessage="1" showErrorMessage="0" allowBlank="1" promptTitle="📋 Descripción" prompt="Buenas tardes. Se solicita asistencia para una puesta a cero de la cafetera CIMBALLI.&#10;Local Ushuaia FSHU" type="custom">
      <formula1>=TRUE</formula1>
    </dataValidation>
    <dataValidation sqref="D129" showDropDown="0" showInputMessage="1" showErrorMessage="0" allowBlank="1" promptTitle="📋 Descripción" prompt="Buenos días la cafetera no está moliendo correctamente el café, está saliendo agua.&#10;Necesitamos con suma urgencia su resolución &#10;Gracias" type="custom">
      <formula1>=TRUE</formula1>
    </dataValidation>
    <dataValidation sqref="F5" showDropDown="0" showInputMessage="1" showErrorMessage="0" allowBlank="1" promptTitle="📋 Última Respuesta" prompt="Buen día! Hay novedades de este tk??? Gracias" type="custom">
      <formula1>=TRUE</formula1>
    </dataValidation>
    <dataValidation sqref="F31" showDropDown="0" showInputMessage="1" showErrorMessage="0" allowBlank="1" promptTitle="📋 Última Respuesta" prompt="Confirmando las condiciones de servicio." type="custom">
      <formula1>=TRUE</formula1>
    </dataValidation>
    <dataValidation sqref="F39" showDropDown="0" showInputMessage="1" showErrorMessage="0" allowBlank="1" promptTitle="📋 Última Respuesta" prompt="Estimados, &#10;&#10;Esto fue resuelto?&#10;&#10;Saludos." type="custom">
      <formula1>=TRUE</formula1>
    </dataValidation>
    <dataValidation sqref="F44" showDropDown="0" showInputMessage="1" showErrorMessage="0" allowBlank="1" promptTitle="📋 Última Respuesta" prompt="Las moliendas siguen las dos trabadas" type="custom">
      <formula1>=TRUE</formula1>
    </dataValidation>
    <dataValidation sqref="F57" showDropDown="0" showInputMessage="1" showErrorMessage="0" allowBlank="1" promptTitle="📋 Última Respuesta" prompt="Paso el tecnico de Propios por el local y lo estaban viendo con Advance.&#10;&#10;Saludos," type="custom">
      <formula1>=TRUE</formula1>
    </dataValidation>
    <dataValidation sqref="F62" showDropDown="0" showInputMessage="1" showErrorMessage="0" allowBlank="1" promptTitle="📋 Última Respuesta" prompt="Hola me pueden brindar algun número para comunicarme o decirme si fue resuelto por el local? Gracias" type="custom">
      <formula1>=TRUE</formula1>
    </dataValidation>
    <dataValidation sqref="F76" showDropDown="0" showInputMessage="1" showErrorMessage="0" allowBlank="1" promptTitle="📋 Última Respuesta" prompt="Buenos días,&#10;&#10;Nos podrán brindar un número de contacto por favor?&#10;&#10;Muchas gracias" type="custom">
      <formula1>=TRUE</formula1>
    </dataValidation>
    <dataValidation sqref="F77" showDropDown="0" showInputMessage="1" showErrorMessage="0" allowBlank="1" promptTitle="📋 Última Respuesta" prompt="Voy a necesitar por favor si se puede acercar un técnico al local. Mi asistente está operando y se le complica ponerse a arreglar la cafetera.... gracias" type="custom">
      <formula1>=TRUE</formula1>
    </dataValidation>
    <dataValidation sqref="F83" showDropDown="0" showInputMessage="1" showErrorMessage="0" allowBlank="1" promptTitle="📋 Última Respuesta" prompt="Buen dia, nos solicitarion verificar si las instalaciones del sector cafeteria estan aptas para instalar un equipo Melitta, vamos a utiliza el ticket para esta tarea.&#10;&#10;Slds," type="custom">
      <formula1>=TRUE</formula1>
    </dataValidation>
    <dataValidation sqref="F86" showDropDown="0" showInputMessage="1" showErrorMessage="0" allowBlank="1" promptTitle="📋 Última Respuesta" prompt="No funciona las moliendas" type="custom">
      <formula1>=TRUE</formula1>
    </dataValidation>
    <dataValidation sqref="F91" showDropDown="0" showInputMessage="1" showErrorMessage="0" allowBlank="1" promptTitle="📋 Última Respuesta" prompt="Adjunto fotos" type="custom">
      <formula1>=TRUE</formula1>
    </dataValidation>
    <dataValidation sqref="F110" showDropDown="0" showInputMessage="1" showErrorMessage="0" allowBlank="1" promptTitle="📋 Última Respuesta" prompt="Hola, se fijaron la manguera de Desagote de la leche? Atrás de la heladera bajo mesada." type="custom">
      <formula1>=TRUE</formula1>
    </dataValidation>
    <dataValidation sqref="F123" showDropDown="0" showInputMessage="1" showErrorMessage="0" allowBlank="1" promptTitle="📋 Última Respuesta" prompt="De nada, saludos!" type="custom">
      <formula1>=TRUE</formula1>
    </dataValidation>
    <dataValidation sqref="F125" showDropDown="0" showInputMessage="1" showErrorMessage="0" allowBlank="1" promptTitle="📋 Última Respuesta" prompt="Estimados, buenos dias.&#10;&#10;¿Nos puede brindar un contacto para poder realizar un diagnostico?&#10;&#10;Saludos" type="custom">
      <formula1>=TRUE</formula1>
    </dataValidation>
    <dataValidation sqref="F128" showDropDown="0" showInputMessage="1" showErrorMessage="0" allowBlank="1" promptTitle="📋 Última Respuesta" prompt="Buenas tardes, nos podras compartir un contacto asi coordinamos un dia para realizar la videollamada" type="custom">
      <formula1>=TRUE</formula1>
    </dataValidation>
    <dataValidation sqref="F130" showDropDown="0" showInputMessage="1" showErrorMessage="0" allowBlank="1" promptTitle="📋 Última Respuesta" prompt="Estimados,&#10;&#10;Cuáles es el problema con el equipo? La imagen adjuntada no muestra error. Eso dicen cuando prenden el equipo.&#10;&#10;Saludos" type="custom">
      <formula1>=TRUE</formula1>
    </dataValidation>
    <dataValidation sqref="P2" showDropDown="0" showInputMessage="1" showErrorMessage="0" allowBlank="1" promptTitle="📋 Mensaje de Resolución" prompt="Tiempo de servicio: 5 hrs&#10;&#10;Se cambió valvula de sobrepresion con el capuchón, elf3 y kit de oring superior e inferior. También se dejó calibrada  y se ajusto y enderezó la barredora de pastillas. Se le hizo una limpieza especifica al grupo por fuera " type="custom">
      <formula1>=TRUE</formula1>
    </dataValidation>
    <dataValidation sqref="P3" showDropDown="0" showInputMessage="1" showErrorMessage="0" allowBlank="1" promptTitle="📋 Mensaje de Resolución" prompt="Tiempo de servicio: 1hr&#10;El grupo de la cafetera se encontraba bloqueado por lo q no permitía sacar café,, se saco el grupo y se limpiaron sensores para descartar que haya alguno averiado. Se coloco y activaron los 4 sensores por lo que la cafetera qu" type="custom">
      <formula1>=TRUE</formula1>
    </dataValidation>
    <dataValidation sqref="P4" showDropDown="0" showInputMessage="1" showErrorMessage="0" allowBlank="1" promptTitle="📋 Mensaje de Resolución" prompt="Cafetera Avellaneda &#10;Ticket número :111676&#10;Serie número:1977238&#10;Hora de servicio: 1h&#10;&#10;Se realizó el recambio de la resistencia (error 55).&#10;&#10;Cafetera operando." type="custom">
      <formula1>=TRUE</formula1>
    </dataValidation>
    <dataValidation sqref="P5" showDropDown="0" showInputMessage="1" showErrorMessage="0" allowBlank="1" promptTitle="📋 Mensaje de Resolución" prompt="Estimados, &#10;&#10;Se hablo con Aylen y por el elevado costo, se vera de otras opciones.&#10;&#10;Se cierra tk.&#10;&#10;Saludos" type="custom">
      <formula1>=TRUE</formula1>
    </dataValidation>
    <dataValidation sqref="P6" showDropDown="0" showInputMessage="1" showErrorMessage="0" allowBlank="1" promptTitle="📋 Mensaje de Resolución" prompt="Cafetera Avellaneda&#10;Número de ticket:112916&#10;Número de serie:1977238&#10;Hora de servicio: 1h50m&#10;&#10;Se encontró con el tobogán lleno de café obstruyendo el paso y eso provocada a que en ves de café salga agua.&#10;Se hizo una profunda limpieza del grupo tanto c" type="custom">
      <formula1>=TRUE</formula1>
    </dataValidation>
    <dataValidation sqref="P7" showDropDown="0" showInputMessage="1" showErrorMessage="0" allowBlank="1" promptTitle="📋 Mensaje de Resolución" prompt="Estimados,&#10;&#10;Se encuentra el tobogan roto. Se envia cotizacion por el mismo.&#10;Una vez que tengan el repuesto, por favor generar un nuevo tk.&#10;&#10;Saludos." type="custom">
      <formula1>=TRUE</formula1>
    </dataValidation>
    <dataValidation sqref="P8" showDropDown="0" showInputMessage="1" showErrorMessage="0" allowBlank="1" promptTitle="📋 Mensaje de Resolución" prompt="Cafetera boedo ( 2 horas de trabajo)&#10;Cimbali 1860967&#10;Tiket#110651&#10;Se cambió tobogán y barredor de porra de café , se lubrico sistema de barredora, se armó todo y se realizó todos los lavados pendientes, lam máquina quedó operando" type="custom">
      <formula1>=TRUE</formula1>
    </dataValidation>
    <dataValidation sqref="P9" showDropDown="0" showInputMessage="1" showErrorMessage="0" allowBlank="1" promptTitle="📋 Mensaje de Resolución" prompt="Tiempo de servicio: 1:30hrs&#10;A la hora de realizar el lavado la cafetera hacia saltar el disyuntor, ya que tenía la valvula de sobrepresion abierta y la salida hacia el desagüe tapado por lo que condensaba el vapor dentro de la cafetera y mojaba cable" type="custom">
      <formula1>=TRUE</formula1>
    </dataValidation>
    <dataValidation sqref="P10" showDropDown="0" showInputMessage="1" showErrorMessage="0" allowBlank="1" promptTitle="📋 Mensaje de Resolución" prompt="Estimados, &#10;&#10;Café n: 1860967&#10;Días de uso 1236&#10;Solicitar volumetrico por falla, se le enseño al local a calibrar volumetrico en caso que falle pero es esporádica la falla.&#10;Se usó limpia contacto y mostró mejoría pero aún persiste la falla.&#10;Cafetera op" type="custom">
      <formula1>=TRUE</formula1>
    </dataValidation>
    <dataValidation sqref="P11" showDropDown="0" showInputMessage="1" showErrorMessage="0" allowBlank="1" promptTitle="📋 Mensaje de Resolución" prompt="Cafetera boedo&#10;Ticket número: 111940&#10;Serie número:1860967&#10;Hora de servicio: 30m&#10;&#10;Se revisó cafetera y se encontró pérdida de vapor por la válvula de seguridad que está abierta por lo tanto va seguir perdiendo vapor seguir condensando el agua y haga s" type="custom">
      <formula1>=TRUE</formula1>
    </dataValidation>
    <dataValidation sqref="P12" showDropDown="0" showInputMessage="1" showErrorMessage="0" allowBlank="1" promptTitle="📋 Mensaje de Resolución" prompt="Tk duplicado" type="custom">
      <formula1>=TRUE</formula1>
    </dataValidation>
    <dataValidation sqref="P13" showDropDown="0" showInputMessage="1" showErrorMessage="0" allowBlank="1" promptTitle="📋 Mensaje de Resolución" prompt="Cafetera  Cabildo &#10;Tk n:110586&#10;Hora de servicio: 2h&#10;&#10;Se encontró con la cafetera apagada.&#10;Se realizó cambio de válvula de seguridad y se hizo los lavados requeridos.&#10;Se realizó una limpieza profunda muelas y grupo.&#10;Se realizó puesta 0 y calibración d" type="custom">
      <formula1>=TRUE</formula1>
    </dataValidation>
    <dataValidation sqref="P14" showDropDown="0" showInputMessage="1" showErrorMessage="0" allowBlank="1" promptTitle="📋 Mensaje de Resolución" prompt="Tiempo de servicio: 4;00 hrs&#10;&#10;Se le coloco el oring de la valvula de sobrepresion cambiada a la nueva que estaba colocada ya que tenía una pequeña fuga de vapor y humedeció todo el cafe y la maquina, también se destrabo y calibro las muelas en donde " type="custom">
      <formula1>=TRUE</formula1>
    </dataValidation>
    <dataValidation sqref="P15" showDropDown="0" showInputMessage="1" showErrorMessage="0" allowBlank="1" promptTitle="📋 Mensaje de Resolución" prompt="Tiempo de servicio: 4;00 hrs&#10;Se destapó la salida de la cafetera, se calibro.&#10; Ya quedo operando correctamente ambas cafeteras" type="custom">
      <formula1>=TRUE</formula1>
    </dataValidation>
    <dataValidation sqref="P16" showDropDown="0" showInputMessage="1" showErrorMessage="0" allowBlank="1" promptTitle="📋 Mensaje de Resolución" prompt="Cafetera Cabildo &#10;Tk n: 110888&#10;Serie n 1840650&#10;Hora de servicio 2h&#10;&#10;Se encontraron con las cafeteras sin que anden las moliendas.&#10;Se notó que algunas de las tolvas estaban mal colocadas de igual manera se hizo una puesta 0 y calibración ya que la otr" type="custom">
      <formula1>=TRUE</formula1>
    </dataValidation>
    <dataValidation sqref="P18" showDropDown="0" showInputMessage="1" showErrorMessage="0" allowBlank="1" promptTitle="📋 Mensaje de Resolución" prompt="Estimados,&#10;&#10;Por favor no duplicar los tk&#10;&#10;Saludos" type="custom">
      <formula1>=TRUE</formula1>
    </dataValidation>
    <dataValidation sqref="P19" showDropDown="0" showInputMessage="1" showErrorMessage="0" allowBlank="1" promptTitle="📋 Mensaje de Resolución" prompt="Tiempo de servicio: 2:10 hrs&#10;La cafetera se encontraba trabada por pedazo de plástico, se dejó calibrada.&#10;Observaciones: tiene una fuga de vapor en un acople. Pistón superior y kit de oring desgastados, elf 3 faltante &#10;&#10;Repuestos a solicitar:&#10;•acople" type="custom">
      <formula1>=TRUE</formula1>
    </dataValidation>
    <dataValidation sqref="P20" showDropDown="0" showInputMessage="1" showErrorMessage="0" allowBlank="1" promptTitle="📋 Mensaje de Resolución" prompt="3 horas de trabajo bajo el concepto de &quot;Mantenimiento Profundo/Desarme&quot;, dado que la extracción de sólidos acumulados suele implicar desarmar partes del chasis o el grupo para acceder a zonas críticas.&#10;INFORME DE SERVICIO TÉCNICO&#10;&#10;1. DATOS DE LA INTE" type="custom">
      <formula1>=TRUE</formula1>
    </dataValidation>
    <dataValidation sqref="P21" showDropDown="0" showInputMessage="1" showErrorMessage="0" allowBlank="1" promptTitle="📋 Mensaje de Resolución" prompt="Tiempo de servicio: 3hrs&#10;Cafetera no levantaba temperatura y no permitía hacer lavado. Se limpio circuito de leche la cual estaba lleno de leche condensada por falta del uso de líquido de lavado, se limpio elf3, bomba de leche y esm. Se encontró térm" type="custom">
      <formula1>=TRUE</formula1>
    </dataValidation>
    <dataValidation sqref="P22" showDropDown="0" showInputMessage="1" showErrorMessage="0" allowBlank="1" promptTitle="📋 Mensaje de Resolución" prompt="Cafetera Ezeiza &#10;Tk n:110774&#10;Serie n:1980865&#10;Hora de servicio: 3h&#10;&#10;Se encontró con la cafetera sin poder hacer lavados.&#10;Se limpió el pescador de la caldera llena de sarro.&#10;Se purgó flexible de agua&#10;Se calibró leche y espuma&#10;&#10;&#10;Observaciones: error 54 " type="custom">
      <formula1>=TRUE</formula1>
    </dataValidation>
    <dataValidation sqref="P23" showDropDown="0" showInputMessage="1" showErrorMessage="0" allowBlank="1" promptTitle="📋 Mensaje de Resolución" prompt="Sin repuesta del local" type="custom">
      <formula1>=TRUE</formula1>
    </dataValidation>
    <dataValidation sqref="P24" showDropDown="0" showInputMessage="1" showErrorMessage="0" allowBlank="1" promptTitle="📋 Mensaje de Resolución" prompt="Cafetera grand Burg (10 horas de trabajo) &#10;Cimbali 1859984&#10;Tiket#1010347&#10;Se encuentra equipo con problemas de circulación de agua continua en el esquipo, haciendo q levanté presión a la hora de realizar el lavado, llegando a 2.1 de presión de caldera" type="custom">
      <formula1>=TRUE</formula1>
    </dataValidation>
    <dataValidation sqref="P25" showDropDown="0" showInputMessage="1" showErrorMessage="0" allowBlank="1" promptTitle="📋 Mensaje de Resolución" prompt="Cafetera grand Burg (2 horas de trabajo)&#10;Cimbali 1842013(cafetera de depo)&#10;Tiket#110729&#10;Equipo con válvula gsol en falso contacto por eso saltaba el disyuntor,se legalizó todos los lavados pendientes y no volvió a saltar el mismo, con respecto a la l" type="custom">
      <formula1>=TRUE</formula1>
    </dataValidation>
    <dataValidation sqref="P26" showDropDown="0" showInputMessage="1" showErrorMessage="0" allowBlank="1" promptTitle="📋 Mensaje de Resolución" prompt="Estimados,&#10;&#10;Esto fue resuelto por Nicolas Franco&#10;&#10;Saludos." type="custom">
      <formula1>=TRUE</formula1>
    </dataValidation>
    <dataValidation sqref="P27" showDropDown="0" showInputMessage="1" showErrorMessage="0" allowBlank="1" promptTitle="📋 Mensaje de Resolución" prompt="Cafetera grand Burg (1 hora de trabajo)&#10;Cimbali de depo (1840208)&#10;Tiket#110853&#10;Cafetera saltaba el disyuntor se testeo  con tierra suelto dando 91v de pérdida, se reviso y era la caldera q quedó en corto por falta de agua, máquina sin operar, se reco" type="custom">
      <formula1>=TRUE</formula1>
    </dataValidation>
    <dataValidation sqref="P28" showDropDown="0" showInputMessage="1" showErrorMessage="0" allowBlank="1" promptTitle="📋 Mensaje de Resolución" prompt="Estimados,&#10;&#10;Se reemplaza el equipo por garantia.&#10;&#10;Saludos." type="custom">
      <formula1>=TRUE</formula1>
    </dataValidation>
    <dataValidation sqref="P29" showDropDown="0" showInputMessage="1" showErrorMessage="0" allowBlank="1" promptTitle="📋 Mensaje de Resolución" prompt="Cafetera guemes&#10;Tk n:110870&#10;Serie n:1977235&#10;Hora de servicio: 1h&#10;&#10;Se encontró con la cafetera con perdida de agua.&#10;Se encontró una fuga de vapor por la misma válvula de seguridad que se encuentra abierta.&#10;En consecuencia de eso hace que condense y ha" type="custom">
      <formula1>=TRUE</formula1>
    </dataValidation>
    <dataValidation sqref="P30" showDropDown="0" showInputMessage="1" showErrorMessage="0" allowBlank="1" promptTitle="📋 Mensaje de Resolución" prompt="Cafetera guemes&#10;Ticket número:112232&#10;Serie número:1976012&#10;Hora de servicio 2h:30&#10;&#10;Se encontró la cafetera con que saltaba el diyuntor se observó que perdía por el acople rápido de arriba del pistón superior.&#10;El local ya contaba con el repuesto asi qu" type="custom">
      <formula1>=TRUE</formula1>
    </dataValidation>
    <dataValidation sqref="P31" showDropDown="0" showInputMessage="1" showErrorMessage="0" allowBlank="1" promptTitle="📋 Mensaje de Resolución" prompt="Buenas tardes, nos confirman que lo siguen con personal propio.&#10;&#10;Se cierra el ticket." type="custom">
      <formula1>=TRUE</formula1>
    </dataValidation>
    <dataValidation sqref="P32" showDropDown="0" showInputMessage="1" showErrorMessage="0" allowBlank="1" promptTitle="📋 Mensaje de Resolución" prompt="Estimados,&#10;&#10;Esto no corresponde a mantenimiento. Ver con sistemas.&#10;&#10;Saludos." type="custom">
      <formula1>=TRUE</formula1>
    </dataValidation>
    <dataValidation sqref="P33" showDropDown="0" showInputMessage="1" showErrorMessage="0" allowBlank="1" promptTitle="📋 Mensaje de Resolución" prompt="Cafetera La Perla&#10;Ticket número: 111046&#10;Serie número: 1970905&#10;Hora de servicios: 2h&#10;&#10;Se encontró la cafetera con los cafés aguados.&#10;Se realizó una puesta cero y calibración de las moliendas mm1 y mm2. Cafés cálidad y espumoso.&#10;Se revisó todo lo que e" type="custom">
      <formula1>=TRUE</formula1>
    </dataValidation>
    <dataValidation sqref="P34" showDropDown="0" showInputMessage="1" showErrorMessage="0" allowBlank="1" promptTitle="📋 Mensaje de Resolución" prompt="Estimados,&#10;&#10;Esto fue resuelto por el local&#10;&#10;Saludos." type="custom">
      <formula1>=TRUE</formula1>
    </dataValidation>
    <dataValidation sqref="P35" showDropDown="0" showInputMessage="1" showErrorMessage="0" allowBlank="1" promptTitle="📋 Mensaje de Resolución" prompt="Se destrabo moliendas y se reviso la valvula de seguridad de la caldera por pérdida de vapor. También se observo que tira error 55 que se debe a la falla en la resistencia del grupo lo que no permite levantar temperatura en el grupo de la cafetera  y" type="custom">
      <formula1>=TRUE</formula1>
    </dataValidation>
    <dataValidation sqref="P36" showDropDown="0" showInputMessage="1" showErrorMessage="0" allowBlank="1" promptTitle="📋 Mensaje de Resolución" prompt="Cafetera la plata 4&#10;Tk n:111049/110923&#10;Serie n:1856450&#10;Hora de servicio: 3h30m&#10;&#10;Se encontró con la cafetera destrabada.&#10;De igual manera se hizo una puesta cero y calibración de las dos moliendas.&#10;Pastillas salian muy grueso ya ok&#10;Se observó una fuga " type="custom">
      <formula1>=TRUE</formula1>
    </dataValidation>
    <dataValidation sqref="P37" showDropDown="0" showInputMessage="1" showErrorMessage="0" allowBlank="1" promptTitle="📋 Mensaje de Resolución" prompt="Cafetera la plata 4&#10;Tk n:111049/110923&#10;Serie n:1856450&#10;Hora de servicio: 3h30m&#10;&#10;Se encontró con la cafetera destrabada.&#10;De igual manera se hizo una puesta cero y calibración de las dos moliendas.&#10;Pastillas salian muy grueso ya ok&#10;Se observó una fuga " type="custom">
      <formula1>=TRUE</formula1>
    </dataValidation>
    <dataValidation sqref="P39" showDropDown="0" showInputMessage="1" showErrorMessage="0" allowBlank="1" promptTitle="📋 Mensaje de Resolución" prompt="Se cierra tk por falta de comunicacion&#10;&#10;Saludos" type="custom">
      <formula1>=TRUE</formula1>
    </dataValidation>
    <dataValidation sqref="P40" showDropDown="0" showInputMessage="1" showErrorMessage="0" allowBlank="1" promptTitle="📋 Mensaje de Resolución" prompt="Cafetera laferrere&#10;Tk n: 110413&#10;Serie n: 1970907&#10;hora de servicio: 1h:30m&#10;&#10;Cafetera se encontró con tolva mm2 trabada y leche fría.&#10;Se realizo puesta 0 y calibración de dicha molienda.&#10;Se realizó un lavado de todo el circuito de leche &#10;&#10;Observaciones" type="custom">
      <formula1>=TRUE</formula1>
    </dataValidation>
    <dataValidation sqref="P41" showDropDown="0" showInputMessage="1" showErrorMessage="0" allowBlank="1" promptTitle="📋 Mensaje de Resolución" prompt="Estimados,&#10;&#10;Se cambia racor de cámara de grupo. También se destraba molienda mm1&#10;&#10;Saludos" type="custom">
      <formula1>=TRUE</formula1>
    </dataValidation>
    <dataValidation sqref="P42" showDropDown="0" showInputMessage="1" showErrorMessage="0" allowBlank="1" promptTitle="📋 Mensaje de Resolución" prompt="Cafetera Lanús &#10;Número de ticket:112540&#10;Número de serie:1856434&#10;Hora de servicio:40m&#10;&#10;Se encontró la cafetera con que salía leche.(solucionado por el local)&#10;Se calibró leche y espuma.&#10;Se realizó calibración de la molienda mm1 ya que no salía en tiemp" type="custom">
      <formula1>=TRUE</formula1>
    </dataValidation>
    <dataValidation sqref="P43" showDropDown="0" showInputMessage="1" showErrorMessage="0" allowBlank="1" promptTitle="📋 Mensaje de Resolución" prompt="Cafetera lanus (2 horas de trabajo)&#10;Tiket#113030&#10;Se realizó cambio de manguera azul, se realizó todos los lavados para verificar , no pierda y se calibro leche, falta filtro de leche al equipo,equipo operando con normalidad" type="custom">
      <formula1>=TRUE</formula1>
    </dataValidation>
    <dataValidation sqref="P44" showDropDown="0" showInputMessage="1" showErrorMessage="0" allowBlank="1" promptTitle="📋 Mensaje de Resolución" prompt="Cafetera Liniers (2 horas de trabajo)&#10;Cimbali 1842009&#10;Tiket#110518&#10;Se encontró mm1 trabada con café viejo y duro se realizó calibración y puesta cero, se encontró grupo con exceso de café tanto arriba como abajo, vaciar el cajón cuando el equipo lo p" type="custom">
      <formula1>=TRUE</formula1>
    </dataValidation>
    <dataValidation sqref="P45" showDropDown="0" showInputMessage="1" showErrorMessage="0" allowBlank="1" promptTitle="📋 Mensaje de Resolución" prompt="Estimados,&#10;&#10;Se destraban moliendas. Se recomienda cambio de lo siguiente: Cambio de kit pistón y grupo.&#10;Cambio de coolers ( debido a que el equipo sobrecalienta mucho causando condensación). &#10;Cambio de spot (lanzador) de leche. &#10;&#10;Saludos," type="custom">
      <formula1>=TRUE</formula1>
    </dataValidation>
    <dataValidation sqref="P46" showDropDown="0" showInputMessage="1" showErrorMessage="0" allowBlank="1" promptTitle="📋 Mensaje de Resolución" prompt="Tiempo de servicio: 1 hr&#10;Se destrabaron moliendas, se limpio y se calibraron ambas. En espera de repuestos para cerrar el tema" type="custom">
      <formula1>=TRUE</formula1>
    </dataValidation>
    <dataValidation sqref="P47" showDropDown="0" showInputMessage="1" showErrorMessage="0" allowBlank="1" promptTitle="📋 Mensaje de Resolución" prompt="Cafetera Liniers&#10;Ticket número:112385&#10;Serie número:1842009&#10;Hora de servicio: 2h:40m&#10;&#10;Se encontró con la cafetera donde saltaba el diyuntor.&#10;Se encontró cables empalmados del protector térmico de la caldera grande costado derecho quemado.&#10;Conector mol" type="custom">
      <formula1>=TRUE</formula1>
    </dataValidation>
    <dataValidation sqref="P48" showDropDown="0" showInputMessage="1" showErrorMessage="0" allowBlank="1" promptTitle="📋 Mensaje de Resolución" prompt="Tiempo de servicio: 3 hrs&#10;Se encontró mangueras sueltas del barometro y lanza de vapor, se limpio todo el exceso de café en toda la cafetera. Se destrabo moliendas, se le realizo puesta a 0 y se calibraron. Se le reguló cantidad de café y presión de " type="custom">
      <formula1>=TRUE</formula1>
    </dataValidation>
    <dataValidation sqref="P49" showDropDown="0" showInputMessage="1" showErrorMessage="0" allowBlank="1" promptTitle="📋 Mensaje de Resolución" prompt="Cafetera Liniers (5 horas de trabajo)&#10;Tiket#113021&#10;Cambio de kit de grupo completo y cooler, se calibro leche y quedó operando" type="custom">
      <formula1>=TRUE</formula1>
    </dataValidation>
    <dataValidation sqref="P50" showDropDown="0" showInputMessage="1" showErrorMessage="0" allowBlank="1" promptTitle="📋 Mensaje de Resolución" prompt="Cartel colocado.&#10;&#10;Saludos." type="custom">
      <formula1>=TRUE</formula1>
    </dataValidation>
    <dataValidation sqref="P51" showDropDown="0" showInputMessage="1" showErrorMessage="0" allowBlank="1" promptTitle="📋 Mensaje de Resolución" prompt="Cafetera Los Gallegos&#10;Ticket número: 111057&#10;Serie número: 2037121 / 2037121&#10;Hora de servicio: 3h 20m&#10;&#10;Cafetera 1&#10;&#10;Se encontro la cafetera aguados, sin llenar los cafés y sin espuma.&#10;Se hizo una puesta 0 y calibración de las moliendas mm1 y mm2. Cafés" type="custom">
      <formula1>=TRUE</formula1>
    </dataValidation>
    <dataValidation sqref="P52" showDropDown="0" showInputMessage="1" showErrorMessage="0" allowBlank="1" promptTitle="📋 Mensaje de Resolución" prompt="Cafetera Luján &#10;Número de ticket:111762&#10;Número de serie:no tiene&#10;Hora de servicio: 2h30m&#10;&#10;Se realizó una puesta 0 y calibración de las moliendas mm1 y mm2.&#10;Se revisó posible pérdida de agua y se encontró la manguera de cristal de desagote suelta moja" type="custom">
      <formula1>=TRUE</formula1>
    </dataValidation>
    <dataValidation sqref="P53" showDropDown="0" showInputMessage="1" showErrorMessage="0" allowBlank="1" promptTitle="📋 Mensaje de Resolución" prompt="Resuelto por el local" type="custom">
      <formula1>=TRUE</formula1>
    </dataValidation>
    <dataValidation sqref="P54" showDropDown="0" showInputMessage="1" showErrorMessage="0" allowBlank="1" promptTitle="📋 Mensaje de Resolución" prompt="Resuelto atraves de ayudan remot" type="custom">
      <formula1>=TRUE</formula1>
    </dataValidation>
    <dataValidation sqref="P55" showDropDown="0" showInputMessage="1" showErrorMessage="0" allowBlank="1" promptTitle="📋 Mensaje de Resolución" prompt="Se cierra tk ya que se encuentra triplicado. Saludos." type="custom">
      <formula1>=TRUE</formula1>
    </dataValidation>
    <dataValidation sqref="P56" showDropDown="0" showInputMessage="1" showErrorMessage="0" allowBlank="1" promptTitle="📋 Mensaje de Resolución" prompt="Se cierra tk ya que se encuentra triplicado. Saludos." type="custom">
      <formula1>=TRUE</formula1>
    </dataValidation>
    <dataValidation sqref="P57" showDropDown="0" showInputMessage="1" showErrorMessage="0" allowBlank="1" promptTitle="📋 Mensaje de Resolución" prompt="Paso el tecnico de Propios por el local y lo estaban viendo con Advance.&#10;&#10;Saludos," type="custom">
      <formula1>=TRUE</formula1>
    </dataValidation>
    <dataValidation sqref="P58" showDropDown="0" showInputMessage="1" showErrorMessage="0" allowBlank="1" promptTitle="📋 Mensaje de Resolución" prompt="Cafetera Merlo&#10;Ticket número:111623&#10;Serie número: 1851681/ 1969719&#10;Hora de servicio: 10h&#10;&#10;Se hizo limpieza de las dos calderas, pescador lleno de sarro.&#10;Se hizo puesta cero y calibración de las moliendas mm1 y mm2 en las dos cafeteras.&#10;Se hizo una li" type="custom">
      <formula1>=TRUE</formula1>
    </dataValidation>
    <dataValidation sqref="P59" showDropDown="0" showInputMessage="1" showErrorMessage="0" allowBlank="1" promptTitle="📋 Mensaje de Resolución" prompt="Cafetera Merlo&#10;Ticket número:112537&#10;Serie número:1969719/1851681&#10;Hora de servicio: 2h30m&#10;&#10;Se encontró con una cafetera sin temperatura y la otra sin que salga leche.&#10;Cafetera 1&#10;&#10;Se reinició protector térmico de la caldera grande (ya pedido el repuest" type="custom">
      <formula1>=TRUE</formula1>
    </dataValidation>
    <dataValidation sqref="P60" showDropDown="0" showInputMessage="1" showErrorMessage="0" allowBlank="1" promptTitle="📋 Mensaje de Resolución" prompt="Buenas tardes, nos confirman que no esta disponible el cartel luminoso, si lo reciben vuelvan a generar un nuevo ticket. Saludos," type="custom">
      <formula1>=TRUE</formula1>
    </dataValidation>
    <dataValidation sqref="P61" showDropDown="0" showInputMessage="1" showErrorMessage="0" allowBlank="1" promptTitle="📋 Mensaje de Resolución" prompt="Cafetera Merlo&#10;Número de ticket:112874&#10;Número de serie:1969719/1851681&#10;Hora de servicio:6h&#10;&#10;Cafetera 1:&#10;Se cambiaron repuestos:&#10;ELF1&#10;EM se intercambió por la EV&#10;Flexible red de agua&#10;Protector térmico &#10;&#10;Repuestos:&#10;-kit de moliendas&#10;&#10;Cafetera operando." type="custom">
      <formula1>=TRUE</formula1>
    </dataValidation>
    <dataValidation sqref="P62" showDropDown="0" showInputMessage="1" showErrorMessage="0" allowBlank="1" promptTitle="📋 Mensaje de Resolución" prompt="Estimados,&#10;&#10;Se cierra tk.&#10;&#10;Saludos." type="custom">
      <formula1>=TRUE</formula1>
    </dataValidation>
    <dataValidation sqref="P63" showDropDown="0" showInputMessage="1" showErrorMessage="0" allowBlank="1" promptTitle="📋 Mensaje de Resolución" prompt="Cafetera monte grande&#10;Tk n:110366&#10;Hora de servicio: 4h&#10;&#10;Se encontró con la cafetera no levantaba temperatura y tenía poco caudal de agua.&#10;se limpió la caldera grande lleno de sarro.&#10;Se limpiaron 3 chicler de las válvulas evc y circuito de agua.&#10;Se ca" type="custom">
      <formula1>=TRUE</formula1>
    </dataValidation>
    <dataValidation sqref="P64" showDropDown="0" showInputMessage="1" showErrorMessage="0" allowBlank="1" promptTitle="📋 Mensaje de Resolución" prompt="Tiempo de servicio: 11 hrs&#10;Se reviso caldera, resistencia, valvula evc y se reviso cableado. Tenía una fase sulfatada y cortada dentro del toma corrientes lo que no permitía activar el llenado de la caldera y la resistencia se coloco el térmico super" type="custom">
      <formula1>=TRUE</formula1>
    </dataValidation>
    <dataValidation sqref="P65" showDropDown="0" showInputMessage="1" showErrorMessage="0" allowBlank="1" promptTitle="📋 Mensaje de Resolución" prompt="El informe del 4 de febrero (Ticket #110366) para Monte Grande indica que se resolvieron los problemas de poco caudal de agua y la cafetera quedó &quot;operando&quot;. Posteriormente, el 10 de febrero (#111205), se ratifica que las cafeteras de ese local queda" type="custom">
      <formula1>=TRUE</formula1>
    </dataValidation>
    <dataValidation sqref="P66" showDropDown="0" showInputMessage="1" showErrorMessage="0" allowBlank="1" promptTitle="📋 Mensaje de Resolución" prompt="Cafetera monte grande (3 horas de trabajo)&#10;Cimbali 1970908&#10;Tiket#113985&#10;Se reviso equipo q no levantaba presión de caldera y según el local el equipo daba descargas, se fijó bien el cable a tierra, se conecto terminal suelto en parte inferior de la c" type="custom">
      <formula1>=TRUE</formula1>
    </dataValidation>
    <dataValidation sqref="P67" showDropDown="0" showInputMessage="1" showErrorMessage="0" allowBlank="1" promptTitle="📋 Mensaje de Resolución" prompt="Cafetera once (2horas de trabajo)&#10;Cimbali 1969712&#10;Tiket#110153&#10;Se encontro cafetera con mucha humedad en tolvas y tapa superior, tobogán tapado y obstruido por café húmedo, se realizó una limpieza, puesta cero y calibración del equipo, encontrando mu" type="custom">
      <formula1>=TRUE</formula1>
    </dataValidation>
    <dataValidation sqref="P68" showDropDown="0" showInputMessage="1" showErrorMessage="0" allowBlank="1" promptTitle="📋 Mensaje de Resolución" prompt="Resuelto por el local" type="custom">
      <formula1>=TRUE</formula1>
    </dataValidation>
    <dataValidation sqref="P69" showDropDown="0" showInputMessage="1" showErrorMessage="0" allowBlank="1" promptTitle="📋 Mensaje de Resolución" prompt="Estimados, &#10;&#10;Ya se encuentra realizado un tk por el mismo tema. Por favor no duplicarlos y hacerlos en la categoria correspondiente.&#10;&#10;Saludos," type="custom">
      <formula1>=TRUE</formula1>
    </dataValidation>
    <dataValidation sqref="P70" showDropDown="0" showInputMessage="1" showErrorMessage="0" allowBlank="1" promptTitle="📋 Mensaje de Resolución" prompt="Estimados,&#10;&#10;Se cierra tk ya que se encuentra triplicado.&#10;&#10;Saludos." type="custom">
      <formula1>=TRUE</formula1>
    </dataValidation>
    <dataValidation sqref="P71" showDropDown="0" showInputMessage="1" showErrorMessage="0" allowBlank="1" promptTitle="📋 Mensaje de Resolución" prompt="Cafetera once&#10;Ticket número:111777&#10;Serie número:1969712&#10;Hora de servicio: 1h&#10;&#10;Se hizo un lavado de todo el circuito de leche.&#10;Se calibró espuma y leche.&#10;&#10;Observaciones: &#10;-elf 3 en desuso&#10;-Sin filtro de leche al momento de llegar&#10;&#10;Repuesto:&#10;-Elf3&#10;&#10;Caf" type="custom">
      <formula1>=TRUE</formula1>
    </dataValidation>
    <dataValidation sqref="P72" showDropDown="0" showInputMessage="1" showErrorMessage="0" allowBlank="1" promptTitle="📋 Mensaje de Resolución" prompt="Cafetera once&#10;Número de ticket:112622&#10;Número de serie:1969712&#10;Hora de servicio: 3h&#10;&#10;Se encontró el pistón inferior todo desarmado, se sustrajo grupo y se intentó armar nuevamente pero hace falta prisionero para que trabe y pueda bajar y subir el grup" type="custom">
      <formula1>=TRUE</formula1>
    </dataValidation>
    <dataValidation sqref="P73" showDropDown="0" showInputMessage="1" showErrorMessage="0" allowBlank="1" promptTitle="📋 Mensaje de Resolución" prompt="Solucionado por el coordinador de mantenimiento Nahuel ." type="custom">
      <formula1>=TRUE</formula1>
    </dataValidation>
    <dataValidation sqref="P74" showDropDown="0" showInputMessage="1" showErrorMessage="0" allowBlank="1" promptTitle="📋 Mensaje de Resolución" prompt="Cafetera Once&#10;Número de ticket:112834&#10;Número de serie:1969712&#10;Hora de servicio:2h&#10;&#10;Se intercambio repuesto pistón inferior, orrings y se colocó correctamente el prisionero.&#10;Se revisó circuito de leche ya que no salía.&#10;Válvula ED estaba desconectados " type="custom">
      <formula1>=TRUE</formula1>
    </dataValidation>
    <dataValidation sqref="P75" showDropDown="0" showInputMessage="1" showErrorMessage="0" allowBlank="1" promptTitle="📋 Mensaje de Resolución" prompt="Estimados,&#10;&#10;Esto fue resuelto por Service Partner&#10;&#10;Saludos." type="custom">
      <formula1>=TRUE</formula1>
    </dataValidation>
    <dataValidation sqref="P76" showDropDown="0" showInputMessage="1" showErrorMessage="0" allowBlank="1" promptTitle="📋 Mensaje de Resolución" prompt="Estimados,&#10;&#10;Se habla con Raul y comenta que esto fue resuelto.&#10;&#10;Saludos." type="custom">
      <formula1>=TRUE</formula1>
    </dataValidation>
    <dataValidation sqref="P77" showDropDown="0" showInputMessage="1" showErrorMessage="0" allowBlank="1" promptTitle="📋 Mensaje de Resolución" prompt="Cafetera Palmas del Pilar&#10;Número de ticket:112975&#10;Número de serie:1842014&#10;Horario de servicio:30m&#10;&#10;Se realizó puesta 0 y calibración de las moliendas mm1 y mm2.&#10;Se hizo limpieza del grupo pistón superior como inferior.&#10;&#10;Cafetera operando." type="custom">
      <formula1>=TRUE</formula1>
    </dataValidation>
    <dataValidation sqref="P78" showDropDown="0" showInputMessage="1" showErrorMessage="0" allowBlank="1" promptTitle="📋 Mensaje de Resolución" prompt="Cafetera Paseo Aldrey&#10;Ticket número:111049&#10;Serie número:1841653&#10;Hora de servicio: 6h&#10;&#10;Realizando la puesta 0 y calibración de la molienda mm1 y molienda mm2 , saltó el diyuntor por un mal empalme de que ya tenía e hizo maza con la tapa.&#10;Se empalmó co" type="custom">
      <formula1>=TRUE</formula1>
    </dataValidation>
    <dataValidation sqref="P79" showDropDown="0" showInputMessage="1" showErrorMessage="0" allowBlank="1" promptTitle="📋 Mensaje de Resolución" prompt="Estimados &#10;&#10;Se cierra tk ya que se estará realizando con mantenimiento de propios.&#10;&#10;Saludos" type="custom">
      <formula1>=TRUE</formula1>
    </dataValidation>
    <dataValidation sqref="P80" showDropDown="0" showInputMessage="1" showErrorMessage="0" allowBlank="1" promptTitle="📋 Mensaje de Resolución" prompt="Estimados,&#10;&#10;Se destraba molienda y se calibra equipo&#10;&#10;Saludos." type="custom">
      <formula1>=TRUE</formula1>
    </dataValidation>
    <dataValidation sqref="P81" showDropDown="0" showInputMessage="1" showErrorMessage="0" allowBlank="1" promptTitle="📋 Mensaje de Resolución" prompt="Cafetera Pompeya &#10;Ticket número:112258&#10;Serie número:1841251&#10;Hora de servicio: 1h:30m&#10;&#10;Se realizó una puesta cero y calibración de moliendas de la mm1 y mm2.&#10;Se calibró leche y espuma.&#10;Armazón colocado.&#10;&#10;&#10;Observaciones:&#10;-se recomienda cambiar molienda" type="custom">
      <formula1>=TRUE</formula1>
    </dataValidation>
    <dataValidation sqref="P82" showDropDown="0" showInputMessage="1" showErrorMessage="0" allowBlank="1" promptTitle="📋 Mensaje de Resolución" prompt="Buen dia, la instalacion fue realizada ayer por Nahuel." type="custom">
      <formula1>=TRUE</formula1>
    </dataValidation>
    <dataValidation sqref="P83" showDropDown="0" showInputMessage="1" showErrorMessage="0" allowBlank="1" promptTitle="📋 Mensaje de Resolución" prompt="Buen dia, la instalacion fue realizada ayer por Nahuel" type="custom">
      <formula1>=TRUE</formula1>
    </dataValidation>
    <dataValidation sqref="P84" showDropDown="0" showInputMessage="1" showErrorMessage="0" allowBlank="1" promptTitle="📋 Mensaje de Resolución" prompt="Instalacion realizada" type="custom">
      <formula1>=TRUE</formula1>
    </dataValidation>
    <dataValidation sqref="P85" showDropDown="0" showInputMessage="1" showErrorMessage="0" allowBlank="1" promptTitle="📋 Mensaje de Resolución" prompt="Resuelto por Francisco&#10;&#10;Saludos." type="custom">
      <formula1>=TRUE</formula1>
    </dataValidation>
    <dataValidation sqref="P86" showDropDown="0" showInputMessage="1" showErrorMessage="0" allowBlank="1" promptTitle="📋 Mensaje de Resolución" prompt="Resuelto telefónicamente" type="custom">
      <formula1>=TRUE</formula1>
    </dataValidation>
    <dataValidation sqref="P88" showDropDown="0" showInputMessage="1" showErrorMessage="0" allowBlank="1" promptTitle="📋 Mensaje de Resolución" prompt="Estimados, &#10;&#10;Se hablo con Rocio. Se cierra tk.&#10;&#10;Saludos." type="custom">
      <formula1>=TRUE</formula1>
    </dataValidation>
    <dataValidation sqref="P89" showDropDown="0" showInputMessage="1" showErrorMessage="0" allowBlank="1" promptTitle="📋 Mensaje de Resolución" prompt="Estimados,&#10;&#10;Se hablo con Rocio y se desestima esta solicitud&#10;&#10;Saludos." type="custom">
      <formula1>=TRUE</formula1>
    </dataValidation>
    <dataValidation sqref="P90" showDropDown="0" showInputMessage="1" showErrorMessage="0" allowBlank="1" promptTitle="📋 Mensaje de Resolución" prompt="Estimados,&#10;&#10;Se coloca portarrollos usado.&#10;&#10;Saludos." type="custom">
      <formula1>=TRUE</formula1>
    </dataValidation>
    <dataValidation sqref="P91" showDropDown="0" showInputMessage="1" showErrorMessage="0" allowBlank="1" promptTitle="📋 Mensaje de Resolución" prompt="Cafetera quilmes peatonal &#10;Tk n:110811&#10;Hora de servicio: 1h&#10;&#10;Se encontró con la cafetera operando se supone que la destrabaron el local.&#10;De igual manera se hizo una puesta cero y calibración de las dos moliendas ya que no salían con la calidad corres" type="custom">
      <formula1>=TRUE</formula1>
    </dataValidation>
    <dataValidation sqref="P92" showDropDown="0" showInputMessage="1" showErrorMessage="0" allowBlank="1" promptTitle="📋 Mensaje de Resolución" prompt="Estimados,&#10;&#10;Esto fue resuelto por proveedor externo.&#10;&#10;Saludos." type="custom">
      <formula1>=TRUE</formula1>
    </dataValidation>
    <dataValidation sqref="P93" showDropDown="0" showInputMessage="1" showErrorMessage="0" allowBlank="1" promptTitle="📋 Mensaje de Resolución" prompt="Tiempo de servicio: 20min&#10;La cafetera se encontraba con la tolva sin trabar por lo que no activaban los sensores y las moliendas no arrancabanse. Se dejó calibrada" type="custom">
      <formula1>=TRUE</formula1>
    </dataValidation>
    <dataValidation sqref="P94" showDropDown="0" showInputMessage="1" showErrorMessage="0" allowBlank="1" promptTitle="📋 Mensaje de Resolución" prompt="Tiempo de servicio: 1hr&#10;&#10;Se destrabo, limpio y calibraron moliendas de la cafetera, se encontró café.duro y húmedo. Se vuelve a solicitar tapón superior de caldera ya que la perdida es mayor que antes y afecta en l aoperacion de la cafetera &#10;Repuesto" type="custom">
      <formula1>=TRUE</formula1>
    </dataValidation>
    <dataValidation sqref="P95" showDropDown="0" showInputMessage="1" showErrorMessage="0" allowBlank="1" promptTitle="📋 Mensaje de Resolución" prompt="A cargo de facility" type="custom">
      <formula1>=TRUE</formula1>
    </dataValidation>
    <dataValidation sqref="P96" showDropDown="0" showInputMessage="1" showErrorMessage="0" allowBlank="1" promptTitle="📋 Mensaje de Resolución" prompt="Pedir a depo" type="custom">
      <formula1>=TRUE</formula1>
    </dataValidation>
    <dataValidation sqref="P97" showDropDown="0" showInputMessage="1" showErrorMessage="0" allowBlank="1" promptTitle="📋 Mensaje de Resolución" prompt="A cargo de facility" type="custom">
      <formula1>=TRUE</formula1>
    </dataValidation>
    <dataValidation sqref="P99" showDropDown="0" showInputMessage="1" showErrorMessage="0" allowBlank="1" promptTitle="📋 Mensaje de Resolución" prompt="Tkt abierto en categoría baja" type="custom">
      <formula1>=TRUE</formula1>
    </dataValidation>
    <dataValidation sqref="P100" showDropDown="0" showInputMessage="1" showErrorMessage="0" allowBlank="1" promptTitle="📋 Mensaje de Resolución" prompt="Se arreglo cableado haciendo masa con la chapa del frezzer" type="custom">
      <formula1>=TRUE</formula1>
    </dataValidation>
    <dataValidation sqref="P101" showDropDown="0" showInputMessage="1" showErrorMessage="0" allowBlank="1" promptTitle="📋 Mensaje de Resolución" prompt="El cableado está bien, la ficha de entrada de la fuente cpu esta falseado. Se verifico cambiando el cable hdmi por uno nuevo y la falla persiste" type="custom">
      <formula1>=TRUE</formula1>
    </dataValidation>
    <dataValidation sqref="P102" showDropDown="0" showInputMessage="1" showErrorMessage="0" allowBlank="1" promptTitle="📋 Mensaje de Resolución" prompt="Se cambiaron azulejos en la entrada de los baños. Los demás se encarga facility" type="custom">
      <formula1>=TRUE</formula1>
    </dataValidation>
    <dataValidation sqref="P103" showDropDown="0" showInputMessage="1" showErrorMessage="0" allowBlank="1" promptTitle="📋 Mensaje de Resolución" prompt="Trabajo realizado por facility" type="custom">
      <formula1>=TRUE</formula1>
    </dataValidation>
    <dataValidation sqref="P104" showDropDown="0" showInputMessage="1" showErrorMessage="0" allowBlank="1" promptTitle="📋 Mensaje de Resolución" prompt="Se cambiaron luces de baños, lobby superior e inferior" type="custom">
      <formula1>=TRUE</formula1>
    </dataValidation>
    <dataValidation sqref="P105" showDropDown="0" showInputMessage="1" showErrorMessage="0" allowBlank="1" promptTitle="📋 Mensaje de Resolución" prompt="Estimados,&#10;&#10;Se reemplaza bomba de leche. Se envia presupuesto a Sabrina por valvula ESM y EM. &#10;Una vez que cuenten con dichos repuestos, por favor generar el tk para ir a colocar las valvulas.&#10;&#10;Saludos." type="custom">
      <formula1>=TRUE</formula1>
    </dataValidation>
    <dataValidation sqref="P106" showDropDown="0" showInputMessage="1" showErrorMessage="0" allowBlank="1" promptTitle="📋 Mensaje de Resolución" prompt="Estimados, &#10;&#10;Esto fue resuelto por Francisco&#10;&#10;Saludos." type="custom">
      <formula1>=TRUE</formula1>
    </dataValidation>
    <dataValidation sqref="P107" showDropDown="0" showInputMessage="1" showErrorMessage="0" allowBlank="1" promptTitle="📋 Mensaje de Resolución" prompt="Estimados,&#10;&#10;Esto fue resuelto por Sabrina. Se cargaron las recetas nuevamente&#10;&#10;Saludos." type="custom">
      <formula1>=TRUE</formula1>
    </dataValidation>
    <dataValidation sqref="P108" showDropDown="0" showInputMessage="1" showErrorMessage="0" allowBlank="1" promptTitle="📋 Mensaje de Resolución" prompt="Estimados,&#10;&#10;Esto fue resuelto por Francisco Rametta&#10;&#10;Saludos." type="custom">
      <formula1>=TRUE</formula1>
    </dataValidation>
    <dataValidation sqref="P109" showDropDown="0" showInputMessage="1" showErrorMessage="0" allowBlank="1" promptTitle="📋 Mensaje de Resolución" prompt="Estimados,&#10;&#10;Esto fue resuelto por Nicolas Franco&#10;&#10;Saludos." type="custom">
      <formula1>=TRUE</formula1>
    </dataValidation>
    <dataValidation sqref="P110" showDropDown="0" showInputMessage="1" showErrorMessage="0" allowBlank="1" promptTitle="📋 Mensaje de Resolución" prompt="Tiempo de servicio: 1;40hrs&#10;&#10;La cafetera tenía problemas con la espuma de leche y la salida de la misma ya que a la hora de sacar algún café con leche solamente salía vapor. Se le limpio el chicler el cual estaba tapado con leche condensada, se le re" type="custom">
      <formula1>=TRUE</formula1>
    </dataValidation>
    <dataValidation sqref="P111" showDropDown="0" showInputMessage="1" showErrorMessage="0" allowBlank="1" promptTitle="📋 Mensaje de Resolución" prompt="Cafetera San Fernando &#10;Ticket número:112536&#10;Serie número:1851676&#10;Hora de servicio: 30m&#10;&#10;Se encontró empalme del protector térmico quemado eso hacía que salte diyuntor o que haga falso contacto y el equipo no levante del todo la temperatura.&#10;Se recomi" type="custom">
      <formula1>=TRUE</formula1>
    </dataValidation>
    <dataValidation sqref="P112" showDropDown="0" showInputMessage="1" showErrorMessage="0" allowBlank="1" promptTitle="📋 Mensaje de Resolución" prompt="Cafetera San Fernando&#10;Número de ticket:112948&#10;Número de serie:1851676&#10;Hora de servicio:1h30m&#10;&#10;Se encontró la cafetera con los cafés aguados y sin espuma.&#10;Se realizó una puesta 0 y calibración de las moliendas mm1 y mm2.&#10;Se hizo una limpieza del chicl" type="custom">
      <formula1>=TRUE</formula1>
    </dataValidation>
    <dataValidation sqref="P113" showDropDown="0" showInputMessage="1" showErrorMessage="0" allowBlank="1" promptTitle="📋 Mensaje de Resolución" prompt="Estimados, &#10;&#10;Se cambia piston superior y malla metalica el mismo,&#10;&#10;Saludos." type="custom">
      <formula1>=TRUE</formula1>
    </dataValidation>
    <dataValidation sqref="P114" showDropDown="0" showInputMessage="1" showErrorMessage="0" allowBlank="1" promptTitle="📋 Mensaje de Resolución" prompt="Estimados,&#10;&#10;Se cierra tk ya que se encuentra duplicado.&#10;&#10;Saludos" type="custom">
      <formula1>=TRUE</formula1>
    </dataValidation>
    <dataValidation sqref="P115" showDropDown="0" showInputMessage="1" showErrorMessage="0" allowBlank="1" promptTitle="📋 Mensaje de Resolución" prompt="Cafetera san justo peatonal ( 3 horas de trabajo)&#10;Cimbali 1840208&#10;Tiket#110740&#10;Se encontró cafetera tirando error 8 se extrajo grupo y limpio todos los sensores, desapareció la falla, se encontró pequeña pérdida de agua del lado derecho debido a la m" type="custom">
      <formula1>=TRUE</formula1>
    </dataValidation>
    <dataValidation sqref="P116" showDropDown="0" showInputMessage="1" showErrorMessage="0" allowBlank="1" promptTitle="📋 Mensaje de Resolución" prompt="Freidora san justo peatonal (1 hora de trabajo)&#10;Tiket#110919&#10;Se colocó timer nuevo a freidora ig doble cesta, se pusieron los tornillos faltantes y toma, ser realizó prueba y funciona todo , equipo operando." type="custom">
      <formula1>=TRUE</formula1>
    </dataValidation>
    <dataValidation sqref="P117" showDropDown="0" showInputMessage="1" showErrorMessage="0" allowBlank="1" promptTitle="📋 Mensaje de Resolución" prompt="Cafetera San justo 3&#10;Ticket número: 111964&#10;Serie número :1840208/2033462&#10;Hora de servicio :2h 30m&#10;&#10;Cafetera 1 lado derecho mostrador:&#10;Se cargó receta y se realizó puesta cero y calibración de las moliendas mm1 y mm2.&#10;Se encontró una pequeña fuga de a" type="custom">
      <formula1>=TRUE</formula1>
    </dataValidation>
    <dataValidation sqref="P118" showDropDown="0" showInputMessage="1" showErrorMessage="0" allowBlank="1" promptTitle="📋 Mensaje de Resolución" prompt="Buenas, tienen que conseguir la manguera de cristal ya dicho en el informe técnico anterior." type="custom">
      <formula1>=TRUE</formula1>
    </dataValidation>
    <dataValidation sqref="P120" showDropDown="0" showInputMessage="1" showErrorMessage="0" allowBlank="1" promptTitle="📋 Mensaje de Resolución" prompt="La cafetera q no calienta fue solucionado por el local, habui saltado el protector termico en cuanto a la cafetera de al lado q no le salía leche tenía, el difusor de leche sucio, y válvula esm trabada y sucia lo cual no dejaba sacar leche, equipo op" type="custom">
      <formula1>=TRUE</formula1>
    </dataValidation>
    <dataValidation sqref="P121" showDropDown="0" showInputMessage="1" showErrorMessage="0" allowBlank="1" promptTitle="📋 Mensaje de Resolución" prompt="Cafetera San Martín Peatonal&#10;Número de ticket:112937&#10;Número de serie:2107577&#10;Horario de servicio:2h&#10;&#10;Se encontró la cafetera con error 8.&#10;se realizó una limpieza de grupo, sensores y finales de carrera ya que se encontraba todo lleno de café.&#10;Se real" type="custom">
      <formula1>=TRUE</formula1>
    </dataValidation>
    <dataValidation sqref="P122" showDropDown="0" showInputMessage="1" showErrorMessage="0" allowBlank="1" promptTitle="📋 Mensaje de Resolución" prompt="Resuelto telefónicamente" type="custom">
      <formula1>=TRUE</formula1>
    </dataValidation>
    <dataValidation sqref="P123" showDropDown="0" showInputMessage="1" showErrorMessage="0" allowBlank="1" promptTitle="📋 Mensaje de Resolución" prompt="Se realizó cambio de kit orings" type="custom">
      <formula1>=TRUE</formula1>
    </dataValidation>
    <dataValidation sqref="P124" showDropDown="0" showInputMessage="1" showErrorMessage="0" allowBlank="1" promptTitle="📋 Mensaje de Resolución" prompt="Estimados, &#10;&#10;Tratamos de ponernos en contacto, pero no tuvimos respuesta.&#10;&#10;Saludos." type="custom">
      <formula1>=TRUE</formula1>
    </dataValidation>
    <dataValidation sqref="P125" showDropDown="0" showInputMessage="1" showErrorMessage="0" allowBlank="1" promptTitle="📋 Mensaje de Resolución" prompt="Estimados,&#10;&#10;Se habla con Mayra y comenta que esto fue resuelto.&#10;&#10;Saludos." type="custom">
      <formula1>=TRUE</formula1>
    </dataValidation>
    <dataValidation sqref="P126" showDropDown="0" showInputMessage="1" showErrorMessage="0" allowBlank="1" promptTitle="📋 Mensaje de Resolución" prompt="Se realizo asistencia remota, se observo que la cafetera tiene tapado el pescador de la caldera ya que no estaba lanzando buena cantidad de agua por la lanza de te y no permite terminar el lavado." type="custom">
      <formula1>=TRUE</formula1>
    </dataValidation>
    <dataValidation sqref="P127" showDropDown="0" showInputMessage="1" showErrorMessage="0" allowBlank="1" promptTitle="📋 Mensaje de Resolución" prompt="Estimados, &#10;&#10;Se da asistencia por llamada. El dia Martes se estara indicando como realizar una puesta a cero&#10;&#10;Saludos" type="custom">
      <formula1>=TRUE</formula1>
    </dataValidation>
    <dataValidation sqref="P128" showDropDown="0" showInputMessage="1" showErrorMessage="0" allowBlank="1" promptTitle="📋 Mensaje de Resolución" prompt="Buenas tardes, nos confirman que lo estan resolviendo con personal externo. Saludos." type="custom">
      <formula1>=TRUE</formula1>
    </dataValidation>
    <dataValidation sqref="P129" showDropDown="0" showInputMessage="1" showErrorMessage="0" allowBlank="1" promptTitle="📋 Mensaje de Resolución" prompt="Cafetera villa del parque ( 1 hora de trabajo)&#10;Cimbali 2095734&#10;Tiket#110627&#10;Se encontró madera en mm2, se realizó puesta cero y calibración en ambas muelas, se realizó limpieza de grupo tanto súperior como inferior ya q se encontraba con mucho excede" type="custom">
      <formula1>=TRUE</formula1>
    </dataValidation>
    <dataValidation sqref="P130" showDropDown="0" showInputMessage="1" showErrorMessage="0" allowBlank="1" promptTitle="📋 Mensaje de Resolución" prompt="Estimados,&#10;&#10;Esto fue resuelto por Fernando Soria.&#10;&#10;Saludos." type="custom">
      <formula1>=TRUE</formula1>
    </dataValidation>
    <dataValidation sqref="AF2" showDropDown="0" showInputMessage="1" showErrorMessage="0" allowBlank="1" promptTitle="📋 Observaciones_Audit" prompt="Skill: Resolución | Skill: Reglas Técnicas" type="custom">
      <formula1>=TRUE</formula1>
    </dataValidation>
    <dataValidation sqref="AF3" showDropDown="0" showInputMessage="1" showErrorMessage="0" allowBlank="1" promptTitle="📋 Observaciones_Audit" prompt="Skill: Resolución | Skill: Reglas Técnicas" type="custom">
      <formula1>=TRUE</formula1>
    </dataValidation>
    <dataValidation sqref="AF4" showDropDown="0" showInputMessage="1" showErrorMessage="0" allowBlank="1" promptTitle="📋 Observaciones_Audit" prompt="Skill: Reglas Técnicas" type="custom">
      <formula1>=TRUE</formula1>
    </dataValidation>
    <dataValidation sqref="AF5" showDropDown="0" showInputMessage="1" showErrorMessage="0" allowBlank="1" promptTitle="📋 Observaciones_Audit" prompt="Skill: Reglas Técnicas" type="custom">
      <formula1>=TRUE</formula1>
    </dataValidation>
    <dataValidation sqref="AF6" showDropDown="0" showInputMessage="1" showErrorMessage="0" allowBlank="1" promptTitle="📋 Observaciones_Audit" prompt="Skill: Reglas Técnicas" type="custom">
      <formula1>=TRUE</formula1>
    </dataValidation>
    <dataValidation sqref="AF7" showDropDown="0" showInputMessage="1" showErrorMessage="0" allowBlank="1" promptTitle="📋 Observaciones_Audit" prompt="Skill: Reglas Técnicas" type="custom">
      <formula1>=TRUE</formula1>
    </dataValidation>
    <dataValidation sqref="AF8" showDropDown="0" showInputMessage="1" showErrorMessage="0" allowBlank="1" promptTitle="📋 Observaciones_Audit" prompt="Skill: Base Técnicos | Skill: Resolución | Skill: Chat | Skill: Reglas Técnicas" type="custom">
      <formula1>=TRUE</formula1>
    </dataValidation>
    <dataValidation sqref="AF9" showDropDown="0" showInputMessage="1" showErrorMessage="0" allowBlank="1" promptTitle="📋 Observaciones_Audit" prompt="Skill: Resolución | Skill: Reglas Técnicas" type="custom">
      <formula1>=TRUE</formula1>
    </dataValidation>
    <dataValidation sqref="AF10" showDropDown="0" showInputMessage="1" showErrorMessage="0" allowBlank="1" promptTitle="📋 Observaciones_Audit" prompt="Skill: Reglas Técnicas" type="custom">
      <formula1>=TRUE</formula1>
    </dataValidation>
    <dataValidation sqref="AF11" showDropDown="0" showInputMessage="1" showErrorMessage="0" allowBlank="1" promptTitle="📋 Observaciones_Audit" prompt="Skill: Reglas Técnicas" type="custom">
      <formula1>=TRUE</formula1>
    </dataValidation>
    <dataValidation sqref="AF12" showDropDown="0" showInputMessage="1" showErrorMessage="0" allowBlank="1" promptTitle="📋 Observaciones_Audit" prompt="Ticket Repetido/Duplicado" type="custom">
      <formula1>=TRUE</formula1>
    </dataValidation>
    <dataValidation sqref="AF13" showDropDown="0" showInputMessage="1" showErrorMessage="0" allowBlank="1" promptTitle="📋 Observaciones_Audit" prompt="Skill: Base Técnicos | Skill: Reglas Técnicas" type="custom">
      <formula1>=TRUE</formula1>
    </dataValidation>
    <dataValidation sqref="AF14" showDropDown="0" showInputMessage="1" showErrorMessage="0" allowBlank="1" promptTitle="📋 Observaciones_Audit" prompt="Skill: Base Técnicos | Skill: Resolución | Skill: Reglas Técnicas" type="custom">
      <formula1>=TRUE</formula1>
    </dataValidation>
    <dataValidation sqref="AF15" showDropDown="0" showInputMessage="1" showErrorMessage="0" allowBlank="1" promptTitle="📋 Observaciones_Audit" prompt="Skill: Resolución | Skill: Reglas Técnicas" type="custom">
      <formula1>=TRUE</formula1>
    </dataValidation>
    <dataValidation sqref="AF16" showDropDown="0" showInputMessage="1" showErrorMessage="0" allowBlank="1" promptTitle="📋 Observaciones_Audit" prompt="Skill: Reglas Técnicas" type="custom">
      <formula1>=TRUE</formula1>
    </dataValidation>
    <dataValidation sqref="AF17" showDropDown="0" showInputMessage="1" showErrorMessage="0" allowBlank="1" promptTitle="📋 Observaciones_Audit" prompt="Skill: Reglas Técnicas" type="custom">
      <formula1>=TRUE</formula1>
    </dataValidation>
    <dataValidation sqref="AF18" showDropDown="0" showInputMessage="1" showErrorMessage="0" allowBlank="1" promptTitle="📋 Observaciones_Audit" prompt="Skill: Reglas Técnicas" type="custom">
      <formula1>=TRUE</formula1>
    </dataValidation>
    <dataValidation sqref="AF19" showDropDown="0" showInputMessage="1" showErrorMessage="0" allowBlank="1" promptTitle="📋 Observaciones_Audit" prompt="Skill: Resolución | Skill: Reglas Técnicas" type="custom">
      <formula1>=TRUE</formula1>
    </dataValidation>
    <dataValidation sqref="AF20" showDropDown="0" showInputMessage="1" showErrorMessage="0" allowBlank="1" promptTitle="📋 Observaciones_Audit" prompt="Skill: Resolución | Skill: Reglas Técnicas" type="custom">
      <formula1>=TRUE</formula1>
    </dataValidation>
    <dataValidation sqref="AF21" showDropDown="0" showInputMessage="1" showErrorMessage="0" allowBlank="1" promptTitle="📋 Observaciones_Audit" prompt="Skill: Resolución | Skill: Reglas Técnicas" type="custom">
      <formula1>=TRUE</formula1>
    </dataValidation>
    <dataValidation sqref="AF22" showDropDown="0" showInputMessage="1" showErrorMessage="0" allowBlank="1" promptTitle="📋 Observaciones_Audit" prompt="Skill: Reglas Técnicas" type="custom">
      <formula1>=TRUE</formula1>
    </dataValidation>
    <dataValidation sqref="AF23" showDropDown="0" showInputMessage="1" showErrorMessage="0" allowBlank="1" promptTitle="📋 Observaciones_Audit" prompt="Skill: Reglas Técnicas" type="custom">
      <formula1>=TRUE</formula1>
    </dataValidation>
    <dataValidation sqref="AF24" showDropDown="0" showInputMessage="1" showErrorMessage="0" allowBlank="1" promptTitle="📋 Observaciones_Audit" prompt="Skill: Resolución | Skill: Reglas Técnicas" type="custom">
      <formula1>=TRUE</formula1>
    </dataValidation>
    <dataValidation sqref="AF25" showDropDown="0" showInputMessage="1" showErrorMessage="0" allowBlank="1" promptTitle="📋 Observaciones_Audit" prompt="Skill: Base Técnicos | Skill: Resolución | Skill: Chat | Skill: Reglas Técnicas" type="custom">
      <formula1>=TRUE</formula1>
    </dataValidation>
    <dataValidation sqref="AF26" showDropDown="0" showInputMessage="1" showErrorMessage="0" allowBlank="1" promptTitle="📋 Observaciones_Audit" prompt="Skill: Reglas Técnicas" type="custom">
      <formula1>=TRUE</formula1>
    </dataValidation>
    <dataValidation sqref="AF27" showDropDown="0" showInputMessage="1" showErrorMessage="0" allowBlank="1" promptTitle="📋 Observaciones_Audit" prompt="Skill: Resolución | Skill: Chat | Skill: Reglas Técnicas" type="custom">
      <formula1>=TRUE</formula1>
    </dataValidation>
    <dataValidation sqref="AF28" showDropDown="0" showInputMessage="1" showErrorMessage="0" allowBlank="1" promptTitle="📋 Observaciones_Audit" prompt="Skill: Reglas Técnicas" type="custom">
      <formula1>=TRUE</formula1>
    </dataValidation>
    <dataValidation sqref="AF29" showDropDown="0" showInputMessage="1" showErrorMessage="0" allowBlank="1" promptTitle="📋 Observaciones_Audit" prompt="Skill: Base Técnicos | Skill: Reglas Técnicas" type="custom">
      <formula1>=TRUE</formula1>
    </dataValidation>
    <dataValidation sqref="AF30" showDropDown="0" showInputMessage="1" showErrorMessage="0" allowBlank="1" promptTitle="📋 Observaciones_Audit" prompt="Skill: Reglas Técnicas" type="custom">
      <formula1>=TRUE</formula1>
    </dataValidation>
    <dataValidation sqref="AF31" showDropDown="0" showInputMessage="1" showErrorMessage="0" allowBlank="1" promptTitle="📋 Observaciones_Audit" prompt="Skill: Reglas Técnicas" type="custom">
      <formula1>=TRUE</formula1>
    </dataValidation>
    <dataValidation sqref="AF32" showDropDown="0" showInputMessage="1" showErrorMessage="0" allowBlank="1" promptTitle="📋 Observaciones_Audit" prompt="Skill: Reglas Técnicas" type="custom">
      <formula1>=TRUE</formula1>
    </dataValidation>
    <dataValidation sqref="AF33" showDropDown="0" showInputMessage="1" showErrorMessage="0" allowBlank="1" promptTitle="📋 Observaciones_Audit" prompt="Skill: Reglas Técnicas" type="custom">
      <formula1>=TRUE</formula1>
    </dataValidation>
    <dataValidation sqref="AF34" showDropDown="0" showInputMessage="1" showErrorMessage="0" allowBlank="1" promptTitle="📋 Observaciones_Audit" prompt="Resuelto por el Local (0 HS)" type="custom">
      <formula1>=TRUE</formula1>
    </dataValidation>
    <dataValidation sqref="AF35" showDropDown="0" showInputMessage="1" showErrorMessage="0" allowBlank="1" promptTitle="📋 Observaciones_Audit" prompt="Skill: Base Técnicos | Skill: Reglas Técnicas" type="custom">
      <formula1>=TRUE</formula1>
    </dataValidation>
    <dataValidation sqref="AF36" showDropDown="0" showInputMessage="1" showErrorMessage="0" allowBlank="1" promptTitle="📋 Observaciones_Audit" prompt="Skill: Reglas Técnicas" type="custom">
      <formula1>=TRUE</formula1>
    </dataValidation>
    <dataValidation sqref="AF37" showDropDown="0" showInputMessage="1" showErrorMessage="0" allowBlank="1" promptTitle="📋 Observaciones_Audit" prompt="Skill: Reglas Técnicas" type="custom">
      <formula1>=TRUE</formula1>
    </dataValidation>
    <dataValidation sqref="AF38" showDropDown="0" showInputMessage="1" showErrorMessage="0" allowBlank="1" promptTitle="📋 Observaciones_Audit" prompt="Skill: Reglas Técnicas" type="custom">
      <formula1>=TRUE</formula1>
    </dataValidation>
    <dataValidation sqref="AF39" showDropDown="0" showInputMessage="1" showErrorMessage="0" allowBlank="1" promptTitle="📋 Observaciones_Audit" prompt="Skill: Reglas Técnicas" type="custom">
      <formula1>=TRUE</formula1>
    </dataValidation>
    <dataValidation sqref="AF40" showDropDown="0" showInputMessage="1" showErrorMessage="0" allowBlank="1" promptTitle="📋 Observaciones_Audit" prompt="Skill: Base Técnicos | Skill: Reglas Técnicas" type="custom">
      <formula1>=TRUE</formula1>
    </dataValidation>
    <dataValidation sqref="AF41" showDropDown="0" showInputMessage="1" showErrorMessage="0" allowBlank="1" promptTitle="📋 Observaciones_Audit" prompt="Skill: Reglas Técnicas" type="custom">
      <formula1>=TRUE</formula1>
    </dataValidation>
    <dataValidation sqref="AF42" showDropDown="0" showInputMessage="1" showErrorMessage="0" allowBlank="1" promptTitle="📋 Observaciones_Audit" prompt="Resuelto por el Local (0 HS)" type="custom">
      <formula1>=TRUE</formula1>
    </dataValidation>
    <dataValidation sqref="AF43" showDropDown="0" showInputMessage="1" showErrorMessage="0" allowBlank="1" promptTitle="📋 Observaciones_Audit" prompt="Skill: Resolución | Skill: Reglas Técnicas" type="custom">
      <formula1>=TRUE</formula1>
    </dataValidation>
    <dataValidation sqref="AF44" showDropDown="0" showInputMessage="1" showErrorMessage="0" allowBlank="1" promptTitle="📋 Observaciones_Audit" prompt="Skill: Base Técnicos | Skill: Resolución | Skill: Chat | Skill: Reglas Técnicas" type="custom">
      <formula1>=TRUE</formula1>
    </dataValidation>
    <dataValidation sqref="AF45" showDropDown="0" showInputMessage="1" showErrorMessage="0" allowBlank="1" promptTitle="📋 Observaciones_Audit" prompt="Skill: Reglas Técnicas" type="custom">
      <formula1>=TRUE</formula1>
    </dataValidation>
    <dataValidation sqref="AF46" showDropDown="0" showInputMessage="1" showErrorMessage="0" allowBlank="1" promptTitle="📋 Observaciones_Audit" prompt="Skill: Resolución | Skill: Reglas Técnicas" type="custom">
      <formula1>=TRUE</formula1>
    </dataValidation>
    <dataValidation sqref="AF47" showDropDown="0" showInputMessage="1" showErrorMessage="0" allowBlank="1" promptTitle="📋 Observaciones_Audit" prompt="Skill: Reglas Técnicas" type="custom">
      <formula1>=TRUE</formula1>
    </dataValidation>
    <dataValidation sqref="AF48" showDropDown="0" showInputMessage="1" showErrorMessage="0" allowBlank="1" promptTitle="📋 Observaciones_Audit" prompt="Skill: Resolución | Skill: Reglas Técnicas" type="custom">
      <formula1>=TRUE</formula1>
    </dataValidation>
    <dataValidation sqref="AF49" showDropDown="0" showInputMessage="1" showErrorMessage="0" allowBlank="1" promptTitle="📋 Observaciones_Audit" prompt="Skill: Resolución | Skill: Reglas Técnicas" type="custom">
      <formula1>=TRUE</formula1>
    </dataValidation>
    <dataValidation sqref="AF50" showDropDown="0" showInputMessage="1" showErrorMessage="0" allowBlank="1" promptTitle="📋 Observaciones_Audit" prompt="Skill: Reglas Técnicas" type="custom">
      <formula1>=TRUE</formula1>
    </dataValidation>
    <dataValidation sqref="AF51" showDropDown="0" showInputMessage="1" showErrorMessage="0" allowBlank="1" promptTitle="📋 Observaciones_Audit" prompt="Skill: Reglas Técnicas" type="custom">
      <formula1>=TRUE</formula1>
    </dataValidation>
    <dataValidation sqref="AF52" showDropDown="0" showInputMessage="1" showErrorMessage="0" allowBlank="1" promptTitle="📋 Observaciones_Audit" prompt="Skill: Reglas Técnicas" type="custom">
      <formula1>=TRUE</formula1>
    </dataValidation>
    <dataValidation sqref="AF53" showDropDown="0" showInputMessage="1" showErrorMessage="0" allowBlank="1" promptTitle="📋 Observaciones_Audit" prompt="Resuelto por el Local (0 HS)" type="custom">
      <formula1>=TRUE</formula1>
    </dataValidation>
    <dataValidation sqref="AF54" showDropDown="0" showInputMessage="1" showErrorMessage="0" allowBlank="1" promptTitle="📋 Observaciones_Audit" prompt="Skill: Reglas Técnicas" type="custom">
      <formula1>=TRUE</formula1>
    </dataValidation>
    <dataValidation sqref="AF55" showDropDown="0" showInputMessage="1" showErrorMessage="0" allowBlank="1" promptTitle="📋 Observaciones_Audit" prompt="Ticket Repetido/Duplicado" type="custom">
      <formula1>=TRUE</formula1>
    </dataValidation>
    <dataValidation sqref="AF56" showDropDown="0" showInputMessage="1" showErrorMessage="0" allowBlank="1" promptTitle="📋 Observaciones_Audit" prompt="Ticket Repetido/Duplicado" type="custom">
      <formula1>=TRUE</formula1>
    </dataValidation>
    <dataValidation sqref="AF57" showDropDown="0" showInputMessage="1" showErrorMessage="0" allowBlank="1" promptTitle="📋 Observaciones_Audit" prompt="Skill: Reglas Técnicas" type="custom">
      <formula1>=TRUE</formula1>
    </dataValidation>
    <dataValidation sqref="AF58" showDropDown="0" showInputMessage="1" showErrorMessage="0" allowBlank="1" promptTitle="📋 Observaciones_Audit" prompt="Skill: Reglas Técnicas" type="custom">
      <formula1>=TRUE</formula1>
    </dataValidation>
    <dataValidation sqref="AF59" showDropDown="0" showInputMessage="1" showErrorMessage="0" allowBlank="1" promptTitle="📋 Observaciones_Audit" prompt="Skill: Reglas Técnicas" type="custom">
      <formula1>=TRUE</formula1>
    </dataValidation>
    <dataValidation sqref="AF60" showDropDown="0" showInputMessage="1" showErrorMessage="0" allowBlank="1" promptTitle="📋 Observaciones_Audit" prompt="Skill: Reglas Técnicas" type="custom">
      <formula1>=TRUE</formula1>
    </dataValidation>
    <dataValidation sqref="AF61" showDropDown="0" showInputMessage="1" showErrorMessage="0" allowBlank="1" promptTitle="📋 Observaciones_Audit" prompt="Skill: Reglas Técnicas" type="custom">
      <formula1>=TRUE</formula1>
    </dataValidation>
    <dataValidation sqref="AF62" showDropDown="0" showInputMessage="1" showErrorMessage="0" allowBlank="1" promptTitle="📋 Observaciones_Audit" prompt="Resuelto por el Local (0 HS)" type="custom">
      <formula1>=TRUE</formula1>
    </dataValidation>
    <dataValidation sqref="AF63" showDropDown="0" showInputMessage="1" showErrorMessage="0" allowBlank="1" promptTitle="📋 Observaciones_Audit" prompt="Skill: Base Técnicos | Skill: Reglas Técnicas" type="custom">
      <formula1>=TRUE</formula1>
    </dataValidation>
    <dataValidation sqref="AF64" showDropDown="0" showInputMessage="1" showErrorMessage="0" allowBlank="1" promptTitle="📋 Observaciones_Audit" prompt="Skill: Resolución | Skill: Reglas Técnicas" type="custom">
      <formula1>=TRUE</formula1>
    </dataValidation>
    <dataValidation sqref="AF65" showDropDown="0" showInputMessage="1" showErrorMessage="0" allowBlank="1" promptTitle="📋 Observaciones_Audit" prompt="Skill: Reglas Técnicas" type="custom">
      <formula1>=TRUE</formula1>
    </dataValidation>
    <dataValidation sqref="AF66" showDropDown="0" showInputMessage="1" showErrorMessage="0" allowBlank="1" promptTitle="📋 Observaciones_Audit" prompt="Skill: Resolución | Skill: Reglas Técnicas" type="custom">
      <formula1>=TRUE</formula1>
    </dataValidation>
    <dataValidation sqref="AF67" showDropDown="0" showInputMessage="1" showErrorMessage="0" allowBlank="1" promptTitle="📋 Observaciones_Audit" prompt="Skill: Resolución | Skill: Reglas Técnicas" type="custom">
      <formula1>=TRUE</formula1>
    </dataValidation>
    <dataValidation sqref="AF68" showDropDown="0" showInputMessage="1" showErrorMessage="0" allowBlank="1" promptTitle="📋 Observaciones_Audit" prompt="Resuelto por el Local (0 HS)" type="custom">
      <formula1>=TRUE</formula1>
    </dataValidation>
    <dataValidation sqref="AF69" showDropDown="0" showInputMessage="1" showErrorMessage="0" allowBlank="1" promptTitle="📋 Observaciones_Audit" prompt="Skill: Reglas Técnicas" type="custom">
      <formula1>=TRUE</formula1>
    </dataValidation>
    <dataValidation sqref="AF70" showDropDown="0" showInputMessage="1" showErrorMessage="0" allowBlank="1" promptTitle="📋 Observaciones_Audit" prompt="Ticket Repetido/Duplicado" type="custom">
      <formula1>=TRUE</formula1>
    </dataValidation>
    <dataValidation sqref="AF71" showDropDown="0" showInputMessage="1" showErrorMessage="0" allowBlank="1" promptTitle="📋 Observaciones_Audit" prompt="Skill: Reglas Técnicas" type="custom">
      <formula1>=TRUE</formula1>
    </dataValidation>
    <dataValidation sqref="AF72" showDropDown="0" showInputMessage="1" showErrorMessage="0" allowBlank="1" promptTitle="📋 Observaciones_Audit" prompt="Skill: Reglas Técnicas" type="custom">
      <formula1>=TRUE</formula1>
    </dataValidation>
    <dataValidation sqref="AF73" showDropDown="0" showInputMessage="1" showErrorMessage="0" allowBlank="1" promptTitle="📋 Observaciones_Audit" prompt="Skill: Reglas Técnicas" type="custom">
      <formula1>=TRUE</formula1>
    </dataValidation>
    <dataValidation sqref="AF74" showDropDown="0" showInputMessage="1" showErrorMessage="0" allowBlank="1" promptTitle="📋 Observaciones_Audit" prompt="Skill: Reglas Técnicas" type="custom">
      <formula1>=TRUE</formula1>
    </dataValidation>
    <dataValidation sqref="AF75" showDropDown="0" showInputMessage="1" showErrorMessage="0" allowBlank="1" promptTitle="📋 Observaciones_Audit" prompt="Skill: Reglas Técnicas" type="custom">
      <formula1>=TRUE</formula1>
    </dataValidation>
    <dataValidation sqref="AF76" showDropDown="0" showInputMessage="1" showErrorMessage="0" allowBlank="1" promptTitle="📋 Observaciones_Audit" prompt="Skill: Reglas Técnicas" type="custom">
      <formula1>=TRUE</formula1>
    </dataValidation>
    <dataValidation sqref="AF77" showDropDown="0" showInputMessage="1" showErrorMessage="0" allowBlank="1" promptTitle="📋 Observaciones_Audit" prompt="Skill: Reglas Técnicas" type="custom">
      <formula1>=TRUE</formula1>
    </dataValidation>
    <dataValidation sqref="AF78" showDropDown="0" showInputMessage="1" showErrorMessage="0" allowBlank="1" promptTitle="📋 Observaciones_Audit" prompt="Skill: Reglas Técnicas" type="custom">
      <formula1>=TRUE</formula1>
    </dataValidation>
    <dataValidation sqref="AF79" showDropDown="0" showInputMessage="1" showErrorMessage="0" allowBlank="1" promptTitle="📋 Observaciones_Audit" prompt="Skill: Reglas Técnicas" type="custom">
      <formula1>=TRUE</formula1>
    </dataValidation>
    <dataValidation sqref="AF80" showDropDown="0" showInputMessage="1" showErrorMessage="0" allowBlank="1" promptTitle="📋 Observaciones_Audit" prompt="Skill: Reglas Técnicas" type="custom">
      <formula1>=TRUE</formula1>
    </dataValidation>
    <dataValidation sqref="AF81" showDropDown="0" showInputMessage="1" showErrorMessage="0" allowBlank="1" promptTitle="📋 Observaciones_Audit" prompt="Skill: Reglas Técnicas" type="custom">
      <formula1>=TRUE</formula1>
    </dataValidation>
    <dataValidation sqref="AF82" showDropDown="0" showInputMessage="1" showErrorMessage="0" allowBlank="1" promptTitle="📋 Observaciones_Audit" prompt="Skill: Reglas Técnicas" type="custom">
      <formula1>=TRUE</formula1>
    </dataValidation>
    <dataValidation sqref="AF83" showDropDown="0" showInputMessage="1" showErrorMessage="0" allowBlank="1" promptTitle="📋 Observaciones_Audit" prompt="Skill: Reglas Técnicas" type="custom">
      <formula1>=TRUE</formula1>
    </dataValidation>
    <dataValidation sqref="AF84" showDropDown="0" showInputMessage="1" showErrorMessage="0" allowBlank="1" promptTitle="📋 Observaciones_Audit" prompt="Skill: Reglas Técnicas" type="custom">
      <formula1>=TRUE</formula1>
    </dataValidation>
    <dataValidation sqref="AF85" showDropDown="0" showInputMessage="1" showErrorMessage="0" allowBlank="1" promptTitle="📋 Observaciones_Audit" prompt="Skill: Reglas Técnicas" type="custom">
      <formula1>=TRUE</formula1>
    </dataValidation>
    <dataValidation sqref="AF86" showDropDown="0" showInputMessage="1" showErrorMessage="0" allowBlank="1" promptTitle="📋 Observaciones_Audit" prompt="Skill: Reglas Técnicas" type="custom">
      <formula1>=TRUE</formula1>
    </dataValidation>
    <dataValidation sqref="AF87" showDropDown="0" showInputMessage="1" showErrorMessage="0" allowBlank="1" promptTitle="📋 Observaciones_Audit" prompt="Skill: Reglas Técnicas" type="custom">
      <formula1>=TRUE</formula1>
    </dataValidation>
    <dataValidation sqref="AF88" showDropDown="0" showInputMessage="1" showErrorMessage="0" allowBlank="1" promptTitle="📋 Observaciones_Audit" prompt="Skill: Reglas Técnicas" type="custom">
      <formula1>=TRUE</formula1>
    </dataValidation>
    <dataValidation sqref="AF89" showDropDown="0" showInputMessage="1" showErrorMessage="0" allowBlank="1" promptTitle="📋 Observaciones_Audit" prompt="Skill: Reglas Técnicas" type="custom">
      <formula1>=TRUE</formula1>
    </dataValidation>
    <dataValidation sqref="AF90" showDropDown="0" showInputMessage="1" showErrorMessage="0" allowBlank="1" promptTitle="📋 Observaciones_Audit" prompt="Skill: Reglas Técnicas" type="custom">
      <formula1>=TRUE</formula1>
    </dataValidation>
    <dataValidation sqref="AF91" showDropDown="0" showInputMessage="1" showErrorMessage="0" allowBlank="1" promptTitle="📋 Observaciones_Audit" prompt="Skill: Reglas Técnicas" type="custom">
      <formula1>=TRUE</formula1>
    </dataValidation>
    <dataValidation sqref="AF92" showDropDown="0" showInputMessage="1" showErrorMessage="0" allowBlank="1" promptTitle="📋 Observaciones_Audit" prompt="Skill: Reglas Técnicas" type="custom">
      <formula1>=TRUE</formula1>
    </dataValidation>
    <dataValidation sqref="AF93" showDropDown="0" showInputMessage="1" showErrorMessage="0" allowBlank="1" promptTitle="📋 Observaciones_Audit" prompt="Skill: Resolución | Skill: Reglas Técnicas" type="custom">
      <formula1>=TRUE</formula1>
    </dataValidation>
    <dataValidation sqref="AF94" showDropDown="0" showInputMessage="1" showErrorMessage="0" allowBlank="1" promptTitle="📋 Observaciones_Audit" prompt="Skill: Resolución | Skill: Reglas Técnicas" type="custom">
      <formula1>=TRUE</formula1>
    </dataValidation>
    <dataValidation sqref="AF95" showDropDown="0" showInputMessage="1" showErrorMessage="0" allowBlank="1" promptTitle="📋 Observaciones_Audit" prompt="Skill: Reglas Técnicas" type="custom">
      <formula1>=TRUE</formula1>
    </dataValidation>
    <dataValidation sqref="AF96" showDropDown="0" showInputMessage="1" showErrorMessage="0" allowBlank="1" promptTitle="📋 Observaciones_Audit" prompt="Skill: Reglas Técnicas" type="custom">
      <formula1>=TRUE</formula1>
    </dataValidation>
    <dataValidation sqref="AF97" showDropDown="0" showInputMessage="1" showErrorMessage="0" allowBlank="1" promptTitle="📋 Observaciones_Audit" prompt="Skill: Reglas Técnicas" type="custom">
      <formula1>=TRUE</formula1>
    </dataValidation>
    <dataValidation sqref="AF98" showDropDown="0" showInputMessage="1" showErrorMessage="0" allowBlank="1" promptTitle="📋 Observaciones_Audit" prompt="Skill: Reglas Técnicas" type="custom">
      <formula1>=TRUE</formula1>
    </dataValidation>
    <dataValidation sqref="AF99" showDropDown="0" showInputMessage="1" showErrorMessage="0" allowBlank="1" promptTitle="📋 Observaciones_Audit" prompt="Skill: Reglas Técnicas" type="custom">
      <formula1>=TRUE</formula1>
    </dataValidation>
    <dataValidation sqref="AF100" showDropDown="0" showInputMessage="1" showErrorMessage="0" allowBlank="1" promptTitle="📋 Observaciones_Audit" prompt="Skill: Reglas Técnicas" type="custom">
      <formula1>=TRUE</formula1>
    </dataValidation>
    <dataValidation sqref="AF101" showDropDown="0" showInputMessage="1" showErrorMessage="0" allowBlank="1" promptTitle="📋 Observaciones_Audit" prompt="Skill: Reglas Técnicas" type="custom">
      <formula1>=TRUE</formula1>
    </dataValidation>
    <dataValidation sqref="AF102" showDropDown="0" showInputMessage="1" showErrorMessage="0" allowBlank="1" promptTitle="📋 Observaciones_Audit" prompt="Skill: Reglas Técnicas" type="custom">
      <formula1>=TRUE</formula1>
    </dataValidation>
    <dataValidation sqref="AF103" showDropDown="0" showInputMessage="1" showErrorMessage="0" allowBlank="1" promptTitle="📋 Observaciones_Audit" prompt="Skill: Reglas Técnicas" type="custom">
      <formula1>=TRUE</formula1>
    </dataValidation>
    <dataValidation sqref="AF104" showDropDown="0" showInputMessage="1" showErrorMessage="0" allowBlank="1" promptTitle="📋 Observaciones_Audit" prompt="Skill: Reglas Técnicas" type="custom">
      <formula1>=TRUE</formula1>
    </dataValidation>
    <dataValidation sqref="AF105" showDropDown="0" showInputMessage="1" showErrorMessage="0" allowBlank="1" promptTitle="📋 Observaciones_Audit" prompt="Skill: Reglas Técnicas" type="custom">
      <formula1>=TRUE</formula1>
    </dataValidation>
    <dataValidation sqref="AF106" showDropDown="0" showInputMessage="1" showErrorMessage="0" allowBlank="1" promptTitle="📋 Observaciones_Audit" prompt="Skill: Reglas Técnicas" type="custom">
      <formula1>=TRUE</formula1>
    </dataValidation>
    <dataValidation sqref="AF107" showDropDown="0" showInputMessage="1" showErrorMessage="0" allowBlank="1" promptTitle="📋 Observaciones_Audit" prompt="Skill: Reglas Técnicas" type="custom">
      <formula1>=TRUE</formula1>
    </dataValidation>
    <dataValidation sqref="AF108" showDropDown="0" showInputMessage="1" showErrorMessage="0" allowBlank="1" promptTitle="📋 Observaciones_Audit" prompt="Skill: Reglas Técnicas" type="custom">
      <formula1>=TRUE</formula1>
    </dataValidation>
    <dataValidation sqref="AF109" showDropDown="0" showInputMessage="1" showErrorMessage="0" allowBlank="1" promptTitle="📋 Observaciones_Audit" prompt="Skill: Base Técnicos | Skill: Chat | Skill: Reglas Técnicas" type="custom">
      <formula1>=TRUE</formula1>
    </dataValidation>
    <dataValidation sqref="AF110" showDropDown="0" showInputMessage="1" showErrorMessage="0" allowBlank="1" promptTitle="📋 Observaciones_Audit" prompt="Skill: Base Técnicos | Skill: Resolución | Skill: Reglas Técnicas" type="custom">
      <formula1>=TRUE</formula1>
    </dataValidation>
    <dataValidation sqref="AF111" showDropDown="0" showInputMessage="1" showErrorMessage="0" allowBlank="1" promptTitle="📋 Observaciones_Audit" prompt="Skill: Reglas Técnicas" type="custom">
      <formula1>=TRUE</formula1>
    </dataValidation>
    <dataValidation sqref="AF112" showDropDown="0" showInputMessage="1" showErrorMessage="0" allowBlank="1" promptTitle="📋 Observaciones_Audit" prompt="Skill: Reglas Técnicas" type="custom">
      <formula1>=TRUE</formula1>
    </dataValidation>
    <dataValidation sqref="AF113" showDropDown="0" showInputMessage="1" showErrorMessage="0" allowBlank="1" promptTitle="📋 Observaciones_Audit" prompt="Skill: Reglas Técnicas" type="custom">
      <formula1>=TRUE</formula1>
    </dataValidation>
    <dataValidation sqref="AF114" showDropDown="0" showInputMessage="1" showErrorMessage="0" allowBlank="1" promptTitle="📋 Observaciones_Audit" prompt="Ticket Repetido/Duplicado" type="custom">
      <formula1>=TRUE</formula1>
    </dataValidation>
    <dataValidation sqref="AF115" showDropDown="0" showInputMessage="1" showErrorMessage="0" allowBlank="1" promptTitle="📋 Observaciones_Audit" prompt="Skill: Resolución | Skill: Chat | Skill: Reglas Técnicas" type="custom">
      <formula1>=TRUE</formula1>
    </dataValidation>
    <dataValidation sqref="AF116" showDropDown="0" showInputMessage="1" showErrorMessage="0" allowBlank="1" promptTitle="📋 Observaciones_Audit" prompt="Skill: Resolución | Skill: Chat | Skill: Reglas Técnicas" type="custom">
      <formula1>=TRUE</formula1>
    </dataValidation>
    <dataValidation sqref="AF117" showDropDown="0" showInputMessage="1" showErrorMessage="0" allowBlank="1" promptTitle="📋 Observaciones_Audit" prompt="Skill: Reglas Técnicas" type="custom">
      <formula1>=TRUE</formula1>
    </dataValidation>
    <dataValidation sqref="AF118" showDropDown="0" showInputMessage="1" showErrorMessage="0" allowBlank="1" promptTitle="📋 Observaciones_Audit" prompt="Skill: Reglas Técnicas" type="custom">
      <formula1>=TRUE</formula1>
    </dataValidation>
    <dataValidation sqref="AF119" showDropDown="0" showInputMessage="1" showErrorMessage="0" allowBlank="1" promptTitle="📋 Observaciones_Audit" prompt="Skill: Reglas Técnicas" type="custom">
      <formula1>=TRUE</formula1>
    </dataValidation>
    <dataValidation sqref="AF120" showDropDown="0" showInputMessage="1" showErrorMessage="0" allowBlank="1" promptTitle="📋 Observaciones_Audit" prompt="Resuelto por el Local (0 HS)" type="custom">
      <formula1>=TRUE</formula1>
    </dataValidation>
    <dataValidation sqref="AF121" showDropDown="0" showInputMessage="1" showErrorMessage="0" allowBlank="1" promptTitle="📋 Observaciones_Audit" prompt="Skill: Reglas Técnicas" type="custom">
      <formula1>=TRUE</formula1>
    </dataValidation>
    <dataValidation sqref="AF122" showDropDown="0" showInputMessage="1" showErrorMessage="0" allowBlank="1" promptTitle="📋 Observaciones_Audit" prompt="Skill: Reglas Técnicas" type="custom">
      <formula1>=TRUE</formula1>
    </dataValidation>
    <dataValidation sqref="AF123" showDropDown="0" showInputMessage="1" showErrorMessage="0" allowBlank="1" promptTitle="📋 Observaciones_Audit" prompt="Skill: Reglas Técnicas" type="custom">
      <formula1>=TRUE</formula1>
    </dataValidation>
    <dataValidation sqref="AF124" showDropDown="0" showInputMessage="1" showErrorMessage="0" allowBlank="1" promptTitle="📋 Observaciones_Audit" prompt="Skill: Reglas Técnicas" type="custom">
      <formula1>=TRUE</formula1>
    </dataValidation>
    <dataValidation sqref="AF125" showDropDown="0" showInputMessage="1" showErrorMessage="0" allowBlank="1" promptTitle="📋 Observaciones_Audit" prompt="Skill: Reglas Técnicas" type="custom">
      <formula1>=TRUE</formula1>
    </dataValidation>
    <dataValidation sqref="AF126" showDropDown="0" showInputMessage="1" showErrorMessage="0" allowBlank="1" promptTitle="📋 Observaciones_Audit" prompt="Skill: Reglas Técnicas" type="custom">
      <formula1>=TRUE</formula1>
    </dataValidation>
    <dataValidation sqref="AF127" showDropDown="0" showInputMessage="1" showErrorMessage="0" allowBlank="1" promptTitle="📋 Observaciones_Audit" prompt="Skill: Reglas Técnicas" type="custom">
      <formula1>=TRUE</formula1>
    </dataValidation>
    <dataValidation sqref="AF128" showDropDown="0" showInputMessage="1" showErrorMessage="0" allowBlank="1" promptTitle="📋 Observaciones_Audit" prompt="Skill: Reglas Técnicas" type="custom">
      <formula1>=TRUE</formula1>
    </dataValidation>
    <dataValidation sqref="AF129" showDropDown="0" showInputMessage="1" showErrorMessage="0" allowBlank="1" promptTitle="📋 Observaciones_Audit" prompt="Skill: Base Técnicos | Skill: Resolución | Skill: Chat | Skill: Reglas Técnicas" type="custom">
      <formula1>=TRUE</formula1>
    </dataValidation>
    <dataValidation sqref="AF130" showDropDown="0" showInputMessage="1" showErrorMessage="0" allowBlank="1" promptTitle="📋 Observaciones_Audit" prompt="Skill: Reglas Técnicas" type="custom">
      <formula1>=TRUE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2026-03-05T17:16:56Z</dcterms:created>
  <dcterms:modified xsi:type="dcterms:W3CDTF">2026-03-05T17:16:57Z</dcterms:modified>
</cp:coreProperties>
</file>